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XEL\UNIVERSIDAD\Semestre VIII\Administracion del Riesgo\"/>
    </mc:Choice>
  </mc:AlternateContent>
  <xr:revisionPtr revIDLastSave="0" documentId="13_ncr:1_{68091528-DA55-46C7-85D2-B30101FB97B6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ortafolio" sheetId="11" r:id="rId1"/>
    <sheet name="VaR Parmétrico" sheetId="12" r:id="rId2"/>
    <sheet name="VaR Histórico" sheetId="8" r:id="rId3"/>
    <sheet name="Var Simulación" sheetId="14" r:id="rId4"/>
  </sheets>
  <functionGroups builtInGroupCount="19"/>
  <definedNames>
    <definedName name="_xlnm._FilterDatabase" localSheetId="0" hidden="1">Portafolio!$A$4:$U$257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2" l="1"/>
  <c r="C15" i="12"/>
  <c r="C14" i="12"/>
  <c r="C13" i="12"/>
  <c r="C12" i="12"/>
  <c r="C11" i="12"/>
  <c r="C10" i="12"/>
  <c r="C9" i="12"/>
  <c r="G10" i="12" a="1"/>
  <c r="G9" i="12" a="1"/>
  <c r="G10" i="12" l="1"/>
  <c r="G9" i="12"/>
  <c r="R10" i="14"/>
  <c r="R9" i="14"/>
  <c r="T6" i="8" l="1"/>
  <c r="AB6" i="8" s="1"/>
  <c r="AJ6" i="8" s="1"/>
  <c r="U6" i="8"/>
  <c r="AC6" i="8" s="1"/>
  <c r="AK6" i="8" s="1"/>
  <c r="T7" i="8"/>
  <c r="AB7" i="8" s="1"/>
  <c r="AJ7" i="8" s="1"/>
  <c r="U7" i="8"/>
  <c r="AC7" i="8" s="1"/>
  <c r="AK7" i="8" s="1"/>
  <c r="T8" i="8"/>
  <c r="AB8" i="8" s="1"/>
  <c r="AJ8" i="8" s="1"/>
  <c r="U8" i="8"/>
  <c r="AC8" i="8" s="1"/>
  <c r="AK8" i="8" s="1"/>
  <c r="T9" i="8"/>
  <c r="AB9" i="8" s="1"/>
  <c r="AJ9" i="8" s="1"/>
  <c r="U9" i="8"/>
  <c r="AC9" i="8" s="1"/>
  <c r="AK9" i="8" s="1"/>
  <c r="T10" i="8"/>
  <c r="AB10" i="8" s="1"/>
  <c r="AJ10" i="8" s="1"/>
  <c r="U10" i="8"/>
  <c r="AC10" i="8" s="1"/>
  <c r="AK10" i="8" s="1"/>
  <c r="T11" i="8"/>
  <c r="AB11" i="8" s="1"/>
  <c r="AJ11" i="8" s="1"/>
  <c r="U11" i="8"/>
  <c r="AC11" i="8" s="1"/>
  <c r="AK11" i="8" s="1"/>
  <c r="T12" i="8"/>
  <c r="AB12" i="8" s="1"/>
  <c r="AJ12" i="8" s="1"/>
  <c r="U12" i="8"/>
  <c r="AC12" i="8" s="1"/>
  <c r="AK12" i="8" s="1"/>
  <c r="T13" i="8"/>
  <c r="AB13" i="8" s="1"/>
  <c r="AJ13" i="8" s="1"/>
  <c r="U13" i="8"/>
  <c r="AC13" i="8" s="1"/>
  <c r="AK13" i="8" s="1"/>
  <c r="T14" i="8"/>
  <c r="AB14" i="8" s="1"/>
  <c r="AJ14" i="8" s="1"/>
  <c r="U14" i="8"/>
  <c r="AC14" i="8" s="1"/>
  <c r="AK14" i="8" s="1"/>
  <c r="T15" i="8"/>
  <c r="AB15" i="8" s="1"/>
  <c r="AJ15" i="8" s="1"/>
  <c r="U15" i="8"/>
  <c r="AC15" i="8" s="1"/>
  <c r="AK15" i="8" s="1"/>
  <c r="T16" i="8"/>
  <c r="AB16" i="8" s="1"/>
  <c r="AJ16" i="8" s="1"/>
  <c r="U16" i="8"/>
  <c r="AC16" i="8" s="1"/>
  <c r="AK16" i="8" s="1"/>
  <c r="T17" i="8"/>
  <c r="AB17" i="8" s="1"/>
  <c r="AJ17" i="8" s="1"/>
  <c r="U17" i="8"/>
  <c r="AC17" i="8" s="1"/>
  <c r="AK17" i="8" s="1"/>
  <c r="T18" i="8"/>
  <c r="AB18" i="8" s="1"/>
  <c r="AJ18" i="8" s="1"/>
  <c r="U18" i="8"/>
  <c r="AC18" i="8" s="1"/>
  <c r="AK18" i="8" s="1"/>
  <c r="T19" i="8"/>
  <c r="AB19" i="8" s="1"/>
  <c r="AJ19" i="8" s="1"/>
  <c r="U19" i="8"/>
  <c r="AC19" i="8" s="1"/>
  <c r="AK19" i="8" s="1"/>
  <c r="T20" i="8"/>
  <c r="AB20" i="8" s="1"/>
  <c r="AJ20" i="8" s="1"/>
  <c r="U20" i="8"/>
  <c r="AC20" i="8" s="1"/>
  <c r="AK20" i="8" s="1"/>
  <c r="T21" i="8"/>
  <c r="AB21" i="8" s="1"/>
  <c r="AJ21" i="8" s="1"/>
  <c r="U21" i="8"/>
  <c r="AC21" i="8" s="1"/>
  <c r="AK21" i="8" s="1"/>
  <c r="T22" i="8"/>
  <c r="AB22" i="8" s="1"/>
  <c r="AJ22" i="8" s="1"/>
  <c r="U22" i="8"/>
  <c r="AC22" i="8" s="1"/>
  <c r="AK22" i="8" s="1"/>
  <c r="T23" i="8"/>
  <c r="AB23" i="8" s="1"/>
  <c r="AJ23" i="8" s="1"/>
  <c r="U23" i="8"/>
  <c r="AC23" i="8" s="1"/>
  <c r="AK23" i="8" s="1"/>
  <c r="T24" i="8"/>
  <c r="AB24" i="8" s="1"/>
  <c r="AJ24" i="8" s="1"/>
  <c r="U24" i="8"/>
  <c r="AC24" i="8" s="1"/>
  <c r="AK24" i="8" s="1"/>
  <c r="T25" i="8"/>
  <c r="AB25" i="8" s="1"/>
  <c r="AJ25" i="8" s="1"/>
  <c r="U25" i="8"/>
  <c r="AC25" i="8" s="1"/>
  <c r="AK25" i="8" s="1"/>
  <c r="T26" i="8"/>
  <c r="AB26" i="8" s="1"/>
  <c r="AJ26" i="8" s="1"/>
  <c r="U26" i="8"/>
  <c r="AC26" i="8" s="1"/>
  <c r="AK26" i="8" s="1"/>
  <c r="T27" i="8"/>
  <c r="AB27" i="8" s="1"/>
  <c r="AJ27" i="8" s="1"/>
  <c r="U27" i="8"/>
  <c r="AC27" i="8" s="1"/>
  <c r="AK27" i="8" s="1"/>
  <c r="T28" i="8"/>
  <c r="AB28" i="8" s="1"/>
  <c r="AJ28" i="8" s="1"/>
  <c r="U28" i="8"/>
  <c r="AC28" i="8" s="1"/>
  <c r="AK28" i="8" s="1"/>
  <c r="T29" i="8"/>
  <c r="AB29" i="8" s="1"/>
  <c r="AJ29" i="8" s="1"/>
  <c r="U29" i="8"/>
  <c r="AC29" i="8" s="1"/>
  <c r="AK29" i="8" s="1"/>
  <c r="T30" i="8"/>
  <c r="AB30" i="8" s="1"/>
  <c r="AJ30" i="8" s="1"/>
  <c r="U30" i="8"/>
  <c r="AC30" i="8" s="1"/>
  <c r="AK30" i="8" s="1"/>
  <c r="T31" i="8"/>
  <c r="AB31" i="8" s="1"/>
  <c r="AJ31" i="8" s="1"/>
  <c r="U31" i="8"/>
  <c r="AC31" i="8" s="1"/>
  <c r="AK31" i="8" s="1"/>
  <c r="T32" i="8"/>
  <c r="AB32" i="8" s="1"/>
  <c r="AJ32" i="8" s="1"/>
  <c r="U32" i="8"/>
  <c r="AC32" i="8" s="1"/>
  <c r="AK32" i="8" s="1"/>
  <c r="T33" i="8"/>
  <c r="AB33" i="8" s="1"/>
  <c r="AJ33" i="8" s="1"/>
  <c r="U33" i="8"/>
  <c r="AC33" i="8" s="1"/>
  <c r="AK33" i="8" s="1"/>
  <c r="T34" i="8"/>
  <c r="AB34" i="8" s="1"/>
  <c r="AJ34" i="8" s="1"/>
  <c r="U34" i="8"/>
  <c r="AC34" i="8" s="1"/>
  <c r="AK34" i="8" s="1"/>
  <c r="T35" i="8"/>
  <c r="AB35" i="8" s="1"/>
  <c r="AJ35" i="8" s="1"/>
  <c r="U35" i="8"/>
  <c r="AC35" i="8" s="1"/>
  <c r="AK35" i="8" s="1"/>
  <c r="T36" i="8"/>
  <c r="AB36" i="8" s="1"/>
  <c r="AJ36" i="8" s="1"/>
  <c r="U36" i="8"/>
  <c r="AC36" i="8" s="1"/>
  <c r="AK36" i="8" s="1"/>
  <c r="T37" i="8"/>
  <c r="AB37" i="8" s="1"/>
  <c r="AJ37" i="8" s="1"/>
  <c r="U37" i="8"/>
  <c r="AC37" i="8" s="1"/>
  <c r="AK37" i="8" s="1"/>
  <c r="T38" i="8"/>
  <c r="AB38" i="8" s="1"/>
  <c r="AJ38" i="8" s="1"/>
  <c r="U38" i="8"/>
  <c r="AC38" i="8" s="1"/>
  <c r="AK38" i="8" s="1"/>
  <c r="T39" i="8"/>
  <c r="AB39" i="8" s="1"/>
  <c r="AJ39" i="8" s="1"/>
  <c r="U39" i="8"/>
  <c r="AC39" i="8" s="1"/>
  <c r="AK39" i="8" s="1"/>
  <c r="T40" i="8"/>
  <c r="AB40" i="8" s="1"/>
  <c r="AJ40" i="8" s="1"/>
  <c r="U40" i="8"/>
  <c r="AC40" i="8" s="1"/>
  <c r="AK40" i="8" s="1"/>
  <c r="T41" i="8"/>
  <c r="AB41" i="8" s="1"/>
  <c r="AJ41" i="8" s="1"/>
  <c r="U41" i="8"/>
  <c r="AC41" i="8" s="1"/>
  <c r="AK41" i="8" s="1"/>
  <c r="T42" i="8"/>
  <c r="AB42" i="8" s="1"/>
  <c r="AJ42" i="8" s="1"/>
  <c r="U42" i="8"/>
  <c r="AC42" i="8" s="1"/>
  <c r="AK42" i="8" s="1"/>
  <c r="T43" i="8"/>
  <c r="AB43" i="8" s="1"/>
  <c r="AJ43" i="8" s="1"/>
  <c r="U43" i="8"/>
  <c r="AC43" i="8" s="1"/>
  <c r="AK43" i="8" s="1"/>
  <c r="T44" i="8"/>
  <c r="AB44" i="8" s="1"/>
  <c r="AJ44" i="8" s="1"/>
  <c r="U44" i="8"/>
  <c r="AC44" i="8" s="1"/>
  <c r="AK44" i="8" s="1"/>
  <c r="T45" i="8"/>
  <c r="AB45" i="8" s="1"/>
  <c r="AJ45" i="8" s="1"/>
  <c r="U45" i="8"/>
  <c r="AC45" i="8" s="1"/>
  <c r="AK45" i="8" s="1"/>
  <c r="T46" i="8"/>
  <c r="AB46" i="8" s="1"/>
  <c r="AJ46" i="8" s="1"/>
  <c r="U46" i="8"/>
  <c r="AC46" i="8" s="1"/>
  <c r="AK46" i="8" s="1"/>
  <c r="T47" i="8"/>
  <c r="AB47" i="8" s="1"/>
  <c r="AJ47" i="8" s="1"/>
  <c r="U47" i="8"/>
  <c r="AC47" i="8" s="1"/>
  <c r="AK47" i="8" s="1"/>
  <c r="T48" i="8"/>
  <c r="AB48" i="8" s="1"/>
  <c r="AJ48" i="8" s="1"/>
  <c r="U48" i="8"/>
  <c r="AC48" i="8" s="1"/>
  <c r="AK48" i="8" s="1"/>
  <c r="T49" i="8"/>
  <c r="AB49" i="8" s="1"/>
  <c r="AJ49" i="8" s="1"/>
  <c r="U49" i="8"/>
  <c r="AC49" i="8" s="1"/>
  <c r="AK49" i="8" s="1"/>
  <c r="T50" i="8"/>
  <c r="AB50" i="8" s="1"/>
  <c r="AJ50" i="8" s="1"/>
  <c r="U50" i="8"/>
  <c r="AC50" i="8" s="1"/>
  <c r="AK50" i="8" s="1"/>
  <c r="T51" i="8"/>
  <c r="AB51" i="8" s="1"/>
  <c r="AJ51" i="8" s="1"/>
  <c r="U51" i="8"/>
  <c r="AC51" i="8" s="1"/>
  <c r="AK51" i="8" s="1"/>
  <c r="T52" i="8"/>
  <c r="AB52" i="8" s="1"/>
  <c r="AJ52" i="8" s="1"/>
  <c r="U52" i="8"/>
  <c r="AC52" i="8" s="1"/>
  <c r="AK52" i="8" s="1"/>
  <c r="T53" i="8"/>
  <c r="AB53" i="8" s="1"/>
  <c r="AJ53" i="8" s="1"/>
  <c r="U53" i="8"/>
  <c r="AC53" i="8" s="1"/>
  <c r="AK53" i="8" s="1"/>
  <c r="T54" i="8"/>
  <c r="AB54" i="8" s="1"/>
  <c r="AJ54" i="8" s="1"/>
  <c r="U54" i="8"/>
  <c r="AC54" i="8" s="1"/>
  <c r="AK54" i="8" s="1"/>
  <c r="T55" i="8"/>
  <c r="AB55" i="8" s="1"/>
  <c r="AJ55" i="8" s="1"/>
  <c r="U55" i="8"/>
  <c r="AC55" i="8" s="1"/>
  <c r="AK55" i="8" s="1"/>
  <c r="T56" i="8"/>
  <c r="AB56" i="8" s="1"/>
  <c r="AJ56" i="8" s="1"/>
  <c r="U56" i="8"/>
  <c r="AC56" i="8" s="1"/>
  <c r="AK56" i="8" s="1"/>
  <c r="T57" i="8"/>
  <c r="AB57" i="8" s="1"/>
  <c r="AJ57" i="8" s="1"/>
  <c r="U57" i="8"/>
  <c r="AC57" i="8" s="1"/>
  <c r="AK57" i="8" s="1"/>
  <c r="T58" i="8"/>
  <c r="AB58" i="8" s="1"/>
  <c r="AJ58" i="8" s="1"/>
  <c r="U58" i="8"/>
  <c r="AC58" i="8" s="1"/>
  <c r="AK58" i="8" s="1"/>
  <c r="T59" i="8"/>
  <c r="AB59" i="8" s="1"/>
  <c r="AJ59" i="8" s="1"/>
  <c r="U59" i="8"/>
  <c r="AC59" i="8" s="1"/>
  <c r="AK59" i="8" s="1"/>
  <c r="T60" i="8"/>
  <c r="AB60" i="8" s="1"/>
  <c r="AJ60" i="8" s="1"/>
  <c r="U60" i="8"/>
  <c r="AC60" i="8" s="1"/>
  <c r="AK60" i="8" s="1"/>
  <c r="T61" i="8"/>
  <c r="AB61" i="8" s="1"/>
  <c r="AJ61" i="8" s="1"/>
  <c r="U61" i="8"/>
  <c r="AC61" i="8" s="1"/>
  <c r="AK61" i="8" s="1"/>
  <c r="T62" i="8"/>
  <c r="AB62" i="8" s="1"/>
  <c r="AJ62" i="8" s="1"/>
  <c r="U62" i="8"/>
  <c r="AC62" i="8" s="1"/>
  <c r="AK62" i="8" s="1"/>
  <c r="T63" i="8"/>
  <c r="AB63" i="8" s="1"/>
  <c r="AJ63" i="8" s="1"/>
  <c r="U63" i="8"/>
  <c r="AC63" i="8" s="1"/>
  <c r="AK63" i="8" s="1"/>
  <c r="T64" i="8"/>
  <c r="AB64" i="8" s="1"/>
  <c r="AJ64" i="8" s="1"/>
  <c r="U64" i="8"/>
  <c r="AC64" i="8" s="1"/>
  <c r="AK64" i="8" s="1"/>
  <c r="T65" i="8"/>
  <c r="AB65" i="8" s="1"/>
  <c r="AJ65" i="8" s="1"/>
  <c r="U65" i="8"/>
  <c r="AC65" i="8" s="1"/>
  <c r="AK65" i="8" s="1"/>
  <c r="T66" i="8"/>
  <c r="AB66" i="8" s="1"/>
  <c r="AJ66" i="8" s="1"/>
  <c r="U66" i="8"/>
  <c r="AC66" i="8" s="1"/>
  <c r="AK66" i="8" s="1"/>
  <c r="T67" i="8"/>
  <c r="AB67" i="8" s="1"/>
  <c r="AJ67" i="8" s="1"/>
  <c r="U67" i="8"/>
  <c r="AC67" i="8" s="1"/>
  <c r="AK67" i="8" s="1"/>
  <c r="T68" i="8"/>
  <c r="AB68" i="8" s="1"/>
  <c r="AJ68" i="8" s="1"/>
  <c r="U68" i="8"/>
  <c r="AC68" i="8" s="1"/>
  <c r="AK68" i="8" s="1"/>
  <c r="T69" i="8"/>
  <c r="AB69" i="8" s="1"/>
  <c r="AJ69" i="8" s="1"/>
  <c r="U69" i="8"/>
  <c r="AC69" i="8" s="1"/>
  <c r="AK69" i="8" s="1"/>
  <c r="T70" i="8"/>
  <c r="AB70" i="8" s="1"/>
  <c r="AJ70" i="8" s="1"/>
  <c r="U70" i="8"/>
  <c r="AC70" i="8" s="1"/>
  <c r="AK70" i="8" s="1"/>
  <c r="T71" i="8"/>
  <c r="AB71" i="8" s="1"/>
  <c r="AJ71" i="8" s="1"/>
  <c r="U71" i="8"/>
  <c r="AC71" i="8" s="1"/>
  <c r="AK71" i="8" s="1"/>
  <c r="T72" i="8"/>
  <c r="AB72" i="8" s="1"/>
  <c r="AJ72" i="8" s="1"/>
  <c r="U72" i="8"/>
  <c r="AC72" i="8" s="1"/>
  <c r="AK72" i="8" s="1"/>
  <c r="T73" i="8"/>
  <c r="AB73" i="8" s="1"/>
  <c r="AJ73" i="8" s="1"/>
  <c r="U73" i="8"/>
  <c r="AC73" i="8" s="1"/>
  <c r="AK73" i="8" s="1"/>
  <c r="T74" i="8"/>
  <c r="AB74" i="8" s="1"/>
  <c r="AJ74" i="8" s="1"/>
  <c r="U74" i="8"/>
  <c r="AC74" i="8" s="1"/>
  <c r="AK74" i="8" s="1"/>
  <c r="T75" i="8"/>
  <c r="AB75" i="8" s="1"/>
  <c r="AJ75" i="8" s="1"/>
  <c r="U75" i="8"/>
  <c r="AC75" i="8" s="1"/>
  <c r="AK75" i="8" s="1"/>
  <c r="T76" i="8"/>
  <c r="AB76" i="8" s="1"/>
  <c r="AJ76" i="8" s="1"/>
  <c r="U76" i="8"/>
  <c r="AC76" i="8" s="1"/>
  <c r="AK76" i="8" s="1"/>
  <c r="T77" i="8"/>
  <c r="AB77" i="8" s="1"/>
  <c r="AJ77" i="8" s="1"/>
  <c r="U77" i="8"/>
  <c r="AC77" i="8" s="1"/>
  <c r="AK77" i="8" s="1"/>
  <c r="T78" i="8"/>
  <c r="AB78" i="8" s="1"/>
  <c r="AJ78" i="8" s="1"/>
  <c r="U78" i="8"/>
  <c r="AC78" i="8" s="1"/>
  <c r="AK78" i="8" s="1"/>
  <c r="T79" i="8"/>
  <c r="AB79" i="8" s="1"/>
  <c r="AJ79" i="8" s="1"/>
  <c r="U79" i="8"/>
  <c r="AC79" i="8" s="1"/>
  <c r="AK79" i="8" s="1"/>
  <c r="T80" i="8"/>
  <c r="AB80" i="8" s="1"/>
  <c r="AJ80" i="8" s="1"/>
  <c r="U80" i="8"/>
  <c r="AC80" i="8" s="1"/>
  <c r="AK80" i="8" s="1"/>
  <c r="T81" i="8"/>
  <c r="AB81" i="8" s="1"/>
  <c r="AJ81" i="8" s="1"/>
  <c r="U81" i="8"/>
  <c r="AC81" i="8" s="1"/>
  <c r="AK81" i="8" s="1"/>
  <c r="T82" i="8"/>
  <c r="AB82" i="8" s="1"/>
  <c r="AJ82" i="8" s="1"/>
  <c r="U82" i="8"/>
  <c r="AC82" i="8" s="1"/>
  <c r="AK82" i="8" s="1"/>
  <c r="T83" i="8"/>
  <c r="AB83" i="8" s="1"/>
  <c r="AJ83" i="8" s="1"/>
  <c r="U83" i="8"/>
  <c r="AC83" i="8" s="1"/>
  <c r="AK83" i="8" s="1"/>
  <c r="T84" i="8"/>
  <c r="AB84" i="8" s="1"/>
  <c r="AJ84" i="8" s="1"/>
  <c r="U84" i="8"/>
  <c r="AC84" i="8" s="1"/>
  <c r="AK84" i="8" s="1"/>
  <c r="T85" i="8"/>
  <c r="AB85" i="8" s="1"/>
  <c r="AJ85" i="8" s="1"/>
  <c r="U85" i="8"/>
  <c r="AC85" i="8" s="1"/>
  <c r="AK85" i="8" s="1"/>
  <c r="T86" i="8"/>
  <c r="AB86" i="8" s="1"/>
  <c r="AJ86" i="8" s="1"/>
  <c r="U86" i="8"/>
  <c r="AC86" i="8" s="1"/>
  <c r="AK86" i="8" s="1"/>
  <c r="T87" i="8"/>
  <c r="AB87" i="8" s="1"/>
  <c r="AJ87" i="8" s="1"/>
  <c r="U87" i="8"/>
  <c r="AC87" i="8" s="1"/>
  <c r="AK87" i="8" s="1"/>
  <c r="T88" i="8"/>
  <c r="AB88" i="8" s="1"/>
  <c r="AJ88" i="8" s="1"/>
  <c r="U88" i="8"/>
  <c r="AC88" i="8" s="1"/>
  <c r="AK88" i="8" s="1"/>
  <c r="T89" i="8"/>
  <c r="AB89" i="8" s="1"/>
  <c r="AJ89" i="8" s="1"/>
  <c r="U89" i="8"/>
  <c r="AC89" i="8" s="1"/>
  <c r="AK89" i="8" s="1"/>
  <c r="T90" i="8"/>
  <c r="AB90" i="8" s="1"/>
  <c r="AJ90" i="8" s="1"/>
  <c r="U90" i="8"/>
  <c r="AC90" i="8" s="1"/>
  <c r="AK90" i="8" s="1"/>
  <c r="T91" i="8"/>
  <c r="AB91" i="8" s="1"/>
  <c r="AJ91" i="8" s="1"/>
  <c r="U91" i="8"/>
  <c r="AC91" i="8" s="1"/>
  <c r="AK91" i="8" s="1"/>
  <c r="T92" i="8"/>
  <c r="AB92" i="8" s="1"/>
  <c r="AJ92" i="8" s="1"/>
  <c r="U92" i="8"/>
  <c r="AC92" i="8" s="1"/>
  <c r="AK92" i="8" s="1"/>
  <c r="T93" i="8"/>
  <c r="AB93" i="8" s="1"/>
  <c r="AJ93" i="8" s="1"/>
  <c r="U93" i="8"/>
  <c r="AC93" i="8" s="1"/>
  <c r="AK93" i="8" s="1"/>
  <c r="T94" i="8"/>
  <c r="AB94" i="8" s="1"/>
  <c r="AJ94" i="8" s="1"/>
  <c r="U94" i="8"/>
  <c r="AC94" i="8" s="1"/>
  <c r="AK94" i="8" s="1"/>
  <c r="T95" i="8"/>
  <c r="AB95" i="8" s="1"/>
  <c r="AJ95" i="8" s="1"/>
  <c r="U95" i="8"/>
  <c r="AC95" i="8" s="1"/>
  <c r="AK95" i="8" s="1"/>
  <c r="T96" i="8"/>
  <c r="AB96" i="8" s="1"/>
  <c r="AJ96" i="8" s="1"/>
  <c r="U96" i="8"/>
  <c r="AC96" i="8" s="1"/>
  <c r="AK96" i="8" s="1"/>
  <c r="T97" i="8"/>
  <c r="AB97" i="8" s="1"/>
  <c r="AJ97" i="8" s="1"/>
  <c r="U97" i="8"/>
  <c r="AC97" i="8" s="1"/>
  <c r="AK97" i="8" s="1"/>
  <c r="T98" i="8"/>
  <c r="AB98" i="8" s="1"/>
  <c r="AJ98" i="8" s="1"/>
  <c r="U98" i="8"/>
  <c r="AC98" i="8" s="1"/>
  <c r="AK98" i="8" s="1"/>
  <c r="T99" i="8"/>
  <c r="AB99" i="8" s="1"/>
  <c r="AJ99" i="8" s="1"/>
  <c r="U99" i="8"/>
  <c r="AC99" i="8" s="1"/>
  <c r="AK99" i="8" s="1"/>
  <c r="T100" i="8"/>
  <c r="AB100" i="8" s="1"/>
  <c r="AJ100" i="8" s="1"/>
  <c r="U100" i="8"/>
  <c r="AC100" i="8" s="1"/>
  <c r="AK100" i="8" s="1"/>
  <c r="T101" i="8"/>
  <c r="AB101" i="8" s="1"/>
  <c r="AJ101" i="8" s="1"/>
  <c r="U101" i="8"/>
  <c r="AC101" i="8" s="1"/>
  <c r="AK101" i="8" s="1"/>
  <c r="T102" i="8"/>
  <c r="AB102" i="8" s="1"/>
  <c r="AJ102" i="8" s="1"/>
  <c r="U102" i="8"/>
  <c r="AC102" i="8" s="1"/>
  <c r="AK102" i="8" s="1"/>
  <c r="T103" i="8"/>
  <c r="AB103" i="8" s="1"/>
  <c r="AJ103" i="8" s="1"/>
  <c r="U103" i="8"/>
  <c r="AC103" i="8" s="1"/>
  <c r="AK103" i="8" s="1"/>
  <c r="T104" i="8"/>
  <c r="AB104" i="8" s="1"/>
  <c r="AJ104" i="8" s="1"/>
  <c r="U104" i="8"/>
  <c r="AC104" i="8" s="1"/>
  <c r="AK104" i="8" s="1"/>
  <c r="T105" i="8"/>
  <c r="AB105" i="8" s="1"/>
  <c r="AJ105" i="8" s="1"/>
  <c r="U105" i="8"/>
  <c r="AC105" i="8" s="1"/>
  <c r="AK105" i="8" s="1"/>
  <c r="T106" i="8"/>
  <c r="AB106" i="8" s="1"/>
  <c r="AJ106" i="8" s="1"/>
  <c r="U106" i="8"/>
  <c r="AC106" i="8" s="1"/>
  <c r="AK106" i="8" s="1"/>
  <c r="T107" i="8"/>
  <c r="AB107" i="8" s="1"/>
  <c r="AJ107" i="8" s="1"/>
  <c r="U107" i="8"/>
  <c r="AC107" i="8" s="1"/>
  <c r="AK107" i="8" s="1"/>
  <c r="T108" i="8"/>
  <c r="AB108" i="8" s="1"/>
  <c r="AJ108" i="8" s="1"/>
  <c r="U108" i="8"/>
  <c r="AC108" i="8" s="1"/>
  <c r="AK108" i="8" s="1"/>
  <c r="T109" i="8"/>
  <c r="AB109" i="8" s="1"/>
  <c r="AJ109" i="8" s="1"/>
  <c r="U109" i="8"/>
  <c r="AC109" i="8" s="1"/>
  <c r="AK109" i="8" s="1"/>
  <c r="T110" i="8"/>
  <c r="AB110" i="8" s="1"/>
  <c r="AJ110" i="8" s="1"/>
  <c r="U110" i="8"/>
  <c r="AC110" i="8" s="1"/>
  <c r="AK110" i="8" s="1"/>
  <c r="T111" i="8"/>
  <c r="AB111" i="8" s="1"/>
  <c r="AJ111" i="8" s="1"/>
  <c r="U111" i="8"/>
  <c r="AC111" i="8" s="1"/>
  <c r="AK111" i="8" s="1"/>
  <c r="T112" i="8"/>
  <c r="AB112" i="8" s="1"/>
  <c r="AJ112" i="8" s="1"/>
  <c r="U112" i="8"/>
  <c r="AC112" i="8" s="1"/>
  <c r="AK112" i="8" s="1"/>
  <c r="T113" i="8"/>
  <c r="AB113" i="8" s="1"/>
  <c r="AJ113" i="8" s="1"/>
  <c r="U113" i="8"/>
  <c r="AC113" i="8" s="1"/>
  <c r="AK113" i="8" s="1"/>
  <c r="T114" i="8"/>
  <c r="AB114" i="8" s="1"/>
  <c r="AJ114" i="8" s="1"/>
  <c r="U114" i="8"/>
  <c r="AC114" i="8" s="1"/>
  <c r="AK114" i="8" s="1"/>
  <c r="T115" i="8"/>
  <c r="AB115" i="8" s="1"/>
  <c r="AJ115" i="8" s="1"/>
  <c r="U115" i="8"/>
  <c r="AC115" i="8" s="1"/>
  <c r="AK115" i="8" s="1"/>
  <c r="T116" i="8"/>
  <c r="AB116" i="8" s="1"/>
  <c r="AJ116" i="8" s="1"/>
  <c r="U116" i="8"/>
  <c r="AC116" i="8" s="1"/>
  <c r="AK116" i="8" s="1"/>
  <c r="T117" i="8"/>
  <c r="AB117" i="8" s="1"/>
  <c r="AJ117" i="8" s="1"/>
  <c r="U117" i="8"/>
  <c r="AC117" i="8" s="1"/>
  <c r="AK117" i="8" s="1"/>
  <c r="T118" i="8"/>
  <c r="AB118" i="8" s="1"/>
  <c r="AJ118" i="8" s="1"/>
  <c r="U118" i="8"/>
  <c r="AC118" i="8" s="1"/>
  <c r="AK118" i="8" s="1"/>
  <c r="T119" i="8"/>
  <c r="AB119" i="8" s="1"/>
  <c r="AJ119" i="8" s="1"/>
  <c r="U119" i="8"/>
  <c r="AC119" i="8" s="1"/>
  <c r="AK119" i="8" s="1"/>
  <c r="T120" i="8"/>
  <c r="AB120" i="8" s="1"/>
  <c r="AJ120" i="8" s="1"/>
  <c r="U120" i="8"/>
  <c r="AC120" i="8" s="1"/>
  <c r="AK120" i="8" s="1"/>
  <c r="T121" i="8"/>
  <c r="AB121" i="8" s="1"/>
  <c r="AJ121" i="8" s="1"/>
  <c r="U121" i="8"/>
  <c r="AC121" i="8" s="1"/>
  <c r="AK121" i="8" s="1"/>
  <c r="T122" i="8"/>
  <c r="AB122" i="8" s="1"/>
  <c r="AJ122" i="8" s="1"/>
  <c r="U122" i="8"/>
  <c r="AC122" i="8" s="1"/>
  <c r="AK122" i="8" s="1"/>
  <c r="T123" i="8"/>
  <c r="AB123" i="8" s="1"/>
  <c r="AJ123" i="8" s="1"/>
  <c r="U123" i="8"/>
  <c r="AC123" i="8" s="1"/>
  <c r="AK123" i="8" s="1"/>
  <c r="T124" i="8"/>
  <c r="AB124" i="8" s="1"/>
  <c r="AJ124" i="8" s="1"/>
  <c r="U124" i="8"/>
  <c r="AC124" i="8" s="1"/>
  <c r="AK124" i="8" s="1"/>
  <c r="T125" i="8"/>
  <c r="AB125" i="8" s="1"/>
  <c r="AJ125" i="8" s="1"/>
  <c r="U125" i="8"/>
  <c r="AC125" i="8" s="1"/>
  <c r="AK125" i="8" s="1"/>
  <c r="T126" i="8"/>
  <c r="AB126" i="8" s="1"/>
  <c r="AJ126" i="8" s="1"/>
  <c r="U126" i="8"/>
  <c r="AC126" i="8" s="1"/>
  <c r="AK126" i="8" s="1"/>
  <c r="T127" i="8"/>
  <c r="AB127" i="8" s="1"/>
  <c r="AJ127" i="8" s="1"/>
  <c r="U127" i="8"/>
  <c r="AC127" i="8" s="1"/>
  <c r="AK127" i="8" s="1"/>
  <c r="T128" i="8"/>
  <c r="AB128" i="8" s="1"/>
  <c r="AJ128" i="8" s="1"/>
  <c r="U128" i="8"/>
  <c r="AC128" i="8" s="1"/>
  <c r="AK128" i="8" s="1"/>
  <c r="T129" i="8"/>
  <c r="AB129" i="8" s="1"/>
  <c r="AJ129" i="8" s="1"/>
  <c r="U129" i="8"/>
  <c r="AC129" i="8" s="1"/>
  <c r="AK129" i="8" s="1"/>
  <c r="T130" i="8"/>
  <c r="AB130" i="8" s="1"/>
  <c r="AJ130" i="8" s="1"/>
  <c r="U130" i="8"/>
  <c r="AC130" i="8" s="1"/>
  <c r="AK130" i="8" s="1"/>
  <c r="T131" i="8"/>
  <c r="AB131" i="8" s="1"/>
  <c r="AJ131" i="8" s="1"/>
  <c r="U131" i="8"/>
  <c r="AC131" i="8" s="1"/>
  <c r="AK131" i="8" s="1"/>
  <c r="T132" i="8"/>
  <c r="AB132" i="8" s="1"/>
  <c r="AJ132" i="8" s="1"/>
  <c r="U132" i="8"/>
  <c r="AC132" i="8" s="1"/>
  <c r="AK132" i="8" s="1"/>
  <c r="T133" i="8"/>
  <c r="AB133" i="8" s="1"/>
  <c r="AJ133" i="8" s="1"/>
  <c r="U133" i="8"/>
  <c r="AC133" i="8" s="1"/>
  <c r="AK133" i="8" s="1"/>
  <c r="T134" i="8"/>
  <c r="AB134" i="8" s="1"/>
  <c r="AJ134" i="8" s="1"/>
  <c r="U134" i="8"/>
  <c r="AC134" i="8" s="1"/>
  <c r="AK134" i="8" s="1"/>
  <c r="T135" i="8"/>
  <c r="AB135" i="8" s="1"/>
  <c r="AJ135" i="8" s="1"/>
  <c r="U135" i="8"/>
  <c r="AC135" i="8" s="1"/>
  <c r="AK135" i="8" s="1"/>
  <c r="T136" i="8"/>
  <c r="AB136" i="8" s="1"/>
  <c r="AJ136" i="8" s="1"/>
  <c r="U136" i="8"/>
  <c r="AC136" i="8" s="1"/>
  <c r="AK136" i="8" s="1"/>
  <c r="T137" i="8"/>
  <c r="AB137" i="8" s="1"/>
  <c r="AJ137" i="8" s="1"/>
  <c r="U137" i="8"/>
  <c r="AC137" i="8" s="1"/>
  <c r="AK137" i="8" s="1"/>
  <c r="T138" i="8"/>
  <c r="AB138" i="8" s="1"/>
  <c r="AJ138" i="8" s="1"/>
  <c r="U138" i="8"/>
  <c r="AC138" i="8" s="1"/>
  <c r="AK138" i="8" s="1"/>
  <c r="T139" i="8"/>
  <c r="AB139" i="8" s="1"/>
  <c r="AJ139" i="8" s="1"/>
  <c r="U139" i="8"/>
  <c r="AC139" i="8" s="1"/>
  <c r="AK139" i="8" s="1"/>
  <c r="T140" i="8"/>
  <c r="AB140" i="8" s="1"/>
  <c r="AJ140" i="8" s="1"/>
  <c r="U140" i="8"/>
  <c r="AC140" i="8" s="1"/>
  <c r="AK140" i="8" s="1"/>
  <c r="T141" i="8"/>
  <c r="AB141" i="8" s="1"/>
  <c r="AJ141" i="8" s="1"/>
  <c r="U141" i="8"/>
  <c r="AC141" i="8" s="1"/>
  <c r="AK141" i="8" s="1"/>
  <c r="T142" i="8"/>
  <c r="AB142" i="8" s="1"/>
  <c r="AJ142" i="8" s="1"/>
  <c r="U142" i="8"/>
  <c r="AC142" i="8" s="1"/>
  <c r="AK142" i="8" s="1"/>
  <c r="T143" i="8"/>
  <c r="AB143" i="8" s="1"/>
  <c r="AJ143" i="8" s="1"/>
  <c r="U143" i="8"/>
  <c r="AC143" i="8" s="1"/>
  <c r="AK143" i="8" s="1"/>
  <c r="T144" i="8"/>
  <c r="AB144" i="8" s="1"/>
  <c r="AJ144" i="8" s="1"/>
  <c r="U144" i="8"/>
  <c r="AC144" i="8" s="1"/>
  <c r="AK144" i="8" s="1"/>
  <c r="T145" i="8"/>
  <c r="AB145" i="8" s="1"/>
  <c r="AJ145" i="8" s="1"/>
  <c r="U145" i="8"/>
  <c r="AC145" i="8" s="1"/>
  <c r="AK145" i="8" s="1"/>
  <c r="T146" i="8"/>
  <c r="AB146" i="8" s="1"/>
  <c r="AJ146" i="8" s="1"/>
  <c r="U146" i="8"/>
  <c r="AC146" i="8" s="1"/>
  <c r="AK146" i="8" s="1"/>
  <c r="T147" i="8"/>
  <c r="AB147" i="8" s="1"/>
  <c r="AJ147" i="8" s="1"/>
  <c r="U147" i="8"/>
  <c r="AC147" i="8" s="1"/>
  <c r="AK147" i="8" s="1"/>
  <c r="T148" i="8"/>
  <c r="AB148" i="8" s="1"/>
  <c r="AJ148" i="8" s="1"/>
  <c r="U148" i="8"/>
  <c r="AC148" i="8" s="1"/>
  <c r="AK148" i="8" s="1"/>
  <c r="T149" i="8"/>
  <c r="AB149" i="8" s="1"/>
  <c r="AJ149" i="8" s="1"/>
  <c r="U149" i="8"/>
  <c r="AC149" i="8" s="1"/>
  <c r="AK149" i="8" s="1"/>
  <c r="T150" i="8"/>
  <c r="AB150" i="8" s="1"/>
  <c r="AJ150" i="8" s="1"/>
  <c r="U150" i="8"/>
  <c r="AC150" i="8" s="1"/>
  <c r="AK150" i="8" s="1"/>
  <c r="T151" i="8"/>
  <c r="AB151" i="8" s="1"/>
  <c r="AJ151" i="8" s="1"/>
  <c r="U151" i="8"/>
  <c r="AC151" i="8" s="1"/>
  <c r="AK151" i="8" s="1"/>
  <c r="T152" i="8"/>
  <c r="AB152" i="8" s="1"/>
  <c r="AJ152" i="8" s="1"/>
  <c r="U152" i="8"/>
  <c r="AC152" i="8" s="1"/>
  <c r="AK152" i="8" s="1"/>
  <c r="T153" i="8"/>
  <c r="AB153" i="8" s="1"/>
  <c r="AJ153" i="8" s="1"/>
  <c r="U153" i="8"/>
  <c r="AC153" i="8" s="1"/>
  <c r="AK153" i="8" s="1"/>
  <c r="T154" i="8"/>
  <c r="AB154" i="8" s="1"/>
  <c r="AJ154" i="8" s="1"/>
  <c r="U154" i="8"/>
  <c r="AC154" i="8" s="1"/>
  <c r="AK154" i="8" s="1"/>
  <c r="T155" i="8"/>
  <c r="AB155" i="8" s="1"/>
  <c r="AJ155" i="8" s="1"/>
  <c r="U155" i="8"/>
  <c r="AC155" i="8" s="1"/>
  <c r="AK155" i="8" s="1"/>
  <c r="T156" i="8"/>
  <c r="AB156" i="8" s="1"/>
  <c r="AJ156" i="8" s="1"/>
  <c r="U156" i="8"/>
  <c r="AC156" i="8" s="1"/>
  <c r="AK156" i="8" s="1"/>
  <c r="T157" i="8"/>
  <c r="AB157" i="8" s="1"/>
  <c r="AJ157" i="8" s="1"/>
  <c r="U157" i="8"/>
  <c r="AC157" i="8" s="1"/>
  <c r="AK157" i="8" s="1"/>
  <c r="T158" i="8"/>
  <c r="AB158" i="8" s="1"/>
  <c r="AJ158" i="8" s="1"/>
  <c r="U158" i="8"/>
  <c r="AC158" i="8" s="1"/>
  <c r="AK158" i="8" s="1"/>
  <c r="T159" i="8"/>
  <c r="AB159" i="8" s="1"/>
  <c r="AJ159" i="8" s="1"/>
  <c r="U159" i="8"/>
  <c r="AC159" i="8" s="1"/>
  <c r="AK159" i="8" s="1"/>
  <c r="T160" i="8"/>
  <c r="AB160" i="8" s="1"/>
  <c r="AJ160" i="8" s="1"/>
  <c r="U160" i="8"/>
  <c r="AC160" i="8" s="1"/>
  <c r="AK160" i="8" s="1"/>
  <c r="T161" i="8"/>
  <c r="AB161" i="8" s="1"/>
  <c r="AJ161" i="8" s="1"/>
  <c r="U161" i="8"/>
  <c r="AC161" i="8" s="1"/>
  <c r="AK161" i="8" s="1"/>
  <c r="T162" i="8"/>
  <c r="AB162" i="8" s="1"/>
  <c r="AJ162" i="8" s="1"/>
  <c r="U162" i="8"/>
  <c r="AC162" i="8" s="1"/>
  <c r="AK162" i="8" s="1"/>
  <c r="T163" i="8"/>
  <c r="AB163" i="8" s="1"/>
  <c r="AJ163" i="8" s="1"/>
  <c r="U163" i="8"/>
  <c r="AC163" i="8" s="1"/>
  <c r="AK163" i="8" s="1"/>
  <c r="T164" i="8"/>
  <c r="AB164" i="8" s="1"/>
  <c r="AJ164" i="8" s="1"/>
  <c r="U164" i="8"/>
  <c r="AC164" i="8" s="1"/>
  <c r="AK164" i="8" s="1"/>
  <c r="T165" i="8"/>
  <c r="AB165" i="8" s="1"/>
  <c r="AJ165" i="8" s="1"/>
  <c r="U165" i="8"/>
  <c r="AC165" i="8" s="1"/>
  <c r="AK165" i="8" s="1"/>
  <c r="T166" i="8"/>
  <c r="AB166" i="8" s="1"/>
  <c r="AJ166" i="8" s="1"/>
  <c r="U166" i="8"/>
  <c r="AC166" i="8" s="1"/>
  <c r="AK166" i="8" s="1"/>
  <c r="T167" i="8"/>
  <c r="AB167" i="8" s="1"/>
  <c r="AJ167" i="8" s="1"/>
  <c r="U167" i="8"/>
  <c r="AC167" i="8" s="1"/>
  <c r="AK167" i="8" s="1"/>
  <c r="T168" i="8"/>
  <c r="AB168" i="8" s="1"/>
  <c r="AJ168" i="8" s="1"/>
  <c r="U168" i="8"/>
  <c r="AC168" i="8" s="1"/>
  <c r="AK168" i="8" s="1"/>
  <c r="T169" i="8"/>
  <c r="AB169" i="8" s="1"/>
  <c r="AJ169" i="8" s="1"/>
  <c r="U169" i="8"/>
  <c r="AC169" i="8" s="1"/>
  <c r="AK169" i="8" s="1"/>
  <c r="T170" i="8"/>
  <c r="AB170" i="8" s="1"/>
  <c r="AJ170" i="8" s="1"/>
  <c r="U170" i="8"/>
  <c r="AC170" i="8" s="1"/>
  <c r="AK170" i="8" s="1"/>
  <c r="T171" i="8"/>
  <c r="AB171" i="8" s="1"/>
  <c r="AJ171" i="8" s="1"/>
  <c r="U171" i="8"/>
  <c r="AC171" i="8" s="1"/>
  <c r="AK171" i="8" s="1"/>
  <c r="T172" i="8"/>
  <c r="AB172" i="8" s="1"/>
  <c r="AJ172" i="8" s="1"/>
  <c r="U172" i="8"/>
  <c r="AC172" i="8" s="1"/>
  <c r="AK172" i="8" s="1"/>
  <c r="T173" i="8"/>
  <c r="AB173" i="8" s="1"/>
  <c r="AJ173" i="8" s="1"/>
  <c r="U173" i="8"/>
  <c r="AC173" i="8" s="1"/>
  <c r="AK173" i="8" s="1"/>
  <c r="T174" i="8"/>
  <c r="AB174" i="8" s="1"/>
  <c r="AJ174" i="8" s="1"/>
  <c r="U174" i="8"/>
  <c r="AC174" i="8" s="1"/>
  <c r="AK174" i="8" s="1"/>
  <c r="T175" i="8"/>
  <c r="AB175" i="8" s="1"/>
  <c r="AJ175" i="8" s="1"/>
  <c r="U175" i="8"/>
  <c r="AC175" i="8" s="1"/>
  <c r="AK175" i="8" s="1"/>
  <c r="T176" i="8"/>
  <c r="AB176" i="8" s="1"/>
  <c r="AJ176" i="8" s="1"/>
  <c r="U176" i="8"/>
  <c r="AC176" i="8" s="1"/>
  <c r="AK176" i="8" s="1"/>
  <c r="T177" i="8"/>
  <c r="AB177" i="8" s="1"/>
  <c r="AJ177" i="8" s="1"/>
  <c r="U177" i="8"/>
  <c r="AC177" i="8" s="1"/>
  <c r="AK177" i="8" s="1"/>
  <c r="T178" i="8"/>
  <c r="AB178" i="8" s="1"/>
  <c r="AJ178" i="8" s="1"/>
  <c r="U178" i="8"/>
  <c r="AC178" i="8" s="1"/>
  <c r="AK178" i="8" s="1"/>
  <c r="T179" i="8"/>
  <c r="AB179" i="8" s="1"/>
  <c r="AJ179" i="8" s="1"/>
  <c r="U179" i="8"/>
  <c r="AC179" i="8" s="1"/>
  <c r="AK179" i="8" s="1"/>
  <c r="T180" i="8"/>
  <c r="AB180" i="8" s="1"/>
  <c r="AJ180" i="8" s="1"/>
  <c r="U180" i="8"/>
  <c r="AC180" i="8" s="1"/>
  <c r="AK180" i="8" s="1"/>
  <c r="T181" i="8"/>
  <c r="AB181" i="8" s="1"/>
  <c r="AJ181" i="8" s="1"/>
  <c r="U181" i="8"/>
  <c r="AC181" i="8" s="1"/>
  <c r="AK181" i="8" s="1"/>
  <c r="T182" i="8"/>
  <c r="AB182" i="8" s="1"/>
  <c r="AJ182" i="8" s="1"/>
  <c r="U182" i="8"/>
  <c r="AC182" i="8" s="1"/>
  <c r="AK182" i="8" s="1"/>
  <c r="T183" i="8"/>
  <c r="AB183" i="8" s="1"/>
  <c r="AJ183" i="8" s="1"/>
  <c r="U183" i="8"/>
  <c r="AC183" i="8" s="1"/>
  <c r="AK183" i="8" s="1"/>
  <c r="T184" i="8"/>
  <c r="AB184" i="8" s="1"/>
  <c r="AJ184" i="8" s="1"/>
  <c r="U184" i="8"/>
  <c r="AC184" i="8" s="1"/>
  <c r="AK184" i="8" s="1"/>
  <c r="T185" i="8"/>
  <c r="AB185" i="8" s="1"/>
  <c r="AJ185" i="8" s="1"/>
  <c r="U185" i="8"/>
  <c r="AC185" i="8" s="1"/>
  <c r="AK185" i="8" s="1"/>
  <c r="T186" i="8"/>
  <c r="AB186" i="8" s="1"/>
  <c r="AJ186" i="8" s="1"/>
  <c r="U186" i="8"/>
  <c r="AC186" i="8" s="1"/>
  <c r="AK186" i="8" s="1"/>
  <c r="T187" i="8"/>
  <c r="AB187" i="8" s="1"/>
  <c r="AJ187" i="8" s="1"/>
  <c r="U187" i="8"/>
  <c r="AC187" i="8" s="1"/>
  <c r="AK187" i="8" s="1"/>
  <c r="T188" i="8"/>
  <c r="AB188" i="8" s="1"/>
  <c r="AJ188" i="8" s="1"/>
  <c r="U188" i="8"/>
  <c r="AC188" i="8" s="1"/>
  <c r="AK188" i="8" s="1"/>
  <c r="T189" i="8"/>
  <c r="AB189" i="8" s="1"/>
  <c r="AJ189" i="8" s="1"/>
  <c r="U189" i="8"/>
  <c r="AC189" i="8" s="1"/>
  <c r="AK189" i="8" s="1"/>
  <c r="T190" i="8"/>
  <c r="AB190" i="8" s="1"/>
  <c r="AJ190" i="8" s="1"/>
  <c r="U190" i="8"/>
  <c r="AC190" i="8" s="1"/>
  <c r="AK190" i="8" s="1"/>
  <c r="T191" i="8"/>
  <c r="AB191" i="8" s="1"/>
  <c r="AJ191" i="8" s="1"/>
  <c r="U191" i="8"/>
  <c r="AC191" i="8" s="1"/>
  <c r="AK191" i="8" s="1"/>
  <c r="T192" i="8"/>
  <c r="AB192" i="8" s="1"/>
  <c r="AJ192" i="8" s="1"/>
  <c r="U192" i="8"/>
  <c r="AC192" i="8" s="1"/>
  <c r="AK192" i="8" s="1"/>
  <c r="T193" i="8"/>
  <c r="AB193" i="8" s="1"/>
  <c r="AJ193" i="8" s="1"/>
  <c r="U193" i="8"/>
  <c r="AC193" i="8" s="1"/>
  <c r="AK193" i="8" s="1"/>
  <c r="T194" i="8"/>
  <c r="AB194" i="8" s="1"/>
  <c r="AJ194" i="8" s="1"/>
  <c r="U194" i="8"/>
  <c r="AC194" i="8" s="1"/>
  <c r="AK194" i="8" s="1"/>
  <c r="T195" i="8"/>
  <c r="AB195" i="8" s="1"/>
  <c r="AJ195" i="8" s="1"/>
  <c r="U195" i="8"/>
  <c r="AC195" i="8" s="1"/>
  <c r="AK195" i="8" s="1"/>
  <c r="T196" i="8"/>
  <c r="AB196" i="8" s="1"/>
  <c r="AJ196" i="8" s="1"/>
  <c r="U196" i="8"/>
  <c r="AC196" i="8" s="1"/>
  <c r="AK196" i="8" s="1"/>
  <c r="T197" i="8"/>
  <c r="AB197" i="8" s="1"/>
  <c r="AJ197" i="8" s="1"/>
  <c r="U197" i="8"/>
  <c r="AC197" i="8" s="1"/>
  <c r="AK197" i="8" s="1"/>
  <c r="T198" i="8"/>
  <c r="AB198" i="8" s="1"/>
  <c r="AJ198" i="8" s="1"/>
  <c r="U198" i="8"/>
  <c r="AC198" i="8" s="1"/>
  <c r="AK198" i="8" s="1"/>
  <c r="T199" i="8"/>
  <c r="AB199" i="8" s="1"/>
  <c r="AJ199" i="8" s="1"/>
  <c r="U199" i="8"/>
  <c r="AC199" i="8" s="1"/>
  <c r="AK199" i="8" s="1"/>
  <c r="T200" i="8"/>
  <c r="AB200" i="8" s="1"/>
  <c r="AJ200" i="8" s="1"/>
  <c r="U200" i="8"/>
  <c r="AC200" i="8" s="1"/>
  <c r="AK200" i="8" s="1"/>
  <c r="T201" i="8"/>
  <c r="AB201" i="8" s="1"/>
  <c r="AJ201" i="8" s="1"/>
  <c r="U201" i="8"/>
  <c r="AC201" i="8" s="1"/>
  <c r="AK201" i="8" s="1"/>
  <c r="T202" i="8"/>
  <c r="AB202" i="8" s="1"/>
  <c r="AJ202" i="8" s="1"/>
  <c r="U202" i="8"/>
  <c r="AC202" i="8" s="1"/>
  <c r="AK202" i="8" s="1"/>
  <c r="T203" i="8"/>
  <c r="AB203" i="8" s="1"/>
  <c r="AJ203" i="8" s="1"/>
  <c r="U203" i="8"/>
  <c r="AC203" i="8" s="1"/>
  <c r="AK203" i="8" s="1"/>
  <c r="T204" i="8"/>
  <c r="AB204" i="8" s="1"/>
  <c r="AJ204" i="8" s="1"/>
  <c r="U204" i="8"/>
  <c r="AC204" i="8" s="1"/>
  <c r="AK204" i="8" s="1"/>
  <c r="T205" i="8"/>
  <c r="AB205" i="8" s="1"/>
  <c r="AJ205" i="8" s="1"/>
  <c r="U205" i="8"/>
  <c r="AC205" i="8" s="1"/>
  <c r="AK205" i="8" s="1"/>
  <c r="T206" i="8"/>
  <c r="AB206" i="8" s="1"/>
  <c r="AJ206" i="8" s="1"/>
  <c r="U206" i="8"/>
  <c r="AC206" i="8" s="1"/>
  <c r="AK206" i="8" s="1"/>
  <c r="T207" i="8"/>
  <c r="AB207" i="8" s="1"/>
  <c r="AJ207" i="8" s="1"/>
  <c r="U207" i="8"/>
  <c r="AC207" i="8" s="1"/>
  <c r="AK207" i="8" s="1"/>
  <c r="T208" i="8"/>
  <c r="AB208" i="8" s="1"/>
  <c r="AJ208" i="8" s="1"/>
  <c r="U208" i="8"/>
  <c r="AC208" i="8" s="1"/>
  <c r="AK208" i="8" s="1"/>
  <c r="T209" i="8"/>
  <c r="AB209" i="8" s="1"/>
  <c r="AJ209" i="8" s="1"/>
  <c r="U209" i="8"/>
  <c r="AC209" i="8" s="1"/>
  <c r="AK209" i="8" s="1"/>
  <c r="T210" i="8"/>
  <c r="AB210" i="8" s="1"/>
  <c r="AJ210" i="8" s="1"/>
  <c r="U210" i="8"/>
  <c r="AC210" i="8" s="1"/>
  <c r="AK210" i="8" s="1"/>
  <c r="T211" i="8"/>
  <c r="AB211" i="8" s="1"/>
  <c r="AJ211" i="8" s="1"/>
  <c r="U211" i="8"/>
  <c r="AC211" i="8" s="1"/>
  <c r="AK211" i="8" s="1"/>
  <c r="T212" i="8"/>
  <c r="AB212" i="8" s="1"/>
  <c r="AJ212" i="8" s="1"/>
  <c r="U212" i="8"/>
  <c r="AC212" i="8" s="1"/>
  <c r="AK212" i="8" s="1"/>
  <c r="T213" i="8"/>
  <c r="AB213" i="8" s="1"/>
  <c r="AJ213" i="8" s="1"/>
  <c r="U213" i="8"/>
  <c r="AC213" i="8" s="1"/>
  <c r="AK213" i="8" s="1"/>
  <c r="T214" i="8"/>
  <c r="AB214" i="8" s="1"/>
  <c r="AJ214" i="8" s="1"/>
  <c r="U214" i="8"/>
  <c r="AC214" i="8" s="1"/>
  <c r="AK214" i="8" s="1"/>
  <c r="T215" i="8"/>
  <c r="AB215" i="8" s="1"/>
  <c r="AJ215" i="8" s="1"/>
  <c r="U215" i="8"/>
  <c r="AC215" i="8" s="1"/>
  <c r="AK215" i="8" s="1"/>
  <c r="T216" i="8"/>
  <c r="AB216" i="8" s="1"/>
  <c r="AJ216" i="8" s="1"/>
  <c r="U216" i="8"/>
  <c r="AC216" i="8" s="1"/>
  <c r="AK216" i="8" s="1"/>
  <c r="T217" i="8"/>
  <c r="AB217" i="8" s="1"/>
  <c r="AJ217" i="8" s="1"/>
  <c r="U217" i="8"/>
  <c r="AC217" i="8" s="1"/>
  <c r="AK217" i="8" s="1"/>
  <c r="T218" i="8"/>
  <c r="AB218" i="8" s="1"/>
  <c r="AJ218" i="8" s="1"/>
  <c r="U218" i="8"/>
  <c r="AC218" i="8" s="1"/>
  <c r="AK218" i="8" s="1"/>
  <c r="T219" i="8"/>
  <c r="AB219" i="8" s="1"/>
  <c r="AJ219" i="8" s="1"/>
  <c r="U219" i="8"/>
  <c r="AC219" i="8" s="1"/>
  <c r="AK219" i="8" s="1"/>
  <c r="T220" i="8"/>
  <c r="AB220" i="8" s="1"/>
  <c r="AJ220" i="8" s="1"/>
  <c r="U220" i="8"/>
  <c r="AC220" i="8" s="1"/>
  <c r="AK220" i="8" s="1"/>
  <c r="T221" i="8"/>
  <c r="AB221" i="8" s="1"/>
  <c r="AJ221" i="8" s="1"/>
  <c r="U221" i="8"/>
  <c r="AC221" i="8" s="1"/>
  <c r="AK221" i="8" s="1"/>
  <c r="T222" i="8"/>
  <c r="AB222" i="8" s="1"/>
  <c r="AJ222" i="8" s="1"/>
  <c r="U222" i="8"/>
  <c r="AC222" i="8" s="1"/>
  <c r="AK222" i="8" s="1"/>
  <c r="T223" i="8"/>
  <c r="AB223" i="8" s="1"/>
  <c r="AJ223" i="8" s="1"/>
  <c r="U223" i="8"/>
  <c r="AC223" i="8" s="1"/>
  <c r="AK223" i="8" s="1"/>
  <c r="T224" i="8"/>
  <c r="AB224" i="8" s="1"/>
  <c r="AJ224" i="8" s="1"/>
  <c r="U224" i="8"/>
  <c r="AC224" i="8" s="1"/>
  <c r="AK224" i="8" s="1"/>
  <c r="T225" i="8"/>
  <c r="AB225" i="8" s="1"/>
  <c r="AJ225" i="8" s="1"/>
  <c r="U225" i="8"/>
  <c r="AC225" i="8" s="1"/>
  <c r="AK225" i="8" s="1"/>
  <c r="T226" i="8"/>
  <c r="AB226" i="8" s="1"/>
  <c r="AJ226" i="8" s="1"/>
  <c r="U226" i="8"/>
  <c r="AC226" i="8" s="1"/>
  <c r="AK226" i="8" s="1"/>
  <c r="T227" i="8"/>
  <c r="AB227" i="8" s="1"/>
  <c r="AJ227" i="8" s="1"/>
  <c r="U227" i="8"/>
  <c r="AC227" i="8" s="1"/>
  <c r="AK227" i="8" s="1"/>
  <c r="T228" i="8"/>
  <c r="AB228" i="8" s="1"/>
  <c r="AJ228" i="8" s="1"/>
  <c r="U228" i="8"/>
  <c r="AC228" i="8" s="1"/>
  <c r="AK228" i="8" s="1"/>
  <c r="T229" i="8"/>
  <c r="AB229" i="8" s="1"/>
  <c r="AJ229" i="8" s="1"/>
  <c r="U229" i="8"/>
  <c r="AC229" i="8" s="1"/>
  <c r="AK229" i="8" s="1"/>
  <c r="T230" i="8"/>
  <c r="AB230" i="8" s="1"/>
  <c r="AJ230" i="8" s="1"/>
  <c r="U230" i="8"/>
  <c r="AC230" i="8" s="1"/>
  <c r="AK230" i="8" s="1"/>
  <c r="T231" i="8"/>
  <c r="AB231" i="8" s="1"/>
  <c r="AJ231" i="8" s="1"/>
  <c r="U231" i="8"/>
  <c r="AC231" i="8" s="1"/>
  <c r="AK231" i="8" s="1"/>
  <c r="T232" i="8"/>
  <c r="AB232" i="8" s="1"/>
  <c r="AJ232" i="8" s="1"/>
  <c r="U232" i="8"/>
  <c r="AC232" i="8" s="1"/>
  <c r="AK232" i="8" s="1"/>
  <c r="T233" i="8"/>
  <c r="AB233" i="8" s="1"/>
  <c r="AJ233" i="8" s="1"/>
  <c r="U233" i="8"/>
  <c r="AC233" i="8" s="1"/>
  <c r="AK233" i="8" s="1"/>
  <c r="T234" i="8"/>
  <c r="AB234" i="8" s="1"/>
  <c r="AJ234" i="8" s="1"/>
  <c r="U234" i="8"/>
  <c r="AC234" i="8" s="1"/>
  <c r="AK234" i="8" s="1"/>
  <c r="T235" i="8"/>
  <c r="AB235" i="8" s="1"/>
  <c r="AJ235" i="8" s="1"/>
  <c r="U235" i="8"/>
  <c r="AC235" i="8" s="1"/>
  <c r="AK235" i="8" s="1"/>
  <c r="T236" i="8"/>
  <c r="AB236" i="8" s="1"/>
  <c r="AJ236" i="8" s="1"/>
  <c r="U236" i="8"/>
  <c r="AC236" i="8" s="1"/>
  <c r="AK236" i="8" s="1"/>
  <c r="T237" i="8"/>
  <c r="AB237" i="8" s="1"/>
  <c r="AJ237" i="8" s="1"/>
  <c r="U237" i="8"/>
  <c r="AC237" i="8" s="1"/>
  <c r="AK237" i="8" s="1"/>
  <c r="T238" i="8"/>
  <c r="AB238" i="8" s="1"/>
  <c r="AJ238" i="8" s="1"/>
  <c r="U238" i="8"/>
  <c r="AC238" i="8" s="1"/>
  <c r="AK238" i="8" s="1"/>
  <c r="T239" i="8"/>
  <c r="AB239" i="8" s="1"/>
  <c r="AJ239" i="8" s="1"/>
  <c r="U239" i="8"/>
  <c r="AC239" i="8" s="1"/>
  <c r="AK239" i="8" s="1"/>
  <c r="T240" i="8"/>
  <c r="AB240" i="8" s="1"/>
  <c r="AJ240" i="8" s="1"/>
  <c r="U240" i="8"/>
  <c r="AC240" i="8" s="1"/>
  <c r="AK240" i="8" s="1"/>
  <c r="T241" i="8"/>
  <c r="AB241" i="8" s="1"/>
  <c r="AJ241" i="8" s="1"/>
  <c r="U241" i="8"/>
  <c r="AC241" i="8" s="1"/>
  <c r="AK241" i="8" s="1"/>
  <c r="T242" i="8"/>
  <c r="AB242" i="8" s="1"/>
  <c r="AJ242" i="8" s="1"/>
  <c r="U242" i="8"/>
  <c r="AC242" i="8" s="1"/>
  <c r="AK242" i="8" s="1"/>
  <c r="T243" i="8"/>
  <c r="AB243" i="8" s="1"/>
  <c r="AJ243" i="8" s="1"/>
  <c r="U243" i="8"/>
  <c r="AC243" i="8" s="1"/>
  <c r="AK243" i="8" s="1"/>
  <c r="T244" i="8"/>
  <c r="AB244" i="8" s="1"/>
  <c r="AJ244" i="8" s="1"/>
  <c r="U244" i="8"/>
  <c r="AC244" i="8" s="1"/>
  <c r="AK244" i="8" s="1"/>
  <c r="T245" i="8"/>
  <c r="AB245" i="8" s="1"/>
  <c r="AJ245" i="8" s="1"/>
  <c r="U245" i="8"/>
  <c r="AC245" i="8" s="1"/>
  <c r="AK245" i="8" s="1"/>
  <c r="T246" i="8"/>
  <c r="AB246" i="8" s="1"/>
  <c r="AJ246" i="8" s="1"/>
  <c r="U246" i="8"/>
  <c r="AC246" i="8" s="1"/>
  <c r="AK246" i="8" s="1"/>
  <c r="T247" i="8"/>
  <c r="AB247" i="8" s="1"/>
  <c r="AJ247" i="8" s="1"/>
  <c r="U247" i="8"/>
  <c r="AC247" i="8" s="1"/>
  <c r="AK247" i="8" s="1"/>
  <c r="T248" i="8"/>
  <c r="AB248" i="8" s="1"/>
  <c r="AJ248" i="8" s="1"/>
  <c r="U248" i="8"/>
  <c r="AC248" i="8" s="1"/>
  <c r="AK248" i="8" s="1"/>
  <c r="T249" i="8"/>
  <c r="AB249" i="8" s="1"/>
  <c r="AJ249" i="8" s="1"/>
  <c r="U249" i="8"/>
  <c r="AC249" i="8" s="1"/>
  <c r="AK249" i="8" s="1"/>
  <c r="T250" i="8"/>
  <c r="AB250" i="8" s="1"/>
  <c r="AJ250" i="8" s="1"/>
  <c r="U250" i="8"/>
  <c r="AC250" i="8" s="1"/>
  <c r="AK250" i="8" s="1"/>
  <c r="T251" i="8"/>
  <c r="AB251" i="8" s="1"/>
  <c r="AJ251" i="8" s="1"/>
  <c r="U251" i="8"/>
  <c r="AC251" i="8" s="1"/>
  <c r="AK251" i="8" s="1"/>
  <c r="T252" i="8"/>
  <c r="AB252" i="8" s="1"/>
  <c r="AJ252" i="8" s="1"/>
  <c r="U252" i="8"/>
  <c r="AC252" i="8" s="1"/>
  <c r="AK252" i="8" s="1"/>
  <c r="T253" i="8"/>
  <c r="AB253" i="8" s="1"/>
  <c r="AJ253" i="8" s="1"/>
  <c r="U253" i="8"/>
  <c r="AC253" i="8" s="1"/>
  <c r="AK253" i="8" s="1"/>
  <c r="T254" i="8"/>
  <c r="AB254" i="8" s="1"/>
  <c r="AJ254" i="8" s="1"/>
  <c r="U254" i="8"/>
  <c r="AC254" i="8" s="1"/>
  <c r="AK254" i="8" s="1"/>
  <c r="T255" i="8"/>
  <c r="AB255" i="8" s="1"/>
  <c r="AJ255" i="8" s="1"/>
  <c r="U255" i="8"/>
  <c r="AC255" i="8" s="1"/>
  <c r="AK255" i="8" s="1"/>
  <c r="T256" i="8"/>
  <c r="AB256" i="8" s="1"/>
  <c r="AJ256" i="8" s="1"/>
  <c r="U256" i="8"/>
  <c r="AC256" i="8" s="1"/>
  <c r="AK256" i="8" s="1"/>
  <c r="U5" i="8"/>
  <c r="AC5" i="8" s="1"/>
  <c r="AK5" i="8" s="1"/>
  <c r="T5" i="8"/>
  <c r="AB5" i="8" s="1"/>
  <c r="AJ5" i="8" s="1"/>
  <c r="O6" i="8"/>
  <c r="W6" i="8" s="1"/>
  <c r="AE6" i="8" s="1"/>
  <c r="P6" i="8"/>
  <c r="X6" i="8" s="1"/>
  <c r="AF6" i="8" s="1"/>
  <c r="Q6" i="8"/>
  <c r="Y6" i="8" s="1"/>
  <c r="AG6" i="8" s="1"/>
  <c r="R6" i="8"/>
  <c r="Z6" i="8" s="1"/>
  <c r="AH6" i="8" s="1"/>
  <c r="S6" i="8"/>
  <c r="AA6" i="8" s="1"/>
  <c r="AI6" i="8" s="1"/>
  <c r="O7" i="8"/>
  <c r="W7" i="8" s="1"/>
  <c r="AE7" i="8" s="1"/>
  <c r="P7" i="8"/>
  <c r="X7" i="8" s="1"/>
  <c r="AF7" i="8" s="1"/>
  <c r="Q7" i="8"/>
  <c r="Y7" i="8" s="1"/>
  <c r="AG7" i="8" s="1"/>
  <c r="R7" i="8"/>
  <c r="Z7" i="8" s="1"/>
  <c r="AH7" i="8" s="1"/>
  <c r="S7" i="8"/>
  <c r="AA7" i="8" s="1"/>
  <c r="AI7" i="8" s="1"/>
  <c r="O8" i="8"/>
  <c r="W8" i="8" s="1"/>
  <c r="AE8" i="8" s="1"/>
  <c r="P8" i="8"/>
  <c r="X8" i="8" s="1"/>
  <c r="AF8" i="8" s="1"/>
  <c r="Q8" i="8"/>
  <c r="Y8" i="8" s="1"/>
  <c r="AG8" i="8" s="1"/>
  <c r="R8" i="8"/>
  <c r="Z8" i="8" s="1"/>
  <c r="AH8" i="8" s="1"/>
  <c r="S8" i="8"/>
  <c r="AA8" i="8" s="1"/>
  <c r="AI8" i="8" s="1"/>
  <c r="O9" i="8"/>
  <c r="W9" i="8" s="1"/>
  <c r="AE9" i="8" s="1"/>
  <c r="P9" i="8"/>
  <c r="X9" i="8" s="1"/>
  <c r="AF9" i="8" s="1"/>
  <c r="Q9" i="8"/>
  <c r="Y9" i="8" s="1"/>
  <c r="AG9" i="8" s="1"/>
  <c r="R9" i="8"/>
  <c r="Z9" i="8" s="1"/>
  <c r="AH9" i="8" s="1"/>
  <c r="S9" i="8"/>
  <c r="AA9" i="8" s="1"/>
  <c r="AI9" i="8" s="1"/>
  <c r="O10" i="8"/>
  <c r="W10" i="8" s="1"/>
  <c r="AE10" i="8" s="1"/>
  <c r="P10" i="8"/>
  <c r="X10" i="8" s="1"/>
  <c r="AF10" i="8" s="1"/>
  <c r="Q10" i="8"/>
  <c r="Y10" i="8" s="1"/>
  <c r="AG10" i="8" s="1"/>
  <c r="R10" i="8"/>
  <c r="Z10" i="8" s="1"/>
  <c r="AH10" i="8" s="1"/>
  <c r="S10" i="8"/>
  <c r="AA10" i="8" s="1"/>
  <c r="AI10" i="8" s="1"/>
  <c r="O11" i="8"/>
  <c r="W11" i="8" s="1"/>
  <c r="AE11" i="8" s="1"/>
  <c r="P11" i="8"/>
  <c r="X11" i="8" s="1"/>
  <c r="AF11" i="8" s="1"/>
  <c r="Q11" i="8"/>
  <c r="Y11" i="8" s="1"/>
  <c r="AG11" i="8" s="1"/>
  <c r="R11" i="8"/>
  <c r="Z11" i="8" s="1"/>
  <c r="AH11" i="8" s="1"/>
  <c r="S11" i="8"/>
  <c r="AA11" i="8" s="1"/>
  <c r="AI11" i="8" s="1"/>
  <c r="O12" i="8"/>
  <c r="W12" i="8" s="1"/>
  <c r="AE12" i="8" s="1"/>
  <c r="P12" i="8"/>
  <c r="X12" i="8" s="1"/>
  <c r="AF12" i="8" s="1"/>
  <c r="Q12" i="8"/>
  <c r="Y12" i="8" s="1"/>
  <c r="AG12" i="8" s="1"/>
  <c r="R12" i="8"/>
  <c r="Z12" i="8" s="1"/>
  <c r="AH12" i="8" s="1"/>
  <c r="S12" i="8"/>
  <c r="AA12" i="8" s="1"/>
  <c r="AI12" i="8" s="1"/>
  <c r="O13" i="8"/>
  <c r="W13" i="8" s="1"/>
  <c r="AE13" i="8" s="1"/>
  <c r="P13" i="8"/>
  <c r="X13" i="8" s="1"/>
  <c r="AF13" i="8" s="1"/>
  <c r="Q13" i="8"/>
  <c r="Y13" i="8" s="1"/>
  <c r="AG13" i="8" s="1"/>
  <c r="R13" i="8"/>
  <c r="Z13" i="8" s="1"/>
  <c r="AH13" i="8" s="1"/>
  <c r="S13" i="8"/>
  <c r="AA13" i="8" s="1"/>
  <c r="AI13" i="8" s="1"/>
  <c r="O14" i="8"/>
  <c r="W14" i="8" s="1"/>
  <c r="AE14" i="8" s="1"/>
  <c r="P14" i="8"/>
  <c r="X14" i="8" s="1"/>
  <c r="AF14" i="8" s="1"/>
  <c r="Q14" i="8"/>
  <c r="Y14" i="8" s="1"/>
  <c r="AG14" i="8" s="1"/>
  <c r="R14" i="8"/>
  <c r="Z14" i="8" s="1"/>
  <c r="AH14" i="8" s="1"/>
  <c r="S14" i="8"/>
  <c r="AA14" i="8" s="1"/>
  <c r="AI14" i="8" s="1"/>
  <c r="O15" i="8"/>
  <c r="W15" i="8" s="1"/>
  <c r="AE15" i="8" s="1"/>
  <c r="P15" i="8"/>
  <c r="X15" i="8" s="1"/>
  <c r="AF15" i="8" s="1"/>
  <c r="Q15" i="8"/>
  <c r="Y15" i="8" s="1"/>
  <c r="AG15" i="8" s="1"/>
  <c r="R15" i="8"/>
  <c r="Z15" i="8" s="1"/>
  <c r="AH15" i="8" s="1"/>
  <c r="S15" i="8"/>
  <c r="AA15" i="8" s="1"/>
  <c r="AI15" i="8" s="1"/>
  <c r="O16" i="8"/>
  <c r="W16" i="8" s="1"/>
  <c r="AE16" i="8" s="1"/>
  <c r="P16" i="8"/>
  <c r="X16" i="8" s="1"/>
  <c r="AF16" i="8" s="1"/>
  <c r="Q16" i="8"/>
  <c r="Y16" i="8" s="1"/>
  <c r="AG16" i="8" s="1"/>
  <c r="R16" i="8"/>
  <c r="Z16" i="8" s="1"/>
  <c r="AH16" i="8" s="1"/>
  <c r="S16" i="8"/>
  <c r="AA16" i="8" s="1"/>
  <c r="AI16" i="8" s="1"/>
  <c r="O17" i="8"/>
  <c r="W17" i="8" s="1"/>
  <c r="AE17" i="8" s="1"/>
  <c r="P17" i="8"/>
  <c r="X17" i="8" s="1"/>
  <c r="AF17" i="8" s="1"/>
  <c r="Q17" i="8"/>
  <c r="Y17" i="8" s="1"/>
  <c r="AG17" i="8" s="1"/>
  <c r="R17" i="8"/>
  <c r="Z17" i="8" s="1"/>
  <c r="AH17" i="8" s="1"/>
  <c r="S17" i="8"/>
  <c r="AA17" i="8" s="1"/>
  <c r="AI17" i="8" s="1"/>
  <c r="O18" i="8"/>
  <c r="W18" i="8" s="1"/>
  <c r="AE18" i="8" s="1"/>
  <c r="P18" i="8"/>
  <c r="X18" i="8" s="1"/>
  <c r="AF18" i="8" s="1"/>
  <c r="Q18" i="8"/>
  <c r="Y18" i="8" s="1"/>
  <c r="AG18" i="8" s="1"/>
  <c r="R18" i="8"/>
  <c r="Z18" i="8" s="1"/>
  <c r="AH18" i="8" s="1"/>
  <c r="S18" i="8"/>
  <c r="AA18" i="8" s="1"/>
  <c r="AI18" i="8" s="1"/>
  <c r="O19" i="8"/>
  <c r="W19" i="8" s="1"/>
  <c r="AE19" i="8" s="1"/>
  <c r="P19" i="8"/>
  <c r="X19" i="8" s="1"/>
  <c r="AF19" i="8" s="1"/>
  <c r="Q19" i="8"/>
  <c r="Y19" i="8" s="1"/>
  <c r="AG19" i="8" s="1"/>
  <c r="R19" i="8"/>
  <c r="Z19" i="8" s="1"/>
  <c r="AH19" i="8" s="1"/>
  <c r="S19" i="8"/>
  <c r="AA19" i="8" s="1"/>
  <c r="AI19" i="8" s="1"/>
  <c r="O20" i="8"/>
  <c r="W20" i="8" s="1"/>
  <c r="AE20" i="8" s="1"/>
  <c r="P20" i="8"/>
  <c r="X20" i="8" s="1"/>
  <c r="AF20" i="8" s="1"/>
  <c r="Q20" i="8"/>
  <c r="Y20" i="8" s="1"/>
  <c r="AG20" i="8" s="1"/>
  <c r="R20" i="8"/>
  <c r="Z20" i="8" s="1"/>
  <c r="AH20" i="8" s="1"/>
  <c r="S20" i="8"/>
  <c r="AA20" i="8" s="1"/>
  <c r="AI20" i="8" s="1"/>
  <c r="O21" i="8"/>
  <c r="W21" i="8" s="1"/>
  <c r="AE21" i="8" s="1"/>
  <c r="P21" i="8"/>
  <c r="X21" i="8" s="1"/>
  <c r="AF21" i="8" s="1"/>
  <c r="Q21" i="8"/>
  <c r="Y21" i="8" s="1"/>
  <c r="AG21" i="8" s="1"/>
  <c r="R21" i="8"/>
  <c r="Z21" i="8" s="1"/>
  <c r="AH21" i="8" s="1"/>
  <c r="S21" i="8"/>
  <c r="AA21" i="8" s="1"/>
  <c r="AI21" i="8" s="1"/>
  <c r="O22" i="8"/>
  <c r="W22" i="8" s="1"/>
  <c r="AE22" i="8" s="1"/>
  <c r="P22" i="8"/>
  <c r="X22" i="8" s="1"/>
  <c r="AF22" i="8" s="1"/>
  <c r="Q22" i="8"/>
  <c r="Y22" i="8" s="1"/>
  <c r="AG22" i="8" s="1"/>
  <c r="R22" i="8"/>
  <c r="Z22" i="8" s="1"/>
  <c r="AH22" i="8" s="1"/>
  <c r="S22" i="8"/>
  <c r="AA22" i="8" s="1"/>
  <c r="AI22" i="8" s="1"/>
  <c r="O23" i="8"/>
  <c r="W23" i="8" s="1"/>
  <c r="AE23" i="8" s="1"/>
  <c r="P23" i="8"/>
  <c r="X23" i="8" s="1"/>
  <c r="AF23" i="8" s="1"/>
  <c r="Q23" i="8"/>
  <c r="Y23" i="8" s="1"/>
  <c r="AG23" i="8" s="1"/>
  <c r="R23" i="8"/>
  <c r="Z23" i="8" s="1"/>
  <c r="AH23" i="8" s="1"/>
  <c r="S23" i="8"/>
  <c r="AA23" i="8" s="1"/>
  <c r="AI23" i="8" s="1"/>
  <c r="O24" i="8"/>
  <c r="W24" i="8" s="1"/>
  <c r="AE24" i="8" s="1"/>
  <c r="P24" i="8"/>
  <c r="X24" i="8" s="1"/>
  <c r="AF24" i="8" s="1"/>
  <c r="Q24" i="8"/>
  <c r="Y24" i="8" s="1"/>
  <c r="AG24" i="8" s="1"/>
  <c r="R24" i="8"/>
  <c r="Z24" i="8" s="1"/>
  <c r="AH24" i="8" s="1"/>
  <c r="S24" i="8"/>
  <c r="AA24" i="8" s="1"/>
  <c r="AI24" i="8" s="1"/>
  <c r="O25" i="8"/>
  <c r="W25" i="8" s="1"/>
  <c r="AE25" i="8" s="1"/>
  <c r="P25" i="8"/>
  <c r="X25" i="8" s="1"/>
  <c r="AF25" i="8" s="1"/>
  <c r="Q25" i="8"/>
  <c r="Y25" i="8" s="1"/>
  <c r="AG25" i="8" s="1"/>
  <c r="R25" i="8"/>
  <c r="Z25" i="8" s="1"/>
  <c r="AH25" i="8" s="1"/>
  <c r="S25" i="8"/>
  <c r="AA25" i="8" s="1"/>
  <c r="AI25" i="8" s="1"/>
  <c r="O26" i="8"/>
  <c r="W26" i="8" s="1"/>
  <c r="AE26" i="8" s="1"/>
  <c r="P26" i="8"/>
  <c r="X26" i="8" s="1"/>
  <c r="AF26" i="8" s="1"/>
  <c r="Q26" i="8"/>
  <c r="Y26" i="8" s="1"/>
  <c r="AG26" i="8" s="1"/>
  <c r="R26" i="8"/>
  <c r="Z26" i="8" s="1"/>
  <c r="AH26" i="8" s="1"/>
  <c r="S26" i="8"/>
  <c r="AA26" i="8" s="1"/>
  <c r="AI26" i="8" s="1"/>
  <c r="O27" i="8"/>
  <c r="W27" i="8" s="1"/>
  <c r="AE27" i="8" s="1"/>
  <c r="P27" i="8"/>
  <c r="X27" i="8" s="1"/>
  <c r="AF27" i="8" s="1"/>
  <c r="Q27" i="8"/>
  <c r="Y27" i="8" s="1"/>
  <c r="AG27" i="8" s="1"/>
  <c r="R27" i="8"/>
  <c r="Z27" i="8" s="1"/>
  <c r="AH27" i="8" s="1"/>
  <c r="S27" i="8"/>
  <c r="AA27" i="8" s="1"/>
  <c r="AI27" i="8" s="1"/>
  <c r="O28" i="8"/>
  <c r="W28" i="8" s="1"/>
  <c r="AE28" i="8" s="1"/>
  <c r="P28" i="8"/>
  <c r="X28" i="8" s="1"/>
  <c r="AF28" i="8" s="1"/>
  <c r="Q28" i="8"/>
  <c r="Y28" i="8" s="1"/>
  <c r="AG28" i="8" s="1"/>
  <c r="R28" i="8"/>
  <c r="Z28" i="8" s="1"/>
  <c r="AH28" i="8" s="1"/>
  <c r="S28" i="8"/>
  <c r="AA28" i="8" s="1"/>
  <c r="AI28" i="8" s="1"/>
  <c r="O29" i="8"/>
  <c r="W29" i="8" s="1"/>
  <c r="AE29" i="8" s="1"/>
  <c r="P29" i="8"/>
  <c r="X29" i="8" s="1"/>
  <c r="AF29" i="8" s="1"/>
  <c r="Q29" i="8"/>
  <c r="Y29" i="8" s="1"/>
  <c r="AG29" i="8" s="1"/>
  <c r="R29" i="8"/>
  <c r="Z29" i="8" s="1"/>
  <c r="AH29" i="8" s="1"/>
  <c r="S29" i="8"/>
  <c r="AA29" i="8" s="1"/>
  <c r="AI29" i="8" s="1"/>
  <c r="O30" i="8"/>
  <c r="W30" i="8" s="1"/>
  <c r="AE30" i="8" s="1"/>
  <c r="P30" i="8"/>
  <c r="X30" i="8" s="1"/>
  <c r="AF30" i="8" s="1"/>
  <c r="Q30" i="8"/>
  <c r="Y30" i="8" s="1"/>
  <c r="AG30" i="8" s="1"/>
  <c r="R30" i="8"/>
  <c r="Z30" i="8" s="1"/>
  <c r="AH30" i="8" s="1"/>
  <c r="S30" i="8"/>
  <c r="AA30" i="8" s="1"/>
  <c r="AI30" i="8" s="1"/>
  <c r="O31" i="8"/>
  <c r="W31" i="8" s="1"/>
  <c r="AE31" i="8" s="1"/>
  <c r="P31" i="8"/>
  <c r="X31" i="8" s="1"/>
  <c r="AF31" i="8" s="1"/>
  <c r="Q31" i="8"/>
  <c r="Y31" i="8" s="1"/>
  <c r="AG31" i="8" s="1"/>
  <c r="R31" i="8"/>
  <c r="Z31" i="8" s="1"/>
  <c r="AH31" i="8" s="1"/>
  <c r="S31" i="8"/>
  <c r="AA31" i="8" s="1"/>
  <c r="AI31" i="8" s="1"/>
  <c r="O32" i="8"/>
  <c r="W32" i="8" s="1"/>
  <c r="AE32" i="8" s="1"/>
  <c r="P32" i="8"/>
  <c r="X32" i="8" s="1"/>
  <c r="AF32" i="8" s="1"/>
  <c r="Q32" i="8"/>
  <c r="Y32" i="8" s="1"/>
  <c r="AG32" i="8" s="1"/>
  <c r="R32" i="8"/>
  <c r="Z32" i="8" s="1"/>
  <c r="AH32" i="8" s="1"/>
  <c r="S32" i="8"/>
  <c r="AA32" i="8" s="1"/>
  <c r="AI32" i="8" s="1"/>
  <c r="O33" i="8"/>
  <c r="W33" i="8" s="1"/>
  <c r="AE33" i="8" s="1"/>
  <c r="P33" i="8"/>
  <c r="X33" i="8" s="1"/>
  <c r="AF33" i="8" s="1"/>
  <c r="Q33" i="8"/>
  <c r="Y33" i="8" s="1"/>
  <c r="AG33" i="8" s="1"/>
  <c r="R33" i="8"/>
  <c r="Z33" i="8" s="1"/>
  <c r="AH33" i="8" s="1"/>
  <c r="S33" i="8"/>
  <c r="AA33" i="8" s="1"/>
  <c r="AI33" i="8" s="1"/>
  <c r="O34" i="8"/>
  <c r="W34" i="8" s="1"/>
  <c r="AE34" i="8" s="1"/>
  <c r="P34" i="8"/>
  <c r="X34" i="8" s="1"/>
  <c r="AF34" i="8" s="1"/>
  <c r="Q34" i="8"/>
  <c r="Y34" i="8" s="1"/>
  <c r="AG34" i="8" s="1"/>
  <c r="R34" i="8"/>
  <c r="Z34" i="8" s="1"/>
  <c r="AH34" i="8" s="1"/>
  <c r="S34" i="8"/>
  <c r="AA34" i="8" s="1"/>
  <c r="AI34" i="8" s="1"/>
  <c r="O35" i="8"/>
  <c r="W35" i="8" s="1"/>
  <c r="AE35" i="8" s="1"/>
  <c r="P35" i="8"/>
  <c r="X35" i="8" s="1"/>
  <c r="AF35" i="8" s="1"/>
  <c r="Q35" i="8"/>
  <c r="Y35" i="8" s="1"/>
  <c r="AG35" i="8" s="1"/>
  <c r="R35" i="8"/>
  <c r="Z35" i="8" s="1"/>
  <c r="AH35" i="8" s="1"/>
  <c r="S35" i="8"/>
  <c r="AA35" i="8" s="1"/>
  <c r="AI35" i="8" s="1"/>
  <c r="O36" i="8"/>
  <c r="W36" i="8" s="1"/>
  <c r="AE36" i="8" s="1"/>
  <c r="P36" i="8"/>
  <c r="X36" i="8" s="1"/>
  <c r="AF36" i="8" s="1"/>
  <c r="Q36" i="8"/>
  <c r="Y36" i="8" s="1"/>
  <c r="AG36" i="8" s="1"/>
  <c r="R36" i="8"/>
  <c r="Z36" i="8" s="1"/>
  <c r="AH36" i="8" s="1"/>
  <c r="S36" i="8"/>
  <c r="AA36" i="8" s="1"/>
  <c r="AI36" i="8" s="1"/>
  <c r="O37" i="8"/>
  <c r="W37" i="8" s="1"/>
  <c r="AE37" i="8" s="1"/>
  <c r="P37" i="8"/>
  <c r="X37" i="8" s="1"/>
  <c r="AF37" i="8" s="1"/>
  <c r="Q37" i="8"/>
  <c r="Y37" i="8" s="1"/>
  <c r="AG37" i="8" s="1"/>
  <c r="R37" i="8"/>
  <c r="Z37" i="8" s="1"/>
  <c r="AH37" i="8" s="1"/>
  <c r="S37" i="8"/>
  <c r="AA37" i="8" s="1"/>
  <c r="AI37" i="8" s="1"/>
  <c r="O38" i="8"/>
  <c r="W38" i="8" s="1"/>
  <c r="AE38" i="8" s="1"/>
  <c r="P38" i="8"/>
  <c r="X38" i="8" s="1"/>
  <c r="AF38" i="8" s="1"/>
  <c r="Q38" i="8"/>
  <c r="Y38" i="8" s="1"/>
  <c r="AG38" i="8" s="1"/>
  <c r="R38" i="8"/>
  <c r="Z38" i="8" s="1"/>
  <c r="AH38" i="8" s="1"/>
  <c r="S38" i="8"/>
  <c r="AA38" i="8" s="1"/>
  <c r="AI38" i="8" s="1"/>
  <c r="O39" i="8"/>
  <c r="W39" i="8" s="1"/>
  <c r="AE39" i="8" s="1"/>
  <c r="P39" i="8"/>
  <c r="X39" i="8" s="1"/>
  <c r="AF39" i="8" s="1"/>
  <c r="Q39" i="8"/>
  <c r="Y39" i="8" s="1"/>
  <c r="AG39" i="8" s="1"/>
  <c r="R39" i="8"/>
  <c r="Z39" i="8" s="1"/>
  <c r="AH39" i="8" s="1"/>
  <c r="S39" i="8"/>
  <c r="AA39" i="8" s="1"/>
  <c r="AI39" i="8" s="1"/>
  <c r="O40" i="8"/>
  <c r="W40" i="8" s="1"/>
  <c r="AE40" i="8" s="1"/>
  <c r="P40" i="8"/>
  <c r="X40" i="8" s="1"/>
  <c r="AF40" i="8" s="1"/>
  <c r="Q40" i="8"/>
  <c r="Y40" i="8" s="1"/>
  <c r="AG40" i="8" s="1"/>
  <c r="R40" i="8"/>
  <c r="Z40" i="8" s="1"/>
  <c r="AH40" i="8" s="1"/>
  <c r="S40" i="8"/>
  <c r="AA40" i="8" s="1"/>
  <c r="AI40" i="8" s="1"/>
  <c r="O41" i="8"/>
  <c r="W41" i="8" s="1"/>
  <c r="AE41" i="8" s="1"/>
  <c r="P41" i="8"/>
  <c r="X41" i="8" s="1"/>
  <c r="AF41" i="8" s="1"/>
  <c r="Q41" i="8"/>
  <c r="Y41" i="8" s="1"/>
  <c r="AG41" i="8" s="1"/>
  <c r="R41" i="8"/>
  <c r="Z41" i="8" s="1"/>
  <c r="AH41" i="8" s="1"/>
  <c r="S41" i="8"/>
  <c r="AA41" i="8" s="1"/>
  <c r="AI41" i="8" s="1"/>
  <c r="O42" i="8"/>
  <c r="W42" i="8" s="1"/>
  <c r="AE42" i="8" s="1"/>
  <c r="P42" i="8"/>
  <c r="X42" i="8" s="1"/>
  <c r="AF42" i="8" s="1"/>
  <c r="Q42" i="8"/>
  <c r="Y42" i="8" s="1"/>
  <c r="AG42" i="8" s="1"/>
  <c r="R42" i="8"/>
  <c r="Z42" i="8" s="1"/>
  <c r="AH42" i="8" s="1"/>
  <c r="S42" i="8"/>
  <c r="AA42" i="8" s="1"/>
  <c r="AI42" i="8" s="1"/>
  <c r="O43" i="8"/>
  <c r="W43" i="8" s="1"/>
  <c r="AE43" i="8" s="1"/>
  <c r="P43" i="8"/>
  <c r="X43" i="8" s="1"/>
  <c r="AF43" i="8" s="1"/>
  <c r="Q43" i="8"/>
  <c r="Y43" i="8" s="1"/>
  <c r="AG43" i="8" s="1"/>
  <c r="R43" i="8"/>
  <c r="Z43" i="8" s="1"/>
  <c r="AH43" i="8" s="1"/>
  <c r="S43" i="8"/>
  <c r="AA43" i="8" s="1"/>
  <c r="AI43" i="8" s="1"/>
  <c r="O44" i="8"/>
  <c r="W44" i="8" s="1"/>
  <c r="AE44" i="8" s="1"/>
  <c r="P44" i="8"/>
  <c r="X44" i="8" s="1"/>
  <c r="AF44" i="8" s="1"/>
  <c r="Q44" i="8"/>
  <c r="Y44" i="8" s="1"/>
  <c r="AG44" i="8" s="1"/>
  <c r="R44" i="8"/>
  <c r="Z44" i="8" s="1"/>
  <c r="AH44" i="8" s="1"/>
  <c r="S44" i="8"/>
  <c r="AA44" i="8" s="1"/>
  <c r="AI44" i="8" s="1"/>
  <c r="O45" i="8"/>
  <c r="W45" i="8" s="1"/>
  <c r="AE45" i="8" s="1"/>
  <c r="P45" i="8"/>
  <c r="X45" i="8" s="1"/>
  <c r="AF45" i="8" s="1"/>
  <c r="Q45" i="8"/>
  <c r="Y45" i="8" s="1"/>
  <c r="AG45" i="8" s="1"/>
  <c r="R45" i="8"/>
  <c r="Z45" i="8" s="1"/>
  <c r="AH45" i="8" s="1"/>
  <c r="S45" i="8"/>
  <c r="AA45" i="8" s="1"/>
  <c r="AI45" i="8" s="1"/>
  <c r="O46" i="8"/>
  <c r="W46" i="8" s="1"/>
  <c r="AE46" i="8" s="1"/>
  <c r="P46" i="8"/>
  <c r="X46" i="8" s="1"/>
  <c r="AF46" i="8" s="1"/>
  <c r="Q46" i="8"/>
  <c r="Y46" i="8" s="1"/>
  <c r="AG46" i="8" s="1"/>
  <c r="R46" i="8"/>
  <c r="Z46" i="8" s="1"/>
  <c r="AH46" i="8" s="1"/>
  <c r="S46" i="8"/>
  <c r="AA46" i="8" s="1"/>
  <c r="AI46" i="8" s="1"/>
  <c r="O47" i="8"/>
  <c r="W47" i="8" s="1"/>
  <c r="AE47" i="8" s="1"/>
  <c r="P47" i="8"/>
  <c r="X47" i="8" s="1"/>
  <c r="AF47" i="8" s="1"/>
  <c r="Q47" i="8"/>
  <c r="Y47" i="8" s="1"/>
  <c r="AG47" i="8" s="1"/>
  <c r="R47" i="8"/>
  <c r="Z47" i="8" s="1"/>
  <c r="AH47" i="8" s="1"/>
  <c r="S47" i="8"/>
  <c r="AA47" i="8" s="1"/>
  <c r="AI47" i="8" s="1"/>
  <c r="O48" i="8"/>
  <c r="W48" i="8" s="1"/>
  <c r="AE48" i="8" s="1"/>
  <c r="P48" i="8"/>
  <c r="X48" i="8" s="1"/>
  <c r="AF48" i="8" s="1"/>
  <c r="Q48" i="8"/>
  <c r="Y48" i="8" s="1"/>
  <c r="AG48" i="8" s="1"/>
  <c r="R48" i="8"/>
  <c r="Z48" i="8" s="1"/>
  <c r="AH48" i="8" s="1"/>
  <c r="S48" i="8"/>
  <c r="AA48" i="8" s="1"/>
  <c r="AI48" i="8" s="1"/>
  <c r="O49" i="8"/>
  <c r="W49" i="8" s="1"/>
  <c r="AE49" i="8" s="1"/>
  <c r="P49" i="8"/>
  <c r="X49" i="8" s="1"/>
  <c r="AF49" i="8" s="1"/>
  <c r="Q49" i="8"/>
  <c r="Y49" i="8" s="1"/>
  <c r="AG49" i="8" s="1"/>
  <c r="R49" i="8"/>
  <c r="Z49" i="8" s="1"/>
  <c r="AH49" i="8" s="1"/>
  <c r="S49" i="8"/>
  <c r="AA49" i="8" s="1"/>
  <c r="AI49" i="8" s="1"/>
  <c r="O50" i="8"/>
  <c r="W50" i="8" s="1"/>
  <c r="AE50" i="8" s="1"/>
  <c r="P50" i="8"/>
  <c r="X50" i="8" s="1"/>
  <c r="AF50" i="8" s="1"/>
  <c r="Q50" i="8"/>
  <c r="Y50" i="8" s="1"/>
  <c r="AG50" i="8" s="1"/>
  <c r="R50" i="8"/>
  <c r="Z50" i="8" s="1"/>
  <c r="AH50" i="8" s="1"/>
  <c r="S50" i="8"/>
  <c r="AA50" i="8" s="1"/>
  <c r="AI50" i="8" s="1"/>
  <c r="O51" i="8"/>
  <c r="W51" i="8" s="1"/>
  <c r="AE51" i="8" s="1"/>
  <c r="P51" i="8"/>
  <c r="X51" i="8" s="1"/>
  <c r="AF51" i="8" s="1"/>
  <c r="Q51" i="8"/>
  <c r="Y51" i="8" s="1"/>
  <c r="AG51" i="8" s="1"/>
  <c r="R51" i="8"/>
  <c r="Z51" i="8" s="1"/>
  <c r="AH51" i="8" s="1"/>
  <c r="S51" i="8"/>
  <c r="AA51" i="8" s="1"/>
  <c r="AI51" i="8" s="1"/>
  <c r="O52" i="8"/>
  <c r="W52" i="8" s="1"/>
  <c r="AE52" i="8" s="1"/>
  <c r="P52" i="8"/>
  <c r="X52" i="8" s="1"/>
  <c r="AF52" i="8" s="1"/>
  <c r="Q52" i="8"/>
  <c r="Y52" i="8" s="1"/>
  <c r="AG52" i="8" s="1"/>
  <c r="R52" i="8"/>
  <c r="Z52" i="8" s="1"/>
  <c r="AH52" i="8" s="1"/>
  <c r="S52" i="8"/>
  <c r="AA52" i="8" s="1"/>
  <c r="AI52" i="8" s="1"/>
  <c r="O53" i="8"/>
  <c r="W53" i="8" s="1"/>
  <c r="AE53" i="8" s="1"/>
  <c r="P53" i="8"/>
  <c r="X53" i="8" s="1"/>
  <c r="AF53" i="8" s="1"/>
  <c r="Q53" i="8"/>
  <c r="Y53" i="8" s="1"/>
  <c r="AG53" i="8" s="1"/>
  <c r="R53" i="8"/>
  <c r="Z53" i="8" s="1"/>
  <c r="AH53" i="8" s="1"/>
  <c r="S53" i="8"/>
  <c r="AA53" i="8" s="1"/>
  <c r="AI53" i="8" s="1"/>
  <c r="O54" i="8"/>
  <c r="W54" i="8" s="1"/>
  <c r="AE54" i="8" s="1"/>
  <c r="P54" i="8"/>
  <c r="X54" i="8" s="1"/>
  <c r="AF54" i="8" s="1"/>
  <c r="Q54" i="8"/>
  <c r="Y54" i="8" s="1"/>
  <c r="AG54" i="8" s="1"/>
  <c r="R54" i="8"/>
  <c r="Z54" i="8" s="1"/>
  <c r="AH54" i="8" s="1"/>
  <c r="S54" i="8"/>
  <c r="AA54" i="8" s="1"/>
  <c r="AI54" i="8" s="1"/>
  <c r="O55" i="8"/>
  <c r="W55" i="8" s="1"/>
  <c r="AE55" i="8" s="1"/>
  <c r="P55" i="8"/>
  <c r="X55" i="8" s="1"/>
  <c r="AF55" i="8" s="1"/>
  <c r="Q55" i="8"/>
  <c r="Y55" i="8" s="1"/>
  <c r="AG55" i="8" s="1"/>
  <c r="R55" i="8"/>
  <c r="Z55" i="8" s="1"/>
  <c r="AH55" i="8" s="1"/>
  <c r="S55" i="8"/>
  <c r="AA55" i="8" s="1"/>
  <c r="AI55" i="8" s="1"/>
  <c r="O56" i="8"/>
  <c r="W56" i="8" s="1"/>
  <c r="AE56" i="8" s="1"/>
  <c r="P56" i="8"/>
  <c r="X56" i="8" s="1"/>
  <c r="AF56" i="8" s="1"/>
  <c r="Q56" i="8"/>
  <c r="Y56" i="8" s="1"/>
  <c r="AG56" i="8" s="1"/>
  <c r="R56" i="8"/>
  <c r="Z56" i="8" s="1"/>
  <c r="AH56" i="8" s="1"/>
  <c r="S56" i="8"/>
  <c r="AA56" i="8" s="1"/>
  <c r="AI56" i="8" s="1"/>
  <c r="O57" i="8"/>
  <c r="W57" i="8" s="1"/>
  <c r="AE57" i="8" s="1"/>
  <c r="P57" i="8"/>
  <c r="X57" i="8" s="1"/>
  <c r="AF57" i="8" s="1"/>
  <c r="Q57" i="8"/>
  <c r="Y57" i="8" s="1"/>
  <c r="AG57" i="8" s="1"/>
  <c r="R57" i="8"/>
  <c r="Z57" i="8" s="1"/>
  <c r="AH57" i="8" s="1"/>
  <c r="S57" i="8"/>
  <c r="AA57" i="8" s="1"/>
  <c r="AI57" i="8" s="1"/>
  <c r="O58" i="8"/>
  <c r="W58" i="8" s="1"/>
  <c r="AE58" i="8" s="1"/>
  <c r="P58" i="8"/>
  <c r="X58" i="8" s="1"/>
  <c r="AF58" i="8" s="1"/>
  <c r="Q58" i="8"/>
  <c r="Y58" i="8" s="1"/>
  <c r="AG58" i="8" s="1"/>
  <c r="R58" i="8"/>
  <c r="Z58" i="8" s="1"/>
  <c r="AH58" i="8" s="1"/>
  <c r="S58" i="8"/>
  <c r="AA58" i="8" s="1"/>
  <c r="AI58" i="8" s="1"/>
  <c r="O59" i="8"/>
  <c r="W59" i="8" s="1"/>
  <c r="AE59" i="8" s="1"/>
  <c r="P59" i="8"/>
  <c r="X59" i="8" s="1"/>
  <c r="AF59" i="8" s="1"/>
  <c r="Q59" i="8"/>
  <c r="Y59" i="8" s="1"/>
  <c r="AG59" i="8" s="1"/>
  <c r="R59" i="8"/>
  <c r="Z59" i="8" s="1"/>
  <c r="AH59" i="8" s="1"/>
  <c r="S59" i="8"/>
  <c r="AA59" i="8" s="1"/>
  <c r="AI59" i="8" s="1"/>
  <c r="O60" i="8"/>
  <c r="W60" i="8" s="1"/>
  <c r="AE60" i="8" s="1"/>
  <c r="P60" i="8"/>
  <c r="X60" i="8" s="1"/>
  <c r="AF60" i="8" s="1"/>
  <c r="Q60" i="8"/>
  <c r="Y60" i="8" s="1"/>
  <c r="AG60" i="8" s="1"/>
  <c r="R60" i="8"/>
  <c r="Z60" i="8" s="1"/>
  <c r="AH60" i="8" s="1"/>
  <c r="S60" i="8"/>
  <c r="AA60" i="8" s="1"/>
  <c r="AI60" i="8" s="1"/>
  <c r="O61" i="8"/>
  <c r="W61" i="8" s="1"/>
  <c r="AE61" i="8" s="1"/>
  <c r="P61" i="8"/>
  <c r="X61" i="8" s="1"/>
  <c r="AF61" i="8" s="1"/>
  <c r="Q61" i="8"/>
  <c r="Y61" i="8" s="1"/>
  <c r="AG61" i="8" s="1"/>
  <c r="R61" i="8"/>
  <c r="Z61" i="8" s="1"/>
  <c r="AH61" i="8" s="1"/>
  <c r="S61" i="8"/>
  <c r="AA61" i="8" s="1"/>
  <c r="AI61" i="8" s="1"/>
  <c r="O62" i="8"/>
  <c r="W62" i="8" s="1"/>
  <c r="AE62" i="8" s="1"/>
  <c r="P62" i="8"/>
  <c r="X62" i="8" s="1"/>
  <c r="AF62" i="8" s="1"/>
  <c r="Q62" i="8"/>
  <c r="Y62" i="8" s="1"/>
  <c r="AG62" i="8" s="1"/>
  <c r="R62" i="8"/>
  <c r="Z62" i="8" s="1"/>
  <c r="AH62" i="8" s="1"/>
  <c r="S62" i="8"/>
  <c r="AA62" i="8" s="1"/>
  <c r="AI62" i="8" s="1"/>
  <c r="O63" i="8"/>
  <c r="W63" i="8" s="1"/>
  <c r="AE63" i="8" s="1"/>
  <c r="P63" i="8"/>
  <c r="X63" i="8" s="1"/>
  <c r="AF63" i="8" s="1"/>
  <c r="Q63" i="8"/>
  <c r="Y63" i="8" s="1"/>
  <c r="AG63" i="8" s="1"/>
  <c r="R63" i="8"/>
  <c r="Z63" i="8" s="1"/>
  <c r="AH63" i="8" s="1"/>
  <c r="S63" i="8"/>
  <c r="AA63" i="8" s="1"/>
  <c r="AI63" i="8" s="1"/>
  <c r="O64" i="8"/>
  <c r="W64" i="8" s="1"/>
  <c r="AE64" i="8" s="1"/>
  <c r="P64" i="8"/>
  <c r="X64" i="8" s="1"/>
  <c r="AF64" i="8" s="1"/>
  <c r="Q64" i="8"/>
  <c r="Y64" i="8" s="1"/>
  <c r="AG64" i="8" s="1"/>
  <c r="R64" i="8"/>
  <c r="Z64" i="8" s="1"/>
  <c r="AH64" i="8" s="1"/>
  <c r="S64" i="8"/>
  <c r="AA64" i="8" s="1"/>
  <c r="AI64" i="8" s="1"/>
  <c r="O65" i="8"/>
  <c r="W65" i="8" s="1"/>
  <c r="AE65" i="8" s="1"/>
  <c r="P65" i="8"/>
  <c r="X65" i="8" s="1"/>
  <c r="AF65" i="8" s="1"/>
  <c r="Q65" i="8"/>
  <c r="Y65" i="8" s="1"/>
  <c r="AG65" i="8" s="1"/>
  <c r="R65" i="8"/>
  <c r="Z65" i="8" s="1"/>
  <c r="AH65" i="8" s="1"/>
  <c r="S65" i="8"/>
  <c r="AA65" i="8" s="1"/>
  <c r="AI65" i="8" s="1"/>
  <c r="O66" i="8"/>
  <c r="W66" i="8" s="1"/>
  <c r="AE66" i="8" s="1"/>
  <c r="P66" i="8"/>
  <c r="X66" i="8" s="1"/>
  <c r="AF66" i="8" s="1"/>
  <c r="Q66" i="8"/>
  <c r="Y66" i="8" s="1"/>
  <c r="AG66" i="8" s="1"/>
  <c r="R66" i="8"/>
  <c r="Z66" i="8" s="1"/>
  <c r="AH66" i="8" s="1"/>
  <c r="S66" i="8"/>
  <c r="AA66" i="8" s="1"/>
  <c r="AI66" i="8" s="1"/>
  <c r="O67" i="8"/>
  <c r="W67" i="8" s="1"/>
  <c r="AE67" i="8" s="1"/>
  <c r="P67" i="8"/>
  <c r="X67" i="8" s="1"/>
  <c r="AF67" i="8" s="1"/>
  <c r="Q67" i="8"/>
  <c r="Y67" i="8" s="1"/>
  <c r="AG67" i="8" s="1"/>
  <c r="R67" i="8"/>
  <c r="Z67" i="8" s="1"/>
  <c r="AH67" i="8" s="1"/>
  <c r="S67" i="8"/>
  <c r="AA67" i="8" s="1"/>
  <c r="AI67" i="8" s="1"/>
  <c r="O68" i="8"/>
  <c r="W68" i="8" s="1"/>
  <c r="AE68" i="8" s="1"/>
  <c r="P68" i="8"/>
  <c r="X68" i="8" s="1"/>
  <c r="AF68" i="8" s="1"/>
  <c r="Q68" i="8"/>
  <c r="Y68" i="8" s="1"/>
  <c r="AG68" i="8" s="1"/>
  <c r="R68" i="8"/>
  <c r="Z68" i="8" s="1"/>
  <c r="AH68" i="8" s="1"/>
  <c r="S68" i="8"/>
  <c r="AA68" i="8" s="1"/>
  <c r="AI68" i="8" s="1"/>
  <c r="O69" i="8"/>
  <c r="W69" i="8" s="1"/>
  <c r="AE69" i="8" s="1"/>
  <c r="P69" i="8"/>
  <c r="X69" i="8" s="1"/>
  <c r="AF69" i="8" s="1"/>
  <c r="Q69" i="8"/>
  <c r="Y69" i="8" s="1"/>
  <c r="AG69" i="8" s="1"/>
  <c r="R69" i="8"/>
  <c r="Z69" i="8" s="1"/>
  <c r="AH69" i="8" s="1"/>
  <c r="S69" i="8"/>
  <c r="AA69" i="8" s="1"/>
  <c r="AI69" i="8" s="1"/>
  <c r="O70" i="8"/>
  <c r="W70" i="8" s="1"/>
  <c r="AE70" i="8" s="1"/>
  <c r="P70" i="8"/>
  <c r="X70" i="8" s="1"/>
  <c r="AF70" i="8" s="1"/>
  <c r="Q70" i="8"/>
  <c r="Y70" i="8" s="1"/>
  <c r="AG70" i="8" s="1"/>
  <c r="R70" i="8"/>
  <c r="Z70" i="8" s="1"/>
  <c r="AH70" i="8" s="1"/>
  <c r="S70" i="8"/>
  <c r="AA70" i="8" s="1"/>
  <c r="AI70" i="8" s="1"/>
  <c r="O71" i="8"/>
  <c r="W71" i="8" s="1"/>
  <c r="AE71" i="8" s="1"/>
  <c r="P71" i="8"/>
  <c r="X71" i="8" s="1"/>
  <c r="AF71" i="8" s="1"/>
  <c r="Q71" i="8"/>
  <c r="Y71" i="8" s="1"/>
  <c r="AG71" i="8" s="1"/>
  <c r="R71" i="8"/>
  <c r="Z71" i="8" s="1"/>
  <c r="AH71" i="8" s="1"/>
  <c r="S71" i="8"/>
  <c r="AA71" i="8" s="1"/>
  <c r="AI71" i="8" s="1"/>
  <c r="O72" i="8"/>
  <c r="W72" i="8" s="1"/>
  <c r="AE72" i="8" s="1"/>
  <c r="P72" i="8"/>
  <c r="X72" i="8" s="1"/>
  <c r="AF72" i="8" s="1"/>
  <c r="Q72" i="8"/>
  <c r="Y72" i="8" s="1"/>
  <c r="AG72" i="8" s="1"/>
  <c r="R72" i="8"/>
  <c r="Z72" i="8" s="1"/>
  <c r="AH72" i="8" s="1"/>
  <c r="S72" i="8"/>
  <c r="AA72" i="8" s="1"/>
  <c r="AI72" i="8" s="1"/>
  <c r="O73" i="8"/>
  <c r="W73" i="8" s="1"/>
  <c r="AE73" i="8" s="1"/>
  <c r="P73" i="8"/>
  <c r="X73" i="8" s="1"/>
  <c r="AF73" i="8" s="1"/>
  <c r="Q73" i="8"/>
  <c r="Y73" i="8" s="1"/>
  <c r="AG73" i="8" s="1"/>
  <c r="R73" i="8"/>
  <c r="Z73" i="8" s="1"/>
  <c r="AH73" i="8" s="1"/>
  <c r="S73" i="8"/>
  <c r="AA73" i="8" s="1"/>
  <c r="AI73" i="8" s="1"/>
  <c r="O74" i="8"/>
  <c r="W74" i="8" s="1"/>
  <c r="AE74" i="8" s="1"/>
  <c r="P74" i="8"/>
  <c r="X74" i="8" s="1"/>
  <c r="AF74" i="8" s="1"/>
  <c r="Q74" i="8"/>
  <c r="Y74" i="8" s="1"/>
  <c r="AG74" i="8" s="1"/>
  <c r="R74" i="8"/>
  <c r="Z74" i="8" s="1"/>
  <c r="AH74" i="8" s="1"/>
  <c r="S74" i="8"/>
  <c r="AA74" i="8" s="1"/>
  <c r="AI74" i="8" s="1"/>
  <c r="O75" i="8"/>
  <c r="W75" i="8" s="1"/>
  <c r="AE75" i="8" s="1"/>
  <c r="P75" i="8"/>
  <c r="X75" i="8" s="1"/>
  <c r="AF75" i="8" s="1"/>
  <c r="Q75" i="8"/>
  <c r="Y75" i="8" s="1"/>
  <c r="AG75" i="8" s="1"/>
  <c r="R75" i="8"/>
  <c r="Z75" i="8" s="1"/>
  <c r="AH75" i="8" s="1"/>
  <c r="S75" i="8"/>
  <c r="AA75" i="8" s="1"/>
  <c r="AI75" i="8" s="1"/>
  <c r="O76" i="8"/>
  <c r="W76" i="8" s="1"/>
  <c r="AE76" i="8" s="1"/>
  <c r="P76" i="8"/>
  <c r="X76" i="8" s="1"/>
  <c r="AF76" i="8" s="1"/>
  <c r="Q76" i="8"/>
  <c r="Y76" i="8" s="1"/>
  <c r="AG76" i="8" s="1"/>
  <c r="R76" i="8"/>
  <c r="Z76" i="8" s="1"/>
  <c r="AH76" i="8" s="1"/>
  <c r="S76" i="8"/>
  <c r="AA76" i="8" s="1"/>
  <c r="AI76" i="8" s="1"/>
  <c r="O77" i="8"/>
  <c r="W77" i="8" s="1"/>
  <c r="AE77" i="8" s="1"/>
  <c r="P77" i="8"/>
  <c r="X77" i="8" s="1"/>
  <c r="AF77" i="8" s="1"/>
  <c r="Q77" i="8"/>
  <c r="Y77" i="8" s="1"/>
  <c r="AG77" i="8" s="1"/>
  <c r="R77" i="8"/>
  <c r="Z77" i="8" s="1"/>
  <c r="AH77" i="8" s="1"/>
  <c r="S77" i="8"/>
  <c r="AA77" i="8" s="1"/>
  <c r="AI77" i="8" s="1"/>
  <c r="O78" i="8"/>
  <c r="W78" i="8" s="1"/>
  <c r="AE78" i="8" s="1"/>
  <c r="P78" i="8"/>
  <c r="X78" i="8" s="1"/>
  <c r="AF78" i="8" s="1"/>
  <c r="Q78" i="8"/>
  <c r="Y78" i="8" s="1"/>
  <c r="AG78" i="8" s="1"/>
  <c r="R78" i="8"/>
  <c r="Z78" i="8" s="1"/>
  <c r="AH78" i="8" s="1"/>
  <c r="S78" i="8"/>
  <c r="AA78" i="8" s="1"/>
  <c r="AI78" i="8" s="1"/>
  <c r="O79" i="8"/>
  <c r="W79" i="8" s="1"/>
  <c r="AE79" i="8" s="1"/>
  <c r="P79" i="8"/>
  <c r="X79" i="8" s="1"/>
  <c r="AF79" i="8" s="1"/>
  <c r="Q79" i="8"/>
  <c r="Y79" i="8" s="1"/>
  <c r="AG79" i="8" s="1"/>
  <c r="R79" i="8"/>
  <c r="Z79" i="8" s="1"/>
  <c r="AH79" i="8" s="1"/>
  <c r="S79" i="8"/>
  <c r="AA79" i="8" s="1"/>
  <c r="AI79" i="8" s="1"/>
  <c r="O80" i="8"/>
  <c r="W80" i="8" s="1"/>
  <c r="AE80" i="8" s="1"/>
  <c r="P80" i="8"/>
  <c r="X80" i="8" s="1"/>
  <c r="AF80" i="8" s="1"/>
  <c r="Q80" i="8"/>
  <c r="Y80" i="8" s="1"/>
  <c r="AG80" i="8" s="1"/>
  <c r="R80" i="8"/>
  <c r="Z80" i="8" s="1"/>
  <c r="AH80" i="8" s="1"/>
  <c r="S80" i="8"/>
  <c r="AA80" i="8" s="1"/>
  <c r="AI80" i="8" s="1"/>
  <c r="O81" i="8"/>
  <c r="W81" i="8" s="1"/>
  <c r="AE81" i="8" s="1"/>
  <c r="P81" i="8"/>
  <c r="X81" i="8" s="1"/>
  <c r="AF81" i="8" s="1"/>
  <c r="Q81" i="8"/>
  <c r="Y81" i="8" s="1"/>
  <c r="AG81" i="8" s="1"/>
  <c r="R81" i="8"/>
  <c r="Z81" i="8" s="1"/>
  <c r="AH81" i="8" s="1"/>
  <c r="S81" i="8"/>
  <c r="AA81" i="8" s="1"/>
  <c r="AI81" i="8" s="1"/>
  <c r="O82" i="8"/>
  <c r="W82" i="8" s="1"/>
  <c r="AE82" i="8" s="1"/>
  <c r="P82" i="8"/>
  <c r="X82" i="8" s="1"/>
  <c r="AF82" i="8" s="1"/>
  <c r="Q82" i="8"/>
  <c r="Y82" i="8" s="1"/>
  <c r="AG82" i="8" s="1"/>
  <c r="R82" i="8"/>
  <c r="Z82" i="8" s="1"/>
  <c r="AH82" i="8" s="1"/>
  <c r="S82" i="8"/>
  <c r="AA82" i="8" s="1"/>
  <c r="AI82" i="8" s="1"/>
  <c r="O83" i="8"/>
  <c r="W83" i="8" s="1"/>
  <c r="AE83" i="8" s="1"/>
  <c r="P83" i="8"/>
  <c r="X83" i="8" s="1"/>
  <c r="AF83" i="8" s="1"/>
  <c r="Q83" i="8"/>
  <c r="Y83" i="8" s="1"/>
  <c r="AG83" i="8" s="1"/>
  <c r="R83" i="8"/>
  <c r="Z83" i="8" s="1"/>
  <c r="AH83" i="8" s="1"/>
  <c r="S83" i="8"/>
  <c r="AA83" i="8" s="1"/>
  <c r="AI83" i="8" s="1"/>
  <c r="O84" i="8"/>
  <c r="W84" i="8" s="1"/>
  <c r="AE84" i="8" s="1"/>
  <c r="P84" i="8"/>
  <c r="X84" i="8" s="1"/>
  <c r="AF84" i="8" s="1"/>
  <c r="Q84" i="8"/>
  <c r="Y84" i="8" s="1"/>
  <c r="AG84" i="8" s="1"/>
  <c r="R84" i="8"/>
  <c r="Z84" i="8" s="1"/>
  <c r="AH84" i="8" s="1"/>
  <c r="S84" i="8"/>
  <c r="AA84" i="8" s="1"/>
  <c r="AI84" i="8" s="1"/>
  <c r="O85" i="8"/>
  <c r="W85" i="8" s="1"/>
  <c r="AE85" i="8" s="1"/>
  <c r="P85" i="8"/>
  <c r="X85" i="8" s="1"/>
  <c r="AF85" i="8" s="1"/>
  <c r="Q85" i="8"/>
  <c r="Y85" i="8" s="1"/>
  <c r="AG85" i="8" s="1"/>
  <c r="R85" i="8"/>
  <c r="Z85" i="8" s="1"/>
  <c r="AH85" i="8" s="1"/>
  <c r="S85" i="8"/>
  <c r="AA85" i="8" s="1"/>
  <c r="AI85" i="8" s="1"/>
  <c r="O86" i="8"/>
  <c r="W86" i="8" s="1"/>
  <c r="AE86" i="8" s="1"/>
  <c r="P86" i="8"/>
  <c r="X86" i="8" s="1"/>
  <c r="AF86" i="8" s="1"/>
  <c r="Q86" i="8"/>
  <c r="Y86" i="8" s="1"/>
  <c r="AG86" i="8" s="1"/>
  <c r="R86" i="8"/>
  <c r="Z86" i="8" s="1"/>
  <c r="AH86" i="8" s="1"/>
  <c r="S86" i="8"/>
  <c r="AA86" i="8" s="1"/>
  <c r="AI86" i="8" s="1"/>
  <c r="O87" i="8"/>
  <c r="W87" i="8" s="1"/>
  <c r="AE87" i="8" s="1"/>
  <c r="P87" i="8"/>
  <c r="X87" i="8" s="1"/>
  <c r="AF87" i="8" s="1"/>
  <c r="Q87" i="8"/>
  <c r="Y87" i="8" s="1"/>
  <c r="AG87" i="8" s="1"/>
  <c r="R87" i="8"/>
  <c r="Z87" i="8" s="1"/>
  <c r="AH87" i="8" s="1"/>
  <c r="S87" i="8"/>
  <c r="AA87" i="8" s="1"/>
  <c r="AI87" i="8" s="1"/>
  <c r="O88" i="8"/>
  <c r="W88" i="8" s="1"/>
  <c r="AE88" i="8" s="1"/>
  <c r="P88" i="8"/>
  <c r="X88" i="8" s="1"/>
  <c r="AF88" i="8" s="1"/>
  <c r="Q88" i="8"/>
  <c r="Y88" i="8" s="1"/>
  <c r="AG88" i="8" s="1"/>
  <c r="R88" i="8"/>
  <c r="Z88" i="8" s="1"/>
  <c r="AH88" i="8" s="1"/>
  <c r="S88" i="8"/>
  <c r="AA88" i="8" s="1"/>
  <c r="AI88" i="8" s="1"/>
  <c r="O89" i="8"/>
  <c r="W89" i="8" s="1"/>
  <c r="AE89" i="8" s="1"/>
  <c r="P89" i="8"/>
  <c r="X89" i="8" s="1"/>
  <c r="AF89" i="8" s="1"/>
  <c r="Q89" i="8"/>
  <c r="Y89" i="8" s="1"/>
  <c r="AG89" i="8" s="1"/>
  <c r="R89" i="8"/>
  <c r="Z89" i="8" s="1"/>
  <c r="AH89" i="8" s="1"/>
  <c r="S89" i="8"/>
  <c r="AA89" i="8" s="1"/>
  <c r="AI89" i="8" s="1"/>
  <c r="O90" i="8"/>
  <c r="W90" i="8" s="1"/>
  <c r="AE90" i="8" s="1"/>
  <c r="P90" i="8"/>
  <c r="X90" i="8" s="1"/>
  <c r="AF90" i="8" s="1"/>
  <c r="Q90" i="8"/>
  <c r="Y90" i="8" s="1"/>
  <c r="AG90" i="8" s="1"/>
  <c r="R90" i="8"/>
  <c r="Z90" i="8" s="1"/>
  <c r="AH90" i="8" s="1"/>
  <c r="S90" i="8"/>
  <c r="AA90" i="8" s="1"/>
  <c r="AI90" i="8" s="1"/>
  <c r="O91" i="8"/>
  <c r="W91" i="8" s="1"/>
  <c r="AE91" i="8" s="1"/>
  <c r="P91" i="8"/>
  <c r="X91" i="8" s="1"/>
  <c r="AF91" i="8" s="1"/>
  <c r="Q91" i="8"/>
  <c r="Y91" i="8" s="1"/>
  <c r="AG91" i="8" s="1"/>
  <c r="R91" i="8"/>
  <c r="Z91" i="8" s="1"/>
  <c r="AH91" i="8" s="1"/>
  <c r="S91" i="8"/>
  <c r="AA91" i="8" s="1"/>
  <c r="AI91" i="8" s="1"/>
  <c r="O92" i="8"/>
  <c r="W92" i="8" s="1"/>
  <c r="AE92" i="8" s="1"/>
  <c r="P92" i="8"/>
  <c r="X92" i="8" s="1"/>
  <c r="AF92" i="8" s="1"/>
  <c r="Q92" i="8"/>
  <c r="Y92" i="8" s="1"/>
  <c r="AG92" i="8" s="1"/>
  <c r="R92" i="8"/>
  <c r="Z92" i="8" s="1"/>
  <c r="AH92" i="8" s="1"/>
  <c r="S92" i="8"/>
  <c r="AA92" i="8" s="1"/>
  <c r="AI92" i="8" s="1"/>
  <c r="O93" i="8"/>
  <c r="W93" i="8" s="1"/>
  <c r="AE93" i="8" s="1"/>
  <c r="P93" i="8"/>
  <c r="X93" i="8" s="1"/>
  <c r="AF93" i="8" s="1"/>
  <c r="Q93" i="8"/>
  <c r="Y93" i="8" s="1"/>
  <c r="AG93" i="8" s="1"/>
  <c r="R93" i="8"/>
  <c r="Z93" i="8" s="1"/>
  <c r="AH93" i="8" s="1"/>
  <c r="S93" i="8"/>
  <c r="AA93" i="8" s="1"/>
  <c r="AI93" i="8" s="1"/>
  <c r="O94" i="8"/>
  <c r="W94" i="8" s="1"/>
  <c r="AE94" i="8" s="1"/>
  <c r="P94" i="8"/>
  <c r="X94" i="8" s="1"/>
  <c r="AF94" i="8" s="1"/>
  <c r="Q94" i="8"/>
  <c r="Y94" i="8" s="1"/>
  <c r="AG94" i="8" s="1"/>
  <c r="R94" i="8"/>
  <c r="Z94" i="8" s="1"/>
  <c r="AH94" i="8" s="1"/>
  <c r="S94" i="8"/>
  <c r="AA94" i="8" s="1"/>
  <c r="AI94" i="8" s="1"/>
  <c r="O95" i="8"/>
  <c r="W95" i="8" s="1"/>
  <c r="AE95" i="8" s="1"/>
  <c r="P95" i="8"/>
  <c r="X95" i="8" s="1"/>
  <c r="AF95" i="8" s="1"/>
  <c r="Q95" i="8"/>
  <c r="Y95" i="8" s="1"/>
  <c r="AG95" i="8" s="1"/>
  <c r="R95" i="8"/>
  <c r="Z95" i="8" s="1"/>
  <c r="AH95" i="8" s="1"/>
  <c r="S95" i="8"/>
  <c r="AA95" i="8" s="1"/>
  <c r="AI95" i="8" s="1"/>
  <c r="O96" i="8"/>
  <c r="W96" i="8" s="1"/>
  <c r="AE96" i="8" s="1"/>
  <c r="P96" i="8"/>
  <c r="X96" i="8" s="1"/>
  <c r="AF96" i="8" s="1"/>
  <c r="Q96" i="8"/>
  <c r="Y96" i="8" s="1"/>
  <c r="AG96" i="8" s="1"/>
  <c r="R96" i="8"/>
  <c r="Z96" i="8" s="1"/>
  <c r="AH96" i="8" s="1"/>
  <c r="S96" i="8"/>
  <c r="AA96" i="8" s="1"/>
  <c r="AI96" i="8" s="1"/>
  <c r="O97" i="8"/>
  <c r="W97" i="8" s="1"/>
  <c r="AE97" i="8" s="1"/>
  <c r="P97" i="8"/>
  <c r="X97" i="8" s="1"/>
  <c r="AF97" i="8" s="1"/>
  <c r="Q97" i="8"/>
  <c r="Y97" i="8" s="1"/>
  <c r="AG97" i="8" s="1"/>
  <c r="R97" i="8"/>
  <c r="Z97" i="8" s="1"/>
  <c r="AH97" i="8" s="1"/>
  <c r="S97" i="8"/>
  <c r="AA97" i="8" s="1"/>
  <c r="AI97" i="8" s="1"/>
  <c r="O98" i="8"/>
  <c r="W98" i="8" s="1"/>
  <c r="AE98" i="8" s="1"/>
  <c r="P98" i="8"/>
  <c r="X98" i="8" s="1"/>
  <c r="AF98" i="8" s="1"/>
  <c r="Q98" i="8"/>
  <c r="Y98" i="8" s="1"/>
  <c r="AG98" i="8" s="1"/>
  <c r="R98" i="8"/>
  <c r="Z98" i="8" s="1"/>
  <c r="AH98" i="8" s="1"/>
  <c r="S98" i="8"/>
  <c r="AA98" i="8" s="1"/>
  <c r="AI98" i="8" s="1"/>
  <c r="O99" i="8"/>
  <c r="W99" i="8" s="1"/>
  <c r="AE99" i="8" s="1"/>
  <c r="P99" i="8"/>
  <c r="X99" i="8" s="1"/>
  <c r="AF99" i="8" s="1"/>
  <c r="Q99" i="8"/>
  <c r="Y99" i="8" s="1"/>
  <c r="AG99" i="8" s="1"/>
  <c r="R99" i="8"/>
  <c r="Z99" i="8" s="1"/>
  <c r="AH99" i="8" s="1"/>
  <c r="S99" i="8"/>
  <c r="AA99" i="8" s="1"/>
  <c r="AI99" i="8" s="1"/>
  <c r="O100" i="8"/>
  <c r="W100" i="8" s="1"/>
  <c r="AE100" i="8" s="1"/>
  <c r="P100" i="8"/>
  <c r="X100" i="8" s="1"/>
  <c r="AF100" i="8" s="1"/>
  <c r="Q100" i="8"/>
  <c r="Y100" i="8" s="1"/>
  <c r="AG100" i="8" s="1"/>
  <c r="R100" i="8"/>
  <c r="Z100" i="8" s="1"/>
  <c r="AH100" i="8" s="1"/>
  <c r="S100" i="8"/>
  <c r="AA100" i="8" s="1"/>
  <c r="AI100" i="8" s="1"/>
  <c r="O101" i="8"/>
  <c r="W101" i="8" s="1"/>
  <c r="AE101" i="8" s="1"/>
  <c r="P101" i="8"/>
  <c r="X101" i="8" s="1"/>
  <c r="AF101" i="8" s="1"/>
  <c r="Q101" i="8"/>
  <c r="Y101" i="8" s="1"/>
  <c r="AG101" i="8" s="1"/>
  <c r="R101" i="8"/>
  <c r="Z101" i="8" s="1"/>
  <c r="AH101" i="8" s="1"/>
  <c r="S101" i="8"/>
  <c r="AA101" i="8" s="1"/>
  <c r="AI101" i="8" s="1"/>
  <c r="O102" i="8"/>
  <c r="W102" i="8" s="1"/>
  <c r="AE102" i="8" s="1"/>
  <c r="P102" i="8"/>
  <c r="X102" i="8" s="1"/>
  <c r="AF102" i="8" s="1"/>
  <c r="Q102" i="8"/>
  <c r="Y102" i="8" s="1"/>
  <c r="AG102" i="8" s="1"/>
  <c r="R102" i="8"/>
  <c r="Z102" i="8" s="1"/>
  <c r="AH102" i="8" s="1"/>
  <c r="S102" i="8"/>
  <c r="AA102" i="8" s="1"/>
  <c r="AI102" i="8" s="1"/>
  <c r="O103" i="8"/>
  <c r="W103" i="8" s="1"/>
  <c r="AE103" i="8" s="1"/>
  <c r="P103" i="8"/>
  <c r="X103" i="8" s="1"/>
  <c r="AF103" i="8" s="1"/>
  <c r="Q103" i="8"/>
  <c r="Y103" i="8" s="1"/>
  <c r="AG103" i="8" s="1"/>
  <c r="R103" i="8"/>
  <c r="Z103" i="8" s="1"/>
  <c r="AH103" i="8" s="1"/>
  <c r="S103" i="8"/>
  <c r="AA103" i="8" s="1"/>
  <c r="AI103" i="8" s="1"/>
  <c r="O104" i="8"/>
  <c r="W104" i="8" s="1"/>
  <c r="AE104" i="8" s="1"/>
  <c r="P104" i="8"/>
  <c r="X104" i="8" s="1"/>
  <c r="AF104" i="8" s="1"/>
  <c r="Q104" i="8"/>
  <c r="Y104" i="8" s="1"/>
  <c r="AG104" i="8" s="1"/>
  <c r="R104" i="8"/>
  <c r="Z104" i="8" s="1"/>
  <c r="AH104" i="8" s="1"/>
  <c r="S104" i="8"/>
  <c r="AA104" i="8" s="1"/>
  <c r="AI104" i="8" s="1"/>
  <c r="O105" i="8"/>
  <c r="W105" i="8" s="1"/>
  <c r="AE105" i="8" s="1"/>
  <c r="P105" i="8"/>
  <c r="X105" i="8" s="1"/>
  <c r="AF105" i="8" s="1"/>
  <c r="Q105" i="8"/>
  <c r="Y105" i="8" s="1"/>
  <c r="AG105" i="8" s="1"/>
  <c r="R105" i="8"/>
  <c r="Z105" i="8" s="1"/>
  <c r="AH105" i="8" s="1"/>
  <c r="S105" i="8"/>
  <c r="AA105" i="8" s="1"/>
  <c r="AI105" i="8" s="1"/>
  <c r="O106" i="8"/>
  <c r="W106" i="8" s="1"/>
  <c r="AE106" i="8" s="1"/>
  <c r="P106" i="8"/>
  <c r="X106" i="8" s="1"/>
  <c r="AF106" i="8" s="1"/>
  <c r="Q106" i="8"/>
  <c r="Y106" i="8" s="1"/>
  <c r="AG106" i="8" s="1"/>
  <c r="R106" i="8"/>
  <c r="Z106" i="8" s="1"/>
  <c r="AH106" i="8" s="1"/>
  <c r="S106" i="8"/>
  <c r="AA106" i="8" s="1"/>
  <c r="AI106" i="8" s="1"/>
  <c r="O107" i="8"/>
  <c r="W107" i="8" s="1"/>
  <c r="AE107" i="8" s="1"/>
  <c r="P107" i="8"/>
  <c r="X107" i="8" s="1"/>
  <c r="AF107" i="8" s="1"/>
  <c r="Q107" i="8"/>
  <c r="Y107" i="8" s="1"/>
  <c r="AG107" i="8" s="1"/>
  <c r="R107" i="8"/>
  <c r="Z107" i="8" s="1"/>
  <c r="AH107" i="8" s="1"/>
  <c r="S107" i="8"/>
  <c r="AA107" i="8" s="1"/>
  <c r="AI107" i="8" s="1"/>
  <c r="O108" i="8"/>
  <c r="W108" i="8" s="1"/>
  <c r="AE108" i="8" s="1"/>
  <c r="P108" i="8"/>
  <c r="X108" i="8" s="1"/>
  <c r="AF108" i="8" s="1"/>
  <c r="Q108" i="8"/>
  <c r="Y108" i="8" s="1"/>
  <c r="AG108" i="8" s="1"/>
  <c r="R108" i="8"/>
  <c r="Z108" i="8" s="1"/>
  <c r="AH108" i="8" s="1"/>
  <c r="S108" i="8"/>
  <c r="AA108" i="8" s="1"/>
  <c r="AI108" i="8" s="1"/>
  <c r="O109" i="8"/>
  <c r="W109" i="8" s="1"/>
  <c r="AE109" i="8" s="1"/>
  <c r="P109" i="8"/>
  <c r="X109" i="8" s="1"/>
  <c r="AF109" i="8" s="1"/>
  <c r="Q109" i="8"/>
  <c r="Y109" i="8" s="1"/>
  <c r="AG109" i="8" s="1"/>
  <c r="R109" i="8"/>
  <c r="Z109" i="8" s="1"/>
  <c r="AH109" i="8" s="1"/>
  <c r="S109" i="8"/>
  <c r="AA109" i="8" s="1"/>
  <c r="AI109" i="8" s="1"/>
  <c r="O110" i="8"/>
  <c r="W110" i="8" s="1"/>
  <c r="AE110" i="8" s="1"/>
  <c r="P110" i="8"/>
  <c r="X110" i="8" s="1"/>
  <c r="AF110" i="8" s="1"/>
  <c r="Q110" i="8"/>
  <c r="Y110" i="8" s="1"/>
  <c r="AG110" i="8" s="1"/>
  <c r="R110" i="8"/>
  <c r="Z110" i="8" s="1"/>
  <c r="AH110" i="8" s="1"/>
  <c r="S110" i="8"/>
  <c r="AA110" i="8" s="1"/>
  <c r="AI110" i="8" s="1"/>
  <c r="O111" i="8"/>
  <c r="W111" i="8" s="1"/>
  <c r="AE111" i="8" s="1"/>
  <c r="P111" i="8"/>
  <c r="X111" i="8" s="1"/>
  <c r="AF111" i="8" s="1"/>
  <c r="Q111" i="8"/>
  <c r="Y111" i="8" s="1"/>
  <c r="AG111" i="8" s="1"/>
  <c r="R111" i="8"/>
  <c r="Z111" i="8" s="1"/>
  <c r="AH111" i="8" s="1"/>
  <c r="S111" i="8"/>
  <c r="AA111" i="8" s="1"/>
  <c r="AI111" i="8" s="1"/>
  <c r="O112" i="8"/>
  <c r="W112" i="8" s="1"/>
  <c r="AE112" i="8" s="1"/>
  <c r="P112" i="8"/>
  <c r="X112" i="8" s="1"/>
  <c r="AF112" i="8" s="1"/>
  <c r="Q112" i="8"/>
  <c r="Y112" i="8" s="1"/>
  <c r="AG112" i="8" s="1"/>
  <c r="R112" i="8"/>
  <c r="Z112" i="8" s="1"/>
  <c r="AH112" i="8" s="1"/>
  <c r="S112" i="8"/>
  <c r="AA112" i="8" s="1"/>
  <c r="AI112" i="8" s="1"/>
  <c r="O113" i="8"/>
  <c r="W113" i="8" s="1"/>
  <c r="AE113" i="8" s="1"/>
  <c r="P113" i="8"/>
  <c r="X113" i="8" s="1"/>
  <c r="AF113" i="8" s="1"/>
  <c r="Q113" i="8"/>
  <c r="Y113" i="8" s="1"/>
  <c r="AG113" i="8" s="1"/>
  <c r="R113" i="8"/>
  <c r="Z113" i="8" s="1"/>
  <c r="AH113" i="8" s="1"/>
  <c r="S113" i="8"/>
  <c r="AA113" i="8" s="1"/>
  <c r="AI113" i="8" s="1"/>
  <c r="O114" i="8"/>
  <c r="W114" i="8" s="1"/>
  <c r="AE114" i="8" s="1"/>
  <c r="P114" i="8"/>
  <c r="X114" i="8" s="1"/>
  <c r="AF114" i="8" s="1"/>
  <c r="Q114" i="8"/>
  <c r="Y114" i="8" s="1"/>
  <c r="AG114" i="8" s="1"/>
  <c r="R114" i="8"/>
  <c r="Z114" i="8" s="1"/>
  <c r="AH114" i="8" s="1"/>
  <c r="S114" i="8"/>
  <c r="AA114" i="8" s="1"/>
  <c r="AI114" i="8" s="1"/>
  <c r="O115" i="8"/>
  <c r="W115" i="8" s="1"/>
  <c r="AE115" i="8" s="1"/>
  <c r="P115" i="8"/>
  <c r="X115" i="8" s="1"/>
  <c r="AF115" i="8" s="1"/>
  <c r="Q115" i="8"/>
  <c r="Y115" i="8" s="1"/>
  <c r="AG115" i="8" s="1"/>
  <c r="R115" i="8"/>
  <c r="Z115" i="8" s="1"/>
  <c r="AH115" i="8" s="1"/>
  <c r="S115" i="8"/>
  <c r="AA115" i="8" s="1"/>
  <c r="AI115" i="8" s="1"/>
  <c r="O116" i="8"/>
  <c r="W116" i="8" s="1"/>
  <c r="AE116" i="8" s="1"/>
  <c r="P116" i="8"/>
  <c r="X116" i="8" s="1"/>
  <c r="AF116" i="8" s="1"/>
  <c r="Q116" i="8"/>
  <c r="Y116" i="8" s="1"/>
  <c r="AG116" i="8" s="1"/>
  <c r="R116" i="8"/>
  <c r="Z116" i="8" s="1"/>
  <c r="AH116" i="8" s="1"/>
  <c r="S116" i="8"/>
  <c r="AA116" i="8" s="1"/>
  <c r="AI116" i="8" s="1"/>
  <c r="O117" i="8"/>
  <c r="W117" i="8" s="1"/>
  <c r="AE117" i="8" s="1"/>
  <c r="P117" i="8"/>
  <c r="X117" i="8" s="1"/>
  <c r="AF117" i="8" s="1"/>
  <c r="Q117" i="8"/>
  <c r="Y117" i="8" s="1"/>
  <c r="AG117" i="8" s="1"/>
  <c r="R117" i="8"/>
  <c r="Z117" i="8" s="1"/>
  <c r="AH117" i="8" s="1"/>
  <c r="S117" i="8"/>
  <c r="AA117" i="8" s="1"/>
  <c r="AI117" i="8" s="1"/>
  <c r="O118" i="8"/>
  <c r="W118" i="8" s="1"/>
  <c r="AE118" i="8" s="1"/>
  <c r="P118" i="8"/>
  <c r="X118" i="8" s="1"/>
  <c r="AF118" i="8" s="1"/>
  <c r="Q118" i="8"/>
  <c r="Y118" i="8" s="1"/>
  <c r="AG118" i="8" s="1"/>
  <c r="R118" i="8"/>
  <c r="Z118" i="8" s="1"/>
  <c r="AH118" i="8" s="1"/>
  <c r="S118" i="8"/>
  <c r="AA118" i="8" s="1"/>
  <c r="AI118" i="8" s="1"/>
  <c r="O119" i="8"/>
  <c r="W119" i="8" s="1"/>
  <c r="AE119" i="8" s="1"/>
  <c r="P119" i="8"/>
  <c r="X119" i="8" s="1"/>
  <c r="AF119" i="8" s="1"/>
  <c r="Q119" i="8"/>
  <c r="Y119" i="8" s="1"/>
  <c r="AG119" i="8" s="1"/>
  <c r="R119" i="8"/>
  <c r="Z119" i="8" s="1"/>
  <c r="AH119" i="8" s="1"/>
  <c r="S119" i="8"/>
  <c r="AA119" i="8" s="1"/>
  <c r="AI119" i="8" s="1"/>
  <c r="O120" i="8"/>
  <c r="W120" i="8" s="1"/>
  <c r="AE120" i="8" s="1"/>
  <c r="P120" i="8"/>
  <c r="X120" i="8" s="1"/>
  <c r="AF120" i="8" s="1"/>
  <c r="Q120" i="8"/>
  <c r="Y120" i="8" s="1"/>
  <c r="AG120" i="8" s="1"/>
  <c r="R120" i="8"/>
  <c r="Z120" i="8" s="1"/>
  <c r="AH120" i="8" s="1"/>
  <c r="S120" i="8"/>
  <c r="AA120" i="8" s="1"/>
  <c r="AI120" i="8" s="1"/>
  <c r="O121" i="8"/>
  <c r="W121" i="8" s="1"/>
  <c r="AE121" i="8" s="1"/>
  <c r="P121" i="8"/>
  <c r="X121" i="8" s="1"/>
  <c r="AF121" i="8" s="1"/>
  <c r="Q121" i="8"/>
  <c r="Y121" i="8" s="1"/>
  <c r="AG121" i="8" s="1"/>
  <c r="R121" i="8"/>
  <c r="Z121" i="8" s="1"/>
  <c r="AH121" i="8" s="1"/>
  <c r="S121" i="8"/>
  <c r="AA121" i="8" s="1"/>
  <c r="AI121" i="8" s="1"/>
  <c r="O122" i="8"/>
  <c r="W122" i="8" s="1"/>
  <c r="AE122" i="8" s="1"/>
  <c r="P122" i="8"/>
  <c r="X122" i="8" s="1"/>
  <c r="AF122" i="8" s="1"/>
  <c r="Q122" i="8"/>
  <c r="Y122" i="8" s="1"/>
  <c r="AG122" i="8" s="1"/>
  <c r="R122" i="8"/>
  <c r="Z122" i="8" s="1"/>
  <c r="AH122" i="8" s="1"/>
  <c r="S122" i="8"/>
  <c r="AA122" i="8" s="1"/>
  <c r="AI122" i="8" s="1"/>
  <c r="O123" i="8"/>
  <c r="W123" i="8" s="1"/>
  <c r="AE123" i="8" s="1"/>
  <c r="P123" i="8"/>
  <c r="X123" i="8" s="1"/>
  <c r="AF123" i="8" s="1"/>
  <c r="Q123" i="8"/>
  <c r="Y123" i="8" s="1"/>
  <c r="AG123" i="8" s="1"/>
  <c r="R123" i="8"/>
  <c r="Z123" i="8" s="1"/>
  <c r="AH123" i="8" s="1"/>
  <c r="S123" i="8"/>
  <c r="AA123" i="8" s="1"/>
  <c r="AI123" i="8" s="1"/>
  <c r="O124" i="8"/>
  <c r="W124" i="8" s="1"/>
  <c r="AE124" i="8" s="1"/>
  <c r="P124" i="8"/>
  <c r="X124" i="8" s="1"/>
  <c r="AF124" i="8" s="1"/>
  <c r="Q124" i="8"/>
  <c r="Y124" i="8" s="1"/>
  <c r="AG124" i="8" s="1"/>
  <c r="R124" i="8"/>
  <c r="Z124" i="8" s="1"/>
  <c r="AH124" i="8" s="1"/>
  <c r="S124" i="8"/>
  <c r="AA124" i="8" s="1"/>
  <c r="AI124" i="8" s="1"/>
  <c r="O125" i="8"/>
  <c r="W125" i="8" s="1"/>
  <c r="AE125" i="8" s="1"/>
  <c r="P125" i="8"/>
  <c r="X125" i="8" s="1"/>
  <c r="AF125" i="8" s="1"/>
  <c r="Q125" i="8"/>
  <c r="Y125" i="8" s="1"/>
  <c r="AG125" i="8" s="1"/>
  <c r="R125" i="8"/>
  <c r="Z125" i="8" s="1"/>
  <c r="AH125" i="8" s="1"/>
  <c r="S125" i="8"/>
  <c r="AA125" i="8" s="1"/>
  <c r="AI125" i="8" s="1"/>
  <c r="O126" i="8"/>
  <c r="W126" i="8" s="1"/>
  <c r="AE126" i="8" s="1"/>
  <c r="P126" i="8"/>
  <c r="X126" i="8" s="1"/>
  <c r="AF126" i="8" s="1"/>
  <c r="Q126" i="8"/>
  <c r="Y126" i="8" s="1"/>
  <c r="AG126" i="8" s="1"/>
  <c r="R126" i="8"/>
  <c r="Z126" i="8" s="1"/>
  <c r="AH126" i="8" s="1"/>
  <c r="S126" i="8"/>
  <c r="AA126" i="8" s="1"/>
  <c r="AI126" i="8" s="1"/>
  <c r="O127" i="8"/>
  <c r="W127" i="8" s="1"/>
  <c r="AE127" i="8" s="1"/>
  <c r="P127" i="8"/>
  <c r="X127" i="8" s="1"/>
  <c r="AF127" i="8" s="1"/>
  <c r="Q127" i="8"/>
  <c r="Y127" i="8" s="1"/>
  <c r="AG127" i="8" s="1"/>
  <c r="R127" i="8"/>
  <c r="Z127" i="8" s="1"/>
  <c r="AH127" i="8" s="1"/>
  <c r="S127" i="8"/>
  <c r="AA127" i="8" s="1"/>
  <c r="AI127" i="8" s="1"/>
  <c r="O128" i="8"/>
  <c r="W128" i="8" s="1"/>
  <c r="AE128" i="8" s="1"/>
  <c r="P128" i="8"/>
  <c r="X128" i="8" s="1"/>
  <c r="AF128" i="8" s="1"/>
  <c r="Q128" i="8"/>
  <c r="Y128" i="8" s="1"/>
  <c r="AG128" i="8" s="1"/>
  <c r="R128" i="8"/>
  <c r="Z128" i="8" s="1"/>
  <c r="AH128" i="8" s="1"/>
  <c r="S128" i="8"/>
  <c r="AA128" i="8" s="1"/>
  <c r="AI128" i="8" s="1"/>
  <c r="O129" i="8"/>
  <c r="W129" i="8" s="1"/>
  <c r="AE129" i="8" s="1"/>
  <c r="P129" i="8"/>
  <c r="X129" i="8" s="1"/>
  <c r="AF129" i="8" s="1"/>
  <c r="Q129" i="8"/>
  <c r="Y129" i="8" s="1"/>
  <c r="AG129" i="8" s="1"/>
  <c r="R129" i="8"/>
  <c r="Z129" i="8" s="1"/>
  <c r="AH129" i="8" s="1"/>
  <c r="S129" i="8"/>
  <c r="AA129" i="8" s="1"/>
  <c r="AI129" i="8" s="1"/>
  <c r="O130" i="8"/>
  <c r="W130" i="8" s="1"/>
  <c r="AE130" i="8" s="1"/>
  <c r="P130" i="8"/>
  <c r="X130" i="8" s="1"/>
  <c r="AF130" i="8" s="1"/>
  <c r="Q130" i="8"/>
  <c r="Y130" i="8" s="1"/>
  <c r="AG130" i="8" s="1"/>
  <c r="R130" i="8"/>
  <c r="Z130" i="8" s="1"/>
  <c r="AH130" i="8" s="1"/>
  <c r="S130" i="8"/>
  <c r="AA130" i="8" s="1"/>
  <c r="AI130" i="8" s="1"/>
  <c r="O131" i="8"/>
  <c r="W131" i="8" s="1"/>
  <c r="AE131" i="8" s="1"/>
  <c r="P131" i="8"/>
  <c r="X131" i="8" s="1"/>
  <c r="AF131" i="8" s="1"/>
  <c r="Q131" i="8"/>
  <c r="Y131" i="8" s="1"/>
  <c r="AG131" i="8" s="1"/>
  <c r="R131" i="8"/>
  <c r="Z131" i="8" s="1"/>
  <c r="AH131" i="8" s="1"/>
  <c r="S131" i="8"/>
  <c r="AA131" i="8" s="1"/>
  <c r="AI131" i="8" s="1"/>
  <c r="O132" i="8"/>
  <c r="W132" i="8" s="1"/>
  <c r="AE132" i="8" s="1"/>
  <c r="P132" i="8"/>
  <c r="X132" i="8" s="1"/>
  <c r="AF132" i="8" s="1"/>
  <c r="Q132" i="8"/>
  <c r="Y132" i="8" s="1"/>
  <c r="AG132" i="8" s="1"/>
  <c r="R132" i="8"/>
  <c r="Z132" i="8" s="1"/>
  <c r="AH132" i="8" s="1"/>
  <c r="S132" i="8"/>
  <c r="AA132" i="8" s="1"/>
  <c r="AI132" i="8" s="1"/>
  <c r="O133" i="8"/>
  <c r="W133" i="8" s="1"/>
  <c r="AE133" i="8" s="1"/>
  <c r="P133" i="8"/>
  <c r="X133" i="8" s="1"/>
  <c r="AF133" i="8" s="1"/>
  <c r="Q133" i="8"/>
  <c r="Y133" i="8" s="1"/>
  <c r="AG133" i="8" s="1"/>
  <c r="R133" i="8"/>
  <c r="Z133" i="8" s="1"/>
  <c r="AH133" i="8" s="1"/>
  <c r="S133" i="8"/>
  <c r="AA133" i="8" s="1"/>
  <c r="AI133" i="8" s="1"/>
  <c r="O134" i="8"/>
  <c r="W134" i="8" s="1"/>
  <c r="AE134" i="8" s="1"/>
  <c r="P134" i="8"/>
  <c r="X134" i="8" s="1"/>
  <c r="AF134" i="8" s="1"/>
  <c r="Q134" i="8"/>
  <c r="Y134" i="8" s="1"/>
  <c r="AG134" i="8" s="1"/>
  <c r="R134" i="8"/>
  <c r="Z134" i="8" s="1"/>
  <c r="AH134" i="8" s="1"/>
  <c r="S134" i="8"/>
  <c r="AA134" i="8" s="1"/>
  <c r="AI134" i="8" s="1"/>
  <c r="O135" i="8"/>
  <c r="W135" i="8" s="1"/>
  <c r="AE135" i="8" s="1"/>
  <c r="P135" i="8"/>
  <c r="X135" i="8" s="1"/>
  <c r="AF135" i="8" s="1"/>
  <c r="Q135" i="8"/>
  <c r="Y135" i="8" s="1"/>
  <c r="AG135" i="8" s="1"/>
  <c r="R135" i="8"/>
  <c r="Z135" i="8" s="1"/>
  <c r="AH135" i="8" s="1"/>
  <c r="S135" i="8"/>
  <c r="AA135" i="8" s="1"/>
  <c r="AI135" i="8" s="1"/>
  <c r="O136" i="8"/>
  <c r="W136" i="8" s="1"/>
  <c r="AE136" i="8" s="1"/>
  <c r="P136" i="8"/>
  <c r="X136" i="8" s="1"/>
  <c r="AF136" i="8" s="1"/>
  <c r="Q136" i="8"/>
  <c r="Y136" i="8" s="1"/>
  <c r="AG136" i="8" s="1"/>
  <c r="R136" i="8"/>
  <c r="Z136" i="8" s="1"/>
  <c r="AH136" i="8" s="1"/>
  <c r="S136" i="8"/>
  <c r="AA136" i="8" s="1"/>
  <c r="AI136" i="8" s="1"/>
  <c r="O137" i="8"/>
  <c r="W137" i="8" s="1"/>
  <c r="AE137" i="8" s="1"/>
  <c r="P137" i="8"/>
  <c r="X137" i="8" s="1"/>
  <c r="AF137" i="8" s="1"/>
  <c r="Q137" i="8"/>
  <c r="Y137" i="8" s="1"/>
  <c r="AG137" i="8" s="1"/>
  <c r="R137" i="8"/>
  <c r="Z137" i="8" s="1"/>
  <c r="AH137" i="8" s="1"/>
  <c r="S137" i="8"/>
  <c r="AA137" i="8" s="1"/>
  <c r="AI137" i="8" s="1"/>
  <c r="O138" i="8"/>
  <c r="W138" i="8" s="1"/>
  <c r="AE138" i="8" s="1"/>
  <c r="P138" i="8"/>
  <c r="X138" i="8" s="1"/>
  <c r="AF138" i="8" s="1"/>
  <c r="Q138" i="8"/>
  <c r="Y138" i="8" s="1"/>
  <c r="AG138" i="8" s="1"/>
  <c r="R138" i="8"/>
  <c r="Z138" i="8" s="1"/>
  <c r="AH138" i="8" s="1"/>
  <c r="S138" i="8"/>
  <c r="AA138" i="8" s="1"/>
  <c r="AI138" i="8" s="1"/>
  <c r="O139" i="8"/>
  <c r="W139" i="8" s="1"/>
  <c r="AE139" i="8" s="1"/>
  <c r="P139" i="8"/>
  <c r="X139" i="8" s="1"/>
  <c r="AF139" i="8" s="1"/>
  <c r="Q139" i="8"/>
  <c r="Y139" i="8" s="1"/>
  <c r="AG139" i="8" s="1"/>
  <c r="R139" i="8"/>
  <c r="Z139" i="8" s="1"/>
  <c r="AH139" i="8" s="1"/>
  <c r="S139" i="8"/>
  <c r="AA139" i="8" s="1"/>
  <c r="AI139" i="8" s="1"/>
  <c r="O140" i="8"/>
  <c r="W140" i="8" s="1"/>
  <c r="AE140" i="8" s="1"/>
  <c r="P140" i="8"/>
  <c r="X140" i="8" s="1"/>
  <c r="AF140" i="8" s="1"/>
  <c r="Q140" i="8"/>
  <c r="Y140" i="8" s="1"/>
  <c r="AG140" i="8" s="1"/>
  <c r="R140" i="8"/>
  <c r="Z140" i="8" s="1"/>
  <c r="AH140" i="8" s="1"/>
  <c r="S140" i="8"/>
  <c r="AA140" i="8" s="1"/>
  <c r="AI140" i="8" s="1"/>
  <c r="O141" i="8"/>
  <c r="W141" i="8" s="1"/>
  <c r="AE141" i="8" s="1"/>
  <c r="P141" i="8"/>
  <c r="X141" i="8" s="1"/>
  <c r="AF141" i="8" s="1"/>
  <c r="Q141" i="8"/>
  <c r="Y141" i="8" s="1"/>
  <c r="AG141" i="8" s="1"/>
  <c r="R141" i="8"/>
  <c r="Z141" i="8" s="1"/>
  <c r="AH141" i="8" s="1"/>
  <c r="S141" i="8"/>
  <c r="AA141" i="8" s="1"/>
  <c r="AI141" i="8" s="1"/>
  <c r="O142" i="8"/>
  <c r="W142" i="8" s="1"/>
  <c r="AE142" i="8" s="1"/>
  <c r="P142" i="8"/>
  <c r="X142" i="8" s="1"/>
  <c r="AF142" i="8" s="1"/>
  <c r="Q142" i="8"/>
  <c r="Y142" i="8" s="1"/>
  <c r="AG142" i="8" s="1"/>
  <c r="R142" i="8"/>
  <c r="Z142" i="8" s="1"/>
  <c r="AH142" i="8" s="1"/>
  <c r="S142" i="8"/>
  <c r="AA142" i="8" s="1"/>
  <c r="AI142" i="8" s="1"/>
  <c r="O143" i="8"/>
  <c r="W143" i="8" s="1"/>
  <c r="AE143" i="8" s="1"/>
  <c r="P143" i="8"/>
  <c r="X143" i="8" s="1"/>
  <c r="AF143" i="8" s="1"/>
  <c r="Q143" i="8"/>
  <c r="Y143" i="8" s="1"/>
  <c r="AG143" i="8" s="1"/>
  <c r="R143" i="8"/>
  <c r="Z143" i="8" s="1"/>
  <c r="AH143" i="8" s="1"/>
  <c r="S143" i="8"/>
  <c r="AA143" i="8" s="1"/>
  <c r="AI143" i="8" s="1"/>
  <c r="O144" i="8"/>
  <c r="W144" i="8" s="1"/>
  <c r="AE144" i="8" s="1"/>
  <c r="P144" i="8"/>
  <c r="X144" i="8" s="1"/>
  <c r="AF144" i="8" s="1"/>
  <c r="Q144" i="8"/>
  <c r="Y144" i="8" s="1"/>
  <c r="AG144" i="8" s="1"/>
  <c r="R144" i="8"/>
  <c r="Z144" i="8" s="1"/>
  <c r="AH144" i="8" s="1"/>
  <c r="S144" i="8"/>
  <c r="AA144" i="8" s="1"/>
  <c r="AI144" i="8" s="1"/>
  <c r="O145" i="8"/>
  <c r="W145" i="8" s="1"/>
  <c r="AE145" i="8" s="1"/>
  <c r="P145" i="8"/>
  <c r="X145" i="8" s="1"/>
  <c r="AF145" i="8" s="1"/>
  <c r="Q145" i="8"/>
  <c r="Y145" i="8" s="1"/>
  <c r="AG145" i="8" s="1"/>
  <c r="R145" i="8"/>
  <c r="Z145" i="8" s="1"/>
  <c r="AH145" i="8" s="1"/>
  <c r="S145" i="8"/>
  <c r="AA145" i="8" s="1"/>
  <c r="AI145" i="8" s="1"/>
  <c r="O146" i="8"/>
  <c r="W146" i="8" s="1"/>
  <c r="AE146" i="8" s="1"/>
  <c r="P146" i="8"/>
  <c r="X146" i="8" s="1"/>
  <c r="AF146" i="8" s="1"/>
  <c r="Q146" i="8"/>
  <c r="Y146" i="8" s="1"/>
  <c r="AG146" i="8" s="1"/>
  <c r="R146" i="8"/>
  <c r="Z146" i="8" s="1"/>
  <c r="AH146" i="8" s="1"/>
  <c r="S146" i="8"/>
  <c r="AA146" i="8" s="1"/>
  <c r="AI146" i="8" s="1"/>
  <c r="O147" i="8"/>
  <c r="W147" i="8" s="1"/>
  <c r="AE147" i="8" s="1"/>
  <c r="P147" i="8"/>
  <c r="X147" i="8" s="1"/>
  <c r="AF147" i="8" s="1"/>
  <c r="Q147" i="8"/>
  <c r="Y147" i="8" s="1"/>
  <c r="AG147" i="8" s="1"/>
  <c r="R147" i="8"/>
  <c r="Z147" i="8" s="1"/>
  <c r="AH147" i="8" s="1"/>
  <c r="S147" i="8"/>
  <c r="AA147" i="8" s="1"/>
  <c r="AI147" i="8" s="1"/>
  <c r="O148" i="8"/>
  <c r="W148" i="8" s="1"/>
  <c r="AE148" i="8" s="1"/>
  <c r="P148" i="8"/>
  <c r="X148" i="8" s="1"/>
  <c r="AF148" i="8" s="1"/>
  <c r="Q148" i="8"/>
  <c r="Y148" i="8" s="1"/>
  <c r="AG148" i="8" s="1"/>
  <c r="R148" i="8"/>
  <c r="Z148" i="8" s="1"/>
  <c r="AH148" i="8" s="1"/>
  <c r="S148" i="8"/>
  <c r="AA148" i="8" s="1"/>
  <c r="AI148" i="8" s="1"/>
  <c r="O149" i="8"/>
  <c r="W149" i="8" s="1"/>
  <c r="AE149" i="8" s="1"/>
  <c r="P149" i="8"/>
  <c r="X149" i="8" s="1"/>
  <c r="AF149" i="8" s="1"/>
  <c r="Q149" i="8"/>
  <c r="Y149" i="8" s="1"/>
  <c r="AG149" i="8" s="1"/>
  <c r="R149" i="8"/>
  <c r="Z149" i="8" s="1"/>
  <c r="AH149" i="8" s="1"/>
  <c r="S149" i="8"/>
  <c r="AA149" i="8" s="1"/>
  <c r="AI149" i="8" s="1"/>
  <c r="O150" i="8"/>
  <c r="W150" i="8" s="1"/>
  <c r="AE150" i="8" s="1"/>
  <c r="P150" i="8"/>
  <c r="X150" i="8" s="1"/>
  <c r="AF150" i="8" s="1"/>
  <c r="Q150" i="8"/>
  <c r="Y150" i="8" s="1"/>
  <c r="AG150" i="8" s="1"/>
  <c r="R150" i="8"/>
  <c r="Z150" i="8" s="1"/>
  <c r="AH150" i="8" s="1"/>
  <c r="S150" i="8"/>
  <c r="AA150" i="8" s="1"/>
  <c r="AI150" i="8" s="1"/>
  <c r="O151" i="8"/>
  <c r="W151" i="8" s="1"/>
  <c r="AE151" i="8" s="1"/>
  <c r="P151" i="8"/>
  <c r="X151" i="8" s="1"/>
  <c r="AF151" i="8" s="1"/>
  <c r="Q151" i="8"/>
  <c r="Y151" i="8" s="1"/>
  <c r="AG151" i="8" s="1"/>
  <c r="R151" i="8"/>
  <c r="Z151" i="8" s="1"/>
  <c r="AH151" i="8" s="1"/>
  <c r="S151" i="8"/>
  <c r="AA151" i="8" s="1"/>
  <c r="AI151" i="8" s="1"/>
  <c r="O152" i="8"/>
  <c r="W152" i="8" s="1"/>
  <c r="AE152" i="8" s="1"/>
  <c r="P152" i="8"/>
  <c r="X152" i="8" s="1"/>
  <c r="AF152" i="8" s="1"/>
  <c r="Q152" i="8"/>
  <c r="Y152" i="8" s="1"/>
  <c r="AG152" i="8" s="1"/>
  <c r="R152" i="8"/>
  <c r="Z152" i="8" s="1"/>
  <c r="AH152" i="8" s="1"/>
  <c r="S152" i="8"/>
  <c r="AA152" i="8" s="1"/>
  <c r="AI152" i="8" s="1"/>
  <c r="O153" i="8"/>
  <c r="W153" i="8" s="1"/>
  <c r="AE153" i="8" s="1"/>
  <c r="P153" i="8"/>
  <c r="X153" i="8" s="1"/>
  <c r="AF153" i="8" s="1"/>
  <c r="Q153" i="8"/>
  <c r="Y153" i="8" s="1"/>
  <c r="AG153" i="8" s="1"/>
  <c r="R153" i="8"/>
  <c r="Z153" i="8" s="1"/>
  <c r="AH153" i="8" s="1"/>
  <c r="S153" i="8"/>
  <c r="AA153" i="8" s="1"/>
  <c r="AI153" i="8" s="1"/>
  <c r="O154" i="8"/>
  <c r="W154" i="8" s="1"/>
  <c r="AE154" i="8" s="1"/>
  <c r="P154" i="8"/>
  <c r="X154" i="8" s="1"/>
  <c r="AF154" i="8" s="1"/>
  <c r="Q154" i="8"/>
  <c r="Y154" i="8" s="1"/>
  <c r="AG154" i="8" s="1"/>
  <c r="R154" i="8"/>
  <c r="Z154" i="8" s="1"/>
  <c r="AH154" i="8" s="1"/>
  <c r="S154" i="8"/>
  <c r="AA154" i="8" s="1"/>
  <c r="AI154" i="8" s="1"/>
  <c r="O155" i="8"/>
  <c r="W155" i="8" s="1"/>
  <c r="AE155" i="8" s="1"/>
  <c r="P155" i="8"/>
  <c r="X155" i="8" s="1"/>
  <c r="AF155" i="8" s="1"/>
  <c r="Q155" i="8"/>
  <c r="Y155" i="8" s="1"/>
  <c r="AG155" i="8" s="1"/>
  <c r="R155" i="8"/>
  <c r="Z155" i="8" s="1"/>
  <c r="AH155" i="8" s="1"/>
  <c r="S155" i="8"/>
  <c r="AA155" i="8" s="1"/>
  <c r="AI155" i="8" s="1"/>
  <c r="O156" i="8"/>
  <c r="W156" i="8" s="1"/>
  <c r="AE156" i="8" s="1"/>
  <c r="P156" i="8"/>
  <c r="X156" i="8" s="1"/>
  <c r="AF156" i="8" s="1"/>
  <c r="Q156" i="8"/>
  <c r="Y156" i="8" s="1"/>
  <c r="AG156" i="8" s="1"/>
  <c r="R156" i="8"/>
  <c r="Z156" i="8" s="1"/>
  <c r="AH156" i="8" s="1"/>
  <c r="S156" i="8"/>
  <c r="AA156" i="8" s="1"/>
  <c r="AI156" i="8" s="1"/>
  <c r="O157" i="8"/>
  <c r="W157" i="8" s="1"/>
  <c r="AE157" i="8" s="1"/>
  <c r="P157" i="8"/>
  <c r="X157" i="8" s="1"/>
  <c r="AF157" i="8" s="1"/>
  <c r="Q157" i="8"/>
  <c r="Y157" i="8" s="1"/>
  <c r="AG157" i="8" s="1"/>
  <c r="R157" i="8"/>
  <c r="Z157" i="8" s="1"/>
  <c r="AH157" i="8" s="1"/>
  <c r="S157" i="8"/>
  <c r="AA157" i="8" s="1"/>
  <c r="AI157" i="8" s="1"/>
  <c r="O158" i="8"/>
  <c r="W158" i="8" s="1"/>
  <c r="AE158" i="8" s="1"/>
  <c r="P158" i="8"/>
  <c r="X158" i="8" s="1"/>
  <c r="AF158" i="8" s="1"/>
  <c r="Q158" i="8"/>
  <c r="Y158" i="8" s="1"/>
  <c r="AG158" i="8" s="1"/>
  <c r="R158" i="8"/>
  <c r="Z158" i="8" s="1"/>
  <c r="AH158" i="8" s="1"/>
  <c r="S158" i="8"/>
  <c r="AA158" i="8" s="1"/>
  <c r="AI158" i="8" s="1"/>
  <c r="O159" i="8"/>
  <c r="W159" i="8" s="1"/>
  <c r="AE159" i="8" s="1"/>
  <c r="P159" i="8"/>
  <c r="X159" i="8" s="1"/>
  <c r="AF159" i="8" s="1"/>
  <c r="Q159" i="8"/>
  <c r="Y159" i="8" s="1"/>
  <c r="AG159" i="8" s="1"/>
  <c r="R159" i="8"/>
  <c r="Z159" i="8" s="1"/>
  <c r="AH159" i="8" s="1"/>
  <c r="S159" i="8"/>
  <c r="AA159" i="8" s="1"/>
  <c r="AI159" i="8" s="1"/>
  <c r="O160" i="8"/>
  <c r="W160" i="8" s="1"/>
  <c r="AE160" i="8" s="1"/>
  <c r="P160" i="8"/>
  <c r="X160" i="8" s="1"/>
  <c r="AF160" i="8" s="1"/>
  <c r="Q160" i="8"/>
  <c r="Y160" i="8" s="1"/>
  <c r="AG160" i="8" s="1"/>
  <c r="R160" i="8"/>
  <c r="Z160" i="8" s="1"/>
  <c r="AH160" i="8" s="1"/>
  <c r="S160" i="8"/>
  <c r="AA160" i="8" s="1"/>
  <c r="AI160" i="8" s="1"/>
  <c r="O161" i="8"/>
  <c r="W161" i="8" s="1"/>
  <c r="AE161" i="8" s="1"/>
  <c r="P161" i="8"/>
  <c r="X161" i="8" s="1"/>
  <c r="AF161" i="8" s="1"/>
  <c r="Q161" i="8"/>
  <c r="Y161" i="8" s="1"/>
  <c r="AG161" i="8" s="1"/>
  <c r="R161" i="8"/>
  <c r="Z161" i="8" s="1"/>
  <c r="AH161" i="8" s="1"/>
  <c r="S161" i="8"/>
  <c r="AA161" i="8" s="1"/>
  <c r="AI161" i="8" s="1"/>
  <c r="O162" i="8"/>
  <c r="W162" i="8" s="1"/>
  <c r="AE162" i="8" s="1"/>
  <c r="P162" i="8"/>
  <c r="X162" i="8" s="1"/>
  <c r="AF162" i="8" s="1"/>
  <c r="Q162" i="8"/>
  <c r="Y162" i="8" s="1"/>
  <c r="AG162" i="8" s="1"/>
  <c r="R162" i="8"/>
  <c r="Z162" i="8" s="1"/>
  <c r="AH162" i="8" s="1"/>
  <c r="S162" i="8"/>
  <c r="AA162" i="8" s="1"/>
  <c r="AI162" i="8" s="1"/>
  <c r="O163" i="8"/>
  <c r="W163" i="8" s="1"/>
  <c r="AE163" i="8" s="1"/>
  <c r="P163" i="8"/>
  <c r="X163" i="8" s="1"/>
  <c r="AF163" i="8" s="1"/>
  <c r="Q163" i="8"/>
  <c r="Y163" i="8" s="1"/>
  <c r="AG163" i="8" s="1"/>
  <c r="R163" i="8"/>
  <c r="Z163" i="8" s="1"/>
  <c r="AH163" i="8" s="1"/>
  <c r="S163" i="8"/>
  <c r="AA163" i="8" s="1"/>
  <c r="AI163" i="8" s="1"/>
  <c r="O164" i="8"/>
  <c r="W164" i="8" s="1"/>
  <c r="AE164" i="8" s="1"/>
  <c r="P164" i="8"/>
  <c r="X164" i="8" s="1"/>
  <c r="AF164" i="8" s="1"/>
  <c r="Q164" i="8"/>
  <c r="Y164" i="8" s="1"/>
  <c r="AG164" i="8" s="1"/>
  <c r="R164" i="8"/>
  <c r="Z164" i="8" s="1"/>
  <c r="AH164" i="8" s="1"/>
  <c r="S164" i="8"/>
  <c r="AA164" i="8" s="1"/>
  <c r="AI164" i="8" s="1"/>
  <c r="O165" i="8"/>
  <c r="W165" i="8" s="1"/>
  <c r="AE165" i="8" s="1"/>
  <c r="P165" i="8"/>
  <c r="X165" i="8" s="1"/>
  <c r="AF165" i="8" s="1"/>
  <c r="Q165" i="8"/>
  <c r="Y165" i="8" s="1"/>
  <c r="AG165" i="8" s="1"/>
  <c r="R165" i="8"/>
  <c r="Z165" i="8" s="1"/>
  <c r="AH165" i="8" s="1"/>
  <c r="S165" i="8"/>
  <c r="AA165" i="8" s="1"/>
  <c r="AI165" i="8" s="1"/>
  <c r="O166" i="8"/>
  <c r="W166" i="8" s="1"/>
  <c r="AE166" i="8" s="1"/>
  <c r="P166" i="8"/>
  <c r="X166" i="8" s="1"/>
  <c r="AF166" i="8" s="1"/>
  <c r="Q166" i="8"/>
  <c r="Y166" i="8" s="1"/>
  <c r="AG166" i="8" s="1"/>
  <c r="R166" i="8"/>
  <c r="Z166" i="8" s="1"/>
  <c r="AH166" i="8" s="1"/>
  <c r="S166" i="8"/>
  <c r="AA166" i="8" s="1"/>
  <c r="AI166" i="8" s="1"/>
  <c r="O167" i="8"/>
  <c r="W167" i="8" s="1"/>
  <c r="AE167" i="8" s="1"/>
  <c r="P167" i="8"/>
  <c r="X167" i="8" s="1"/>
  <c r="AF167" i="8" s="1"/>
  <c r="Q167" i="8"/>
  <c r="Y167" i="8" s="1"/>
  <c r="AG167" i="8" s="1"/>
  <c r="R167" i="8"/>
  <c r="Z167" i="8" s="1"/>
  <c r="AH167" i="8" s="1"/>
  <c r="S167" i="8"/>
  <c r="AA167" i="8" s="1"/>
  <c r="AI167" i="8" s="1"/>
  <c r="O168" i="8"/>
  <c r="W168" i="8" s="1"/>
  <c r="AE168" i="8" s="1"/>
  <c r="P168" i="8"/>
  <c r="X168" i="8" s="1"/>
  <c r="AF168" i="8" s="1"/>
  <c r="Q168" i="8"/>
  <c r="Y168" i="8" s="1"/>
  <c r="AG168" i="8" s="1"/>
  <c r="R168" i="8"/>
  <c r="Z168" i="8" s="1"/>
  <c r="AH168" i="8" s="1"/>
  <c r="S168" i="8"/>
  <c r="AA168" i="8" s="1"/>
  <c r="AI168" i="8" s="1"/>
  <c r="O169" i="8"/>
  <c r="W169" i="8" s="1"/>
  <c r="AE169" i="8" s="1"/>
  <c r="P169" i="8"/>
  <c r="X169" i="8" s="1"/>
  <c r="AF169" i="8" s="1"/>
  <c r="Q169" i="8"/>
  <c r="Y169" i="8" s="1"/>
  <c r="AG169" i="8" s="1"/>
  <c r="R169" i="8"/>
  <c r="Z169" i="8" s="1"/>
  <c r="AH169" i="8" s="1"/>
  <c r="S169" i="8"/>
  <c r="AA169" i="8" s="1"/>
  <c r="AI169" i="8" s="1"/>
  <c r="O170" i="8"/>
  <c r="W170" i="8" s="1"/>
  <c r="AE170" i="8" s="1"/>
  <c r="P170" i="8"/>
  <c r="X170" i="8" s="1"/>
  <c r="AF170" i="8" s="1"/>
  <c r="Q170" i="8"/>
  <c r="Y170" i="8" s="1"/>
  <c r="AG170" i="8" s="1"/>
  <c r="R170" i="8"/>
  <c r="Z170" i="8" s="1"/>
  <c r="AH170" i="8" s="1"/>
  <c r="S170" i="8"/>
  <c r="AA170" i="8" s="1"/>
  <c r="AI170" i="8" s="1"/>
  <c r="O171" i="8"/>
  <c r="W171" i="8" s="1"/>
  <c r="AE171" i="8" s="1"/>
  <c r="P171" i="8"/>
  <c r="X171" i="8" s="1"/>
  <c r="AF171" i="8" s="1"/>
  <c r="Q171" i="8"/>
  <c r="Y171" i="8" s="1"/>
  <c r="AG171" i="8" s="1"/>
  <c r="R171" i="8"/>
  <c r="Z171" i="8" s="1"/>
  <c r="AH171" i="8" s="1"/>
  <c r="S171" i="8"/>
  <c r="AA171" i="8" s="1"/>
  <c r="AI171" i="8" s="1"/>
  <c r="O172" i="8"/>
  <c r="W172" i="8" s="1"/>
  <c r="AE172" i="8" s="1"/>
  <c r="P172" i="8"/>
  <c r="X172" i="8" s="1"/>
  <c r="AF172" i="8" s="1"/>
  <c r="Q172" i="8"/>
  <c r="Y172" i="8" s="1"/>
  <c r="AG172" i="8" s="1"/>
  <c r="R172" i="8"/>
  <c r="Z172" i="8" s="1"/>
  <c r="AH172" i="8" s="1"/>
  <c r="S172" i="8"/>
  <c r="AA172" i="8" s="1"/>
  <c r="AI172" i="8" s="1"/>
  <c r="O173" i="8"/>
  <c r="W173" i="8" s="1"/>
  <c r="AE173" i="8" s="1"/>
  <c r="P173" i="8"/>
  <c r="X173" i="8" s="1"/>
  <c r="AF173" i="8" s="1"/>
  <c r="Q173" i="8"/>
  <c r="Y173" i="8" s="1"/>
  <c r="AG173" i="8" s="1"/>
  <c r="R173" i="8"/>
  <c r="Z173" i="8" s="1"/>
  <c r="AH173" i="8" s="1"/>
  <c r="S173" i="8"/>
  <c r="AA173" i="8" s="1"/>
  <c r="AI173" i="8" s="1"/>
  <c r="O174" i="8"/>
  <c r="W174" i="8" s="1"/>
  <c r="AE174" i="8" s="1"/>
  <c r="P174" i="8"/>
  <c r="X174" i="8" s="1"/>
  <c r="AF174" i="8" s="1"/>
  <c r="Q174" i="8"/>
  <c r="Y174" i="8" s="1"/>
  <c r="AG174" i="8" s="1"/>
  <c r="R174" i="8"/>
  <c r="Z174" i="8" s="1"/>
  <c r="AH174" i="8" s="1"/>
  <c r="S174" i="8"/>
  <c r="AA174" i="8" s="1"/>
  <c r="AI174" i="8" s="1"/>
  <c r="O175" i="8"/>
  <c r="W175" i="8" s="1"/>
  <c r="AE175" i="8" s="1"/>
  <c r="P175" i="8"/>
  <c r="X175" i="8" s="1"/>
  <c r="AF175" i="8" s="1"/>
  <c r="Q175" i="8"/>
  <c r="Y175" i="8" s="1"/>
  <c r="AG175" i="8" s="1"/>
  <c r="R175" i="8"/>
  <c r="Z175" i="8" s="1"/>
  <c r="AH175" i="8" s="1"/>
  <c r="S175" i="8"/>
  <c r="AA175" i="8" s="1"/>
  <c r="AI175" i="8" s="1"/>
  <c r="O176" i="8"/>
  <c r="W176" i="8" s="1"/>
  <c r="AE176" i="8" s="1"/>
  <c r="P176" i="8"/>
  <c r="X176" i="8" s="1"/>
  <c r="AF176" i="8" s="1"/>
  <c r="Q176" i="8"/>
  <c r="Y176" i="8" s="1"/>
  <c r="AG176" i="8" s="1"/>
  <c r="R176" i="8"/>
  <c r="Z176" i="8" s="1"/>
  <c r="AH176" i="8" s="1"/>
  <c r="S176" i="8"/>
  <c r="AA176" i="8" s="1"/>
  <c r="AI176" i="8" s="1"/>
  <c r="O177" i="8"/>
  <c r="W177" i="8" s="1"/>
  <c r="AE177" i="8" s="1"/>
  <c r="P177" i="8"/>
  <c r="X177" i="8" s="1"/>
  <c r="AF177" i="8" s="1"/>
  <c r="Q177" i="8"/>
  <c r="Y177" i="8" s="1"/>
  <c r="AG177" i="8" s="1"/>
  <c r="R177" i="8"/>
  <c r="Z177" i="8" s="1"/>
  <c r="AH177" i="8" s="1"/>
  <c r="S177" i="8"/>
  <c r="AA177" i="8" s="1"/>
  <c r="AI177" i="8" s="1"/>
  <c r="O178" i="8"/>
  <c r="W178" i="8" s="1"/>
  <c r="AE178" i="8" s="1"/>
  <c r="P178" i="8"/>
  <c r="X178" i="8" s="1"/>
  <c r="AF178" i="8" s="1"/>
  <c r="Q178" i="8"/>
  <c r="Y178" i="8" s="1"/>
  <c r="AG178" i="8" s="1"/>
  <c r="R178" i="8"/>
  <c r="Z178" i="8" s="1"/>
  <c r="AH178" i="8" s="1"/>
  <c r="S178" i="8"/>
  <c r="AA178" i="8" s="1"/>
  <c r="AI178" i="8" s="1"/>
  <c r="O179" i="8"/>
  <c r="W179" i="8" s="1"/>
  <c r="AE179" i="8" s="1"/>
  <c r="P179" i="8"/>
  <c r="X179" i="8" s="1"/>
  <c r="AF179" i="8" s="1"/>
  <c r="Q179" i="8"/>
  <c r="Y179" i="8" s="1"/>
  <c r="AG179" i="8" s="1"/>
  <c r="R179" i="8"/>
  <c r="Z179" i="8" s="1"/>
  <c r="AH179" i="8" s="1"/>
  <c r="S179" i="8"/>
  <c r="AA179" i="8" s="1"/>
  <c r="AI179" i="8" s="1"/>
  <c r="O180" i="8"/>
  <c r="W180" i="8" s="1"/>
  <c r="AE180" i="8" s="1"/>
  <c r="P180" i="8"/>
  <c r="X180" i="8" s="1"/>
  <c r="AF180" i="8" s="1"/>
  <c r="Q180" i="8"/>
  <c r="Y180" i="8" s="1"/>
  <c r="AG180" i="8" s="1"/>
  <c r="R180" i="8"/>
  <c r="Z180" i="8" s="1"/>
  <c r="AH180" i="8" s="1"/>
  <c r="S180" i="8"/>
  <c r="AA180" i="8" s="1"/>
  <c r="AI180" i="8" s="1"/>
  <c r="O181" i="8"/>
  <c r="W181" i="8" s="1"/>
  <c r="AE181" i="8" s="1"/>
  <c r="P181" i="8"/>
  <c r="X181" i="8" s="1"/>
  <c r="AF181" i="8" s="1"/>
  <c r="Q181" i="8"/>
  <c r="Y181" i="8" s="1"/>
  <c r="AG181" i="8" s="1"/>
  <c r="R181" i="8"/>
  <c r="Z181" i="8" s="1"/>
  <c r="AH181" i="8" s="1"/>
  <c r="S181" i="8"/>
  <c r="AA181" i="8" s="1"/>
  <c r="AI181" i="8" s="1"/>
  <c r="O182" i="8"/>
  <c r="W182" i="8" s="1"/>
  <c r="AE182" i="8" s="1"/>
  <c r="P182" i="8"/>
  <c r="X182" i="8" s="1"/>
  <c r="AF182" i="8" s="1"/>
  <c r="Q182" i="8"/>
  <c r="Y182" i="8" s="1"/>
  <c r="AG182" i="8" s="1"/>
  <c r="R182" i="8"/>
  <c r="Z182" i="8" s="1"/>
  <c r="AH182" i="8" s="1"/>
  <c r="S182" i="8"/>
  <c r="AA182" i="8" s="1"/>
  <c r="AI182" i="8" s="1"/>
  <c r="O183" i="8"/>
  <c r="W183" i="8" s="1"/>
  <c r="AE183" i="8" s="1"/>
  <c r="P183" i="8"/>
  <c r="X183" i="8" s="1"/>
  <c r="AF183" i="8" s="1"/>
  <c r="Q183" i="8"/>
  <c r="Y183" i="8" s="1"/>
  <c r="AG183" i="8" s="1"/>
  <c r="R183" i="8"/>
  <c r="Z183" i="8" s="1"/>
  <c r="AH183" i="8" s="1"/>
  <c r="S183" i="8"/>
  <c r="AA183" i="8" s="1"/>
  <c r="AI183" i="8" s="1"/>
  <c r="O184" i="8"/>
  <c r="W184" i="8" s="1"/>
  <c r="AE184" i="8" s="1"/>
  <c r="P184" i="8"/>
  <c r="X184" i="8" s="1"/>
  <c r="AF184" i="8" s="1"/>
  <c r="Q184" i="8"/>
  <c r="Y184" i="8" s="1"/>
  <c r="AG184" i="8" s="1"/>
  <c r="R184" i="8"/>
  <c r="Z184" i="8" s="1"/>
  <c r="AH184" i="8" s="1"/>
  <c r="S184" i="8"/>
  <c r="AA184" i="8" s="1"/>
  <c r="AI184" i="8" s="1"/>
  <c r="O185" i="8"/>
  <c r="W185" i="8" s="1"/>
  <c r="AE185" i="8" s="1"/>
  <c r="P185" i="8"/>
  <c r="X185" i="8" s="1"/>
  <c r="AF185" i="8" s="1"/>
  <c r="Q185" i="8"/>
  <c r="Y185" i="8" s="1"/>
  <c r="AG185" i="8" s="1"/>
  <c r="R185" i="8"/>
  <c r="Z185" i="8" s="1"/>
  <c r="AH185" i="8" s="1"/>
  <c r="S185" i="8"/>
  <c r="AA185" i="8" s="1"/>
  <c r="AI185" i="8" s="1"/>
  <c r="O186" i="8"/>
  <c r="W186" i="8" s="1"/>
  <c r="AE186" i="8" s="1"/>
  <c r="P186" i="8"/>
  <c r="X186" i="8" s="1"/>
  <c r="AF186" i="8" s="1"/>
  <c r="Q186" i="8"/>
  <c r="Y186" i="8" s="1"/>
  <c r="AG186" i="8" s="1"/>
  <c r="R186" i="8"/>
  <c r="Z186" i="8" s="1"/>
  <c r="AH186" i="8" s="1"/>
  <c r="S186" i="8"/>
  <c r="AA186" i="8" s="1"/>
  <c r="AI186" i="8" s="1"/>
  <c r="O187" i="8"/>
  <c r="W187" i="8" s="1"/>
  <c r="AE187" i="8" s="1"/>
  <c r="P187" i="8"/>
  <c r="X187" i="8" s="1"/>
  <c r="AF187" i="8" s="1"/>
  <c r="Q187" i="8"/>
  <c r="Y187" i="8" s="1"/>
  <c r="AG187" i="8" s="1"/>
  <c r="R187" i="8"/>
  <c r="Z187" i="8" s="1"/>
  <c r="AH187" i="8" s="1"/>
  <c r="S187" i="8"/>
  <c r="AA187" i="8" s="1"/>
  <c r="AI187" i="8" s="1"/>
  <c r="O188" i="8"/>
  <c r="W188" i="8" s="1"/>
  <c r="AE188" i="8" s="1"/>
  <c r="P188" i="8"/>
  <c r="X188" i="8" s="1"/>
  <c r="AF188" i="8" s="1"/>
  <c r="Q188" i="8"/>
  <c r="Y188" i="8" s="1"/>
  <c r="AG188" i="8" s="1"/>
  <c r="R188" i="8"/>
  <c r="Z188" i="8" s="1"/>
  <c r="AH188" i="8" s="1"/>
  <c r="S188" i="8"/>
  <c r="AA188" i="8" s="1"/>
  <c r="AI188" i="8" s="1"/>
  <c r="O189" i="8"/>
  <c r="W189" i="8" s="1"/>
  <c r="AE189" i="8" s="1"/>
  <c r="P189" i="8"/>
  <c r="X189" i="8" s="1"/>
  <c r="AF189" i="8" s="1"/>
  <c r="Q189" i="8"/>
  <c r="Y189" i="8" s="1"/>
  <c r="AG189" i="8" s="1"/>
  <c r="R189" i="8"/>
  <c r="Z189" i="8" s="1"/>
  <c r="AH189" i="8" s="1"/>
  <c r="S189" i="8"/>
  <c r="AA189" i="8" s="1"/>
  <c r="AI189" i="8" s="1"/>
  <c r="O190" i="8"/>
  <c r="W190" i="8" s="1"/>
  <c r="AE190" i="8" s="1"/>
  <c r="P190" i="8"/>
  <c r="X190" i="8" s="1"/>
  <c r="AF190" i="8" s="1"/>
  <c r="Q190" i="8"/>
  <c r="Y190" i="8" s="1"/>
  <c r="AG190" i="8" s="1"/>
  <c r="R190" i="8"/>
  <c r="Z190" i="8" s="1"/>
  <c r="AH190" i="8" s="1"/>
  <c r="S190" i="8"/>
  <c r="AA190" i="8" s="1"/>
  <c r="AI190" i="8" s="1"/>
  <c r="O191" i="8"/>
  <c r="W191" i="8" s="1"/>
  <c r="AE191" i="8" s="1"/>
  <c r="P191" i="8"/>
  <c r="X191" i="8" s="1"/>
  <c r="AF191" i="8" s="1"/>
  <c r="Q191" i="8"/>
  <c r="Y191" i="8" s="1"/>
  <c r="AG191" i="8" s="1"/>
  <c r="R191" i="8"/>
  <c r="Z191" i="8" s="1"/>
  <c r="AH191" i="8" s="1"/>
  <c r="S191" i="8"/>
  <c r="AA191" i="8" s="1"/>
  <c r="AI191" i="8" s="1"/>
  <c r="O192" i="8"/>
  <c r="W192" i="8" s="1"/>
  <c r="AE192" i="8" s="1"/>
  <c r="P192" i="8"/>
  <c r="X192" i="8" s="1"/>
  <c r="AF192" i="8" s="1"/>
  <c r="Q192" i="8"/>
  <c r="Y192" i="8" s="1"/>
  <c r="AG192" i="8" s="1"/>
  <c r="R192" i="8"/>
  <c r="Z192" i="8" s="1"/>
  <c r="AH192" i="8" s="1"/>
  <c r="S192" i="8"/>
  <c r="AA192" i="8" s="1"/>
  <c r="AI192" i="8" s="1"/>
  <c r="O193" i="8"/>
  <c r="W193" i="8" s="1"/>
  <c r="AE193" i="8" s="1"/>
  <c r="P193" i="8"/>
  <c r="X193" i="8" s="1"/>
  <c r="AF193" i="8" s="1"/>
  <c r="Q193" i="8"/>
  <c r="Y193" i="8" s="1"/>
  <c r="AG193" i="8" s="1"/>
  <c r="R193" i="8"/>
  <c r="Z193" i="8" s="1"/>
  <c r="AH193" i="8" s="1"/>
  <c r="S193" i="8"/>
  <c r="AA193" i="8" s="1"/>
  <c r="AI193" i="8" s="1"/>
  <c r="O194" i="8"/>
  <c r="W194" i="8" s="1"/>
  <c r="AE194" i="8" s="1"/>
  <c r="P194" i="8"/>
  <c r="X194" i="8" s="1"/>
  <c r="AF194" i="8" s="1"/>
  <c r="Q194" i="8"/>
  <c r="Y194" i="8" s="1"/>
  <c r="AG194" i="8" s="1"/>
  <c r="R194" i="8"/>
  <c r="Z194" i="8" s="1"/>
  <c r="AH194" i="8" s="1"/>
  <c r="S194" i="8"/>
  <c r="AA194" i="8" s="1"/>
  <c r="AI194" i="8" s="1"/>
  <c r="O195" i="8"/>
  <c r="W195" i="8" s="1"/>
  <c r="AE195" i="8" s="1"/>
  <c r="P195" i="8"/>
  <c r="X195" i="8" s="1"/>
  <c r="AF195" i="8" s="1"/>
  <c r="Q195" i="8"/>
  <c r="Y195" i="8" s="1"/>
  <c r="AG195" i="8" s="1"/>
  <c r="R195" i="8"/>
  <c r="Z195" i="8" s="1"/>
  <c r="AH195" i="8" s="1"/>
  <c r="S195" i="8"/>
  <c r="AA195" i="8" s="1"/>
  <c r="AI195" i="8" s="1"/>
  <c r="O196" i="8"/>
  <c r="W196" i="8" s="1"/>
  <c r="AE196" i="8" s="1"/>
  <c r="P196" i="8"/>
  <c r="X196" i="8" s="1"/>
  <c r="AF196" i="8" s="1"/>
  <c r="Q196" i="8"/>
  <c r="Y196" i="8" s="1"/>
  <c r="AG196" i="8" s="1"/>
  <c r="R196" i="8"/>
  <c r="Z196" i="8" s="1"/>
  <c r="AH196" i="8" s="1"/>
  <c r="S196" i="8"/>
  <c r="AA196" i="8" s="1"/>
  <c r="AI196" i="8" s="1"/>
  <c r="O197" i="8"/>
  <c r="W197" i="8" s="1"/>
  <c r="AE197" i="8" s="1"/>
  <c r="P197" i="8"/>
  <c r="X197" i="8" s="1"/>
  <c r="AF197" i="8" s="1"/>
  <c r="Q197" i="8"/>
  <c r="Y197" i="8" s="1"/>
  <c r="AG197" i="8" s="1"/>
  <c r="R197" i="8"/>
  <c r="Z197" i="8" s="1"/>
  <c r="AH197" i="8" s="1"/>
  <c r="S197" i="8"/>
  <c r="AA197" i="8" s="1"/>
  <c r="AI197" i="8" s="1"/>
  <c r="O198" i="8"/>
  <c r="W198" i="8" s="1"/>
  <c r="AE198" i="8" s="1"/>
  <c r="P198" i="8"/>
  <c r="X198" i="8" s="1"/>
  <c r="AF198" i="8" s="1"/>
  <c r="Q198" i="8"/>
  <c r="Y198" i="8" s="1"/>
  <c r="AG198" i="8" s="1"/>
  <c r="R198" i="8"/>
  <c r="Z198" i="8" s="1"/>
  <c r="AH198" i="8" s="1"/>
  <c r="S198" i="8"/>
  <c r="AA198" i="8" s="1"/>
  <c r="AI198" i="8" s="1"/>
  <c r="O199" i="8"/>
  <c r="W199" i="8" s="1"/>
  <c r="AE199" i="8" s="1"/>
  <c r="P199" i="8"/>
  <c r="X199" i="8" s="1"/>
  <c r="AF199" i="8" s="1"/>
  <c r="Q199" i="8"/>
  <c r="Y199" i="8" s="1"/>
  <c r="AG199" i="8" s="1"/>
  <c r="R199" i="8"/>
  <c r="Z199" i="8" s="1"/>
  <c r="AH199" i="8" s="1"/>
  <c r="S199" i="8"/>
  <c r="AA199" i="8" s="1"/>
  <c r="AI199" i="8" s="1"/>
  <c r="O200" i="8"/>
  <c r="W200" i="8" s="1"/>
  <c r="AE200" i="8" s="1"/>
  <c r="P200" i="8"/>
  <c r="X200" i="8" s="1"/>
  <c r="AF200" i="8" s="1"/>
  <c r="Q200" i="8"/>
  <c r="Y200" i="8" s="1"/>
  <c r="AG200" i="8" s="1"/>
  <c r="R200" i="8"/>
  <c r="Z200" i="8" s="1"/>
  <c r="AH200" i="8" s="1"/>
  <c r="S200" i="8"/>
  <c r="AA200" i="8" s="1"/>
  <c r="AI200" i="8" s="1"/>
  <c r="O201" i="8"/>
  <c r="W201" i="8" s="1"/>
  <c r="AE201" i="8" s="1"/>
  <c r="P201" i="8"/>
  <c r="X201" i="8" s="1"/>
  <c r="AF201" i="8" s="1"/>
  <c r="Q201" i="8"/>
  <c r="Y201" i="8" s="1"/>
  <c r="AG201" i="8" s="1"/>
  <c r="R201" i="8"/>
  <c r="Z201" i="8" s="1"/>
  <c r="AH201" i="8" s="1"/>
  <c r="S201" i="8"/>
  <c r="AA201" i="8" s="1"/>
  <c r="AI201" i="8" s="1"/>
  <c r="O202" i="8"/>
  <c r="W202" i="8" s="1"/>
  <c r="AE202" i="8" s="1"/>
  <c r="P202" i="8"/>
  <c r="X202" i="8" s="1"/>
  <c r="AF202" i="8" s="1"/>
  <c r="Q202" i="8"/>
  <c r="Y202" i="8" s="1"/>
  <c r="AG202" i="8" s="1"/>
  <c r="R202" i="8"/>
  <c r="Z202" i="8" s="1"/>
  <c r="AH202" i="8" s="1"/>
  <c r="S202" i="8"/>
  <c r="AA202" i="8" s="1"/>
  <c r="AI202" i="8" s="1"/>
  <c r="O203" i="8"/>
  <c r="W203" i="8" s="1"/>
  <c r="AE203" i="8" s="1"/>
  <c r="P203" i="8"/>
  <c r="X203" i="8" s="1"/>
  <c r="AF203" i="8" s="1"/>
  <c r="Q203" i="8"/>
  <c r="Y203" i="8" s="1"/>
  <c r="AG203" i="8" s="1"/>
  <c r="R203" i="8"/>
  <c r="Z203" i="8" s="1"/>
  <c r="AH203" i="8" s="1"/>
  <c r="S203" i="8"/>
  <c r="AA203" i="8" s="1"/>
  <c r="AI203" i="8" s="1"/>
  <c r="O204" i="8"/>
  <c r="W204" i="8" s="1"/>
  <c r="AE204" i="8" s="1"/>
  <c r="P204" i="8"/>
  <c r="X204" i="8" s="1"/>
  <c r="AF204" i="8" s="1"/>
  <c r="Q204" i="8"/>
  <c r="Y204" i="8" s="1"/>
  <c r="AG204" i="8" s="1"/>
  <c r="R204" i="8"/>
  <c r="Z204" i="8" s="1"/>
  <c r="AH204" i="8" s="1"/>
  <c r="S204" i="8"/>
  <c r="AA204" i="8" s="1"/>
  <c r="AI204" i="8" s="1"/>
  <c r="O205" i="8"/>
  <c r="W205" i="8" s="1"/>
  <c r="AE205" i="8" s="1"/>
  <c r="P205" i="8"/>
  <c r="X205" i="8" s="1"/>
  <c r="AF205" i="8" s="1"/>
  <c r="Q205" i="8"/>
  <c r="Y205" i="8" s="1"/>
  <c r="AG205" i="8" s="1"/>
  <c r="R205" i="8"/>
  <c r="Z205" i="8" s="1"/>
  <c r="AH205" i="8" s="1"/>
  <c r="S205" i="8"/>
  <c r="AA205" i="8" s="1"/>
  <c r="AI205" i="8" s="1"/>
  <c r="O206" i="8"/>
  <c r="W206" i="8" s="1"/>
  <c r="AE206" i="8" s="1"/>
  <c r="P206" i="8"/>
  <c r="X206" i="8" s="1"/>
  <c r="AF206" i="8" s="1"/>
  <c r="Q206" i="8"/>
  <c r="Y206" i="8" s="1"/>
  <c r="AG206" i="8" s="1"/>
  <c r="R206" i="8"/>
  <c r="Z206" i="8" s="1"/>
  <c r="AH206" i="8" s="1"/>
  <c r="S206" i="8"/>
  <c r="AA206" i="8" s="1"/>
  <c r="AI206" i="8" s="1"/>
  <c r="O207" i="8"/>
  <c r="W207" i="8" s="1"/>
  <c r="AE207" i="8" s="1"/>
  <c r="P207" i="8"/>
  <c r="X207" i="8" s="1"/>
  <c r="AF207" i="8" s="1"/>
  <c r="Q207" i="8"/>
  <c r="Y207" i="8" s="1"/>
  <c r="AG207" i="8" s="1"/>
  <c r="R207" i="8"/>
  <c r="Z207" i="8" s="1"/>
  <c r="AH207" i="8" s="1"/>
  <c r="S207" i="8"/>
  <c r="AA207" i="8" s="1"/>
  <c r="AI207" i="8" s="1"/>
  <c r="O208" i="8"/>
  <c r="W208" i="8" s="1"/>
  <c r="AE208" i="8" s="1"/>
  <c r="P208" i="8"/>
  <c r="X208" i="8" s="1"/>
  <c r="AF208" i="8" s="1"/>
  <c r="Q208" i="8"/>
  <c r="Y208" i="8" s="1"/>
  <c r="AG208" i="8" s="1"/>
  <c r="R208" i="8"/>
  <c r="Z208" i="8" s="1"/>
  <c r="AH208" i="8" s="1"/>
  <c r="S208" i="8"/>
  <c r="AA208" i="8" s="1"/>
  <c r="AI208" i="8" s="1"/>
  <c r="O209" i="8"/>
  <c r="W209" i="8" s="1"/>
  <c r="AE209" i="8" s="1"/>
  <c r="P209" i="8"/>
  <c r="X209" i="8" s="1"/>
  <c r="AF209" i="8" s="1"/>
  <c r="Q209" i="8"/>
  <c r="Y209" i="8" s="1"/>
  <c r="AG209" i="8" s="1"/>
  <c r="R209" i="8"/>
  <c r="Z209" i="8" s="1"/>
  <c r="AH209" i="8" s="1"/>
  <c r="S209" i="8"/>
  <c r="AA209" i="8" s="1"/>
  <c r="AI209" i="8" s="1"/>
  <c r="O210" i="8"/>
  <c r="W210" i="8" s="1"/>
  <c r="AE210" i="8" s="1"/>
  <c r="P210" i="8"/>
  <c r="X210" i="8" s="1"/>
  <c r="AF210" i="8" s="1"/>
  <c r="Q210" i="8"/>
  <c r="Y210" i="8" s="1"/>
  <c r="AG210" i="8" s="1"/>
  <c r="R210" i="8"/>
  <c r="Z210" i="8" s="1"/>
  <c r="AH210" i="8" s="1"/>
  <c r="S210" i="8"/>
  <c r="AA210" i="8" s="1"/>
  <c r="AI210" i="8" s="1"/>
  <c r="O211" i="8"/>
  <c r="W211" i="8" s="1"/>
  <c r="AE211" i="8" s="1"/>
  <c r="P211" i="8"/>
  <c r="X211" i="8" s="1"/>
  <c r="AF211" i="8" s="1"/>
  <c r="Q211" i="8"/>
  <c r="Y211" i="8" s="1"/>
  <c r="AG211" i="8" s="1"/>
  <c r="R211" i="8"/>
  <c r="Z211" i="8" s="1"/>
  <c r="AH211" i="8" s="1"/>
  <c r="S211" i="8"/>
  <c r="AA211" i="8" s="1"/>
  <c r="AI211" i="8" s="1"/>
  <c r="O212" i="8"/>
  <c r="W212" i="8" s="1"/>
  <c r="AE212" i="8" s="1"/>
  <c r="P212" i="8"/>
  <c r="X212" i="8" s="1"/>
  <c r="AF212" i="8" s="1"/>
  <c r="Q212" i="8"/>
  <c r="Y212" i="8" s="1"/>
  <c r="AG212" i="8" s="1"/>
  <c r="R212" i="8"/>
  <c r="Z212" i="8" s="1"/>
  <c r="AH212" i="8" s="1"/>
  <c r="S212" i="8"/>
  <c r="AA212" i="8" s="1"/>
  <c r="AI212" i="8" s="1"/>
  <c r="O213" i="8"/>
  <c r="W213" i="8" s="1"/>
  <c r="AE213" i="8" s="1"/>
  <c r="P213" i="8"/>
  <c r="X213" i="8" s="1"/>
  <c r="AF213" i="8" s="1"/>
  <c r="Q213" i="8"/>
  <c r="Y213" i="8" s="1"/>
  <c r="AG213" i="8" s="1"/>
  <c r="R213" i="8"/>
  <c r="Z213" i="8" s="1"/>
  <c r="AH213" i="8" s="1"/>
  <c r="S213" i="8"/>
  <c r="AA213" i="8" s="1"/>
  <c r="AI213" i="8" s="1"/>
  <c r="O214" i="8"/>
  <c r="W214" i="8" s="1"/>
  <c r="AE214" i="8" s="1"/>
  <c r="P214" i="8"/>
  <c r="X214" i="8" s="1"/>
  <c r="AF214" i="8" s="1"/>
  <c r="Q214" i="8"/>
  <c r="Y214" i="8" s="1"/>
  <c r="AG214" i="8" s="1"/>
  <c r="R214" i="8"/>
  <c r="Z214" i="8" s="1"/>
  <c r="AH214" i="8" s="1"/>
  <c r="S214" i="8"/>
  <c r="AA214" i="8" s="1"/>
  <c r="AI214" i="8" s="1"/>
  <c r="O215" i="8"/>
  <c r="W215" i="8" s="1"/>
  <c r="AE215" i="8" s="1"/>
  <c r="P215" i="8"/>
  <c r="X215" i="8" s="1"/>
  <c r="AF215" i="8" s="1"/>
  <c r="Q215" i="8"/>
  <c r="Y215" i="8" s="1"/>
  <c r="AG215" i="8" s="1"/>
  <c r="R215" i="8"/>
  <c r="Z215" i="8" s="1"/>
  <c r="AH215" i="8" s="1"/>
  <c r="S215" i="8"/>
  <c r="AA215" i="8" s="1"/>
  <c r="AI215" i="8" s="1"/>
  <c r="O216" i="8"/>
  <c r="W216" i="8" s="1"/>
  <c r="AE216" i="8" s="1"/>
  <c r="P216" i="8"/>
  <c r="X216" i="8" s="1"/>
  <c r="AF216" i="8" s="1"/>
  <c r="Q216" i="8"/>
  <c r="Y216" i="8" s="1"/>
  <c r="AG216" i="8" s="1"/>
  <c r="R216" i="8"/>
  <c r="Z216" i="8" s="1"/>
  <c r="AH216" i="8" s="1"/>
  <c r="S216" i="8"/>
  <c r="AA216" i="8" s="1"/>
  <c r="AI216" i="8" s="1"/>
  <c r="O217" i="8"/>
  <c r="W217" i="8" s="1"/>
  <c r="AE217" i="8" s="1"/>
  <c r="P217" i="8"/>
  <c r="X217" i="8" s="1"/>
  <c r="AF217" i="8" s="1"/>
  <c r="Q217" i="8"/>
  <c r="Y217" i="8" s="1"/>
  <c r="AG217" i="8" s="1"/>
  <c r="R217" i="8"/>
  <c r="Z217" i="8" s="1"/>
  <c r="AH217" i="8" s="1"/>
  <c r="S217" i="8"/>
  <c r="AA217" i="8" s="1"/>
  <c r="AI217" i="8" s="1"/>
  <c r="O218" i="8"/>
  <c r="W218" i="8" s="1"/>
  <c r="AE218" i="8" s="1"/>
  <c r="P218" i="8"/>
  <c r="X218" i="8" s="1"/>
  <c r="AF218" i="8" s="1"/>
  <c r="Q218" i="8"/>
  <c r="Y218" i="8" s="1"/>
  <c r="AG218" i="8" s="1"/>
  <c r="R218" i="8"/>
  <c r="Z218" i="8" s="1"/>
  <c r="AH218" i="8" s="1"/>
  <c r="S218" i="8"/>
  <c r="AA218" i="8" s="1"/>
  <c r="AI218" i="8" s="1"/>
  <c r="O219" i="8"/>
  <c r="W219" i="8" s="1"/>
  <c r="AE219" i="8" s="1"/>
  <c r="P219" i="8"/>
  <c r="X219" i="8" s="1"/>
  <c r="AF219" i="8" s="1"/>
  <c r="Q219" i="8"/>
  <c r="Y219" i="8" s="1"/>
  <c r="AG219" i="8" s="1"/>
  <c r="R219" i="8"/>
  <c r="Z219" i="8" s="1"/>
  <c r="AH219" i="8" s="1"/>
  <c r="S219" i="8"/>
  <c r="AA219" i="8" s="1"/>
  <c r="AI219" i="8" s="1"/>
  <c r="O220" i="8"/>
  <c r="W220" i="8" s="1"/>
  <c r="AE220" i="8" s="1"/>
  <c r="P220" i="8"/>
  <c r="X220" i="8" s="1"/>
  <c r="AF220" i="8" s="1"/>
  <c r="Q220" i="8"/>
  <c r="Y220" i="8" s="1"/>
  <c r="AG220" i="8" s="1"/>
  <c r="R220" i="8"/>
  <c r="Z220" i="8" s="1"/>
  <c r="AH220" i="8" s="1"/>
  <c r="S220" i="8"/>
  <c r="AA220" i="8" s="1"/>
  <c r="AI220" i="8" s="1"/>
  <c r="O221" i="8"/>
  <c r="W221" i="8" s="1"/>
  <c r="AE221" i="8" s="1"/>
  <c r="P221" i="8"/>
  <c r="X221" i="8" s="1"/>
  <c r="AF221" i="8" s="1"/>
  <c r="Q221" i="8"/>
  <c r="Y221" i="8" s="1"/>
  <c r="AG221" i="8" s="1"/>
  <c r="R221" i="8"/>
  <c r="Z221" i="8" s="1"/>
  <c r="AH221" i="8" s="1"/>
  <c r="S221" i="8"/>
  <c r="AA221" i="8" s="1"/>
  <c r="AI221" i="8" s="1"/>
  <c r="O222" i="8"/>
  <c r="W222" i="8" s="1"/>
  <c r="AE222" i="8" s="1"/>
  <c r="P222" i="8"/>
  <c r="X222" i="8" s="1"/>
  <c r="AF222" i="8" s="1"/>
  <c r="Q222" i="8"/>
  <c r="Y222" i="8" s="1"/>
  <c r="AG222" i="8" s="1"/>
  <c r="R222" i="8"/>
  <c r="Z222" i="8" s="1"/>
  <c r="AH222" i="8" s="1"/>
  <c r="S222" i="8"/>
  <c r="AA222" i="8" s="1"/>
  <c r="AI222" i="8" s="1"/>
  <c r="O223" i="8"/>
  <c r="W223" i="8" s="1"/>
  <c r="AE223" i="8" s="1"/>
  <c r="P223" i="8"/>
  <c r="X223" i="8" s="1"/>
  <c r="AF223" i="8" s="1"/>
  <c r="Q223" i="8"/>
  <c r="Y223" i="8" s="1"/>
  <c r="AG223" i="8" s="1"/>
  <c r="R223" i="8"/>
  <c r="Z223" i="8" s="1"/>
  <c r="AH223" i="8" s="1"/>
  <c r="S223" i="8"/>
  <c r="AA223" i="8" s="1"/>
  <c r="AI223" i="8" s="1"/>
  <c r="O224" i="8"/>
  <c r="W224" i="8" s="1"/>
  <c r="AE224" i="8" s="1"/>
  <c r="P224" i="8"/>
  <c r="X224" i="8" s="1"/>
  <c r="AF224" i="8" s="1"/>
  <c r="Q224" i="8"/>
  <c r="Y224" i="8" s="1"/>
  <c r="AG224" i="8" s="1"/>
  <c r="R224" i="8"/>
  <c r="Z224" i="8" s="1"/>
  <c r="AH224" i="8" s="1"/>
  <c r="S224" i="8"/>
  <c r="AA224" i="8" s="1"/>
  <c r="AI224" i="8" s="1"/>
  <c r="O225" i="8"/>
  <c r="W225" i="8" s="1"/>
  <c r="AE225" i="8" s="1"/>
  <c r="P225" i="8"/>
  <c r="X225" i="8" s="1"/>
  <c r="AF225" i="8" s="1"/>
  <c r="Q225" i="8"/>
  <c r="Y225" i="8" s="1"/>
  <c r="AG225" i="8" s="1"/>
  <c r="R225" i="8"/>
  <c r="Z225" i="8" s="1"/>
  <c r="AH225" i="8" s="1"/>
  <c r="S225" i="8"/>
  <c r="AA225" i="8" s="1"/>
  <c r="AI225" i="8" s="1"/>
  <c r="O226" i="8"/>
  <c r="W226" i="8" s="1"/>
  <c r="AE226" i="8" s="1"/>
  <c r="P226" i="8"/>
  <c r="X226" i="8" s="1"/>
  <c r="AF226" i="8" s="1"/>
  <c r="Q226" i="8"/>
  <c r="Y226" i="8" s="1"/>
  <c r="AG226" i="8" s="1"/>
  <c r="R226" i="8"/>
  <c r="Z226" i="8" s="1"/>
  <c r="AH226" i="8" s="1"/>
  <c r="S226" i="8"/>
  <c r="AA226" i="8" s="1"/>
  <c r="AI226" i="8" s="1"/>
  <c r="O227" i="8"/>
  <c r="W227" i="8" s="1"/>
  <c r="AE227" i="8" s="1"/>
  <c r="P227" i="8"/>
  <c r="X227" i="8" s="1"/>
  <c r="AF227" i="8" s="1"/>
  <c r="Q227" i="8"/>
  <c r="Y227" i="8" s="1"/>
  <c r="AG227" i="8" s="1"/>
  <c r="R227" i="8"/>
  <c r="Z227" i="8" s="1"/>
  <c r="AH227" i="8" s="1"/>
  <c r="S227" i="8"/>
  <c r="AA227" i="8" s="1"/>
  <c r="AI227" i="8" s="1"/>
  <c r="O228" i="8"/>
  <c r="W228" i="8" s="1"/>
  <c r="AE228" i="8" s="1"/>
  <c r="P228" i="8"/>
  <c r="X228" i="8" s="1"/>
  <c r="AF228" i="8" s="1"/>
  <c r="Q228" i="8"/>
  <c r="Y228" i="8" s="1"/>
  <c r="AG228" i="8" s="1"/>
  <c r="R228" i="8"/>
  <c r="Z228" i="8" s="1"/>
  <c r="AH228" i="8" s="1"/>
  <c r="S228" i="8"/>
  <c r="AA228" i="8" s="1"/>
  <c r="AI228" i="8" s="1"/>
  <c r="O229" i="8"/>
  <c r="W229" i="8" s="1"/>
  <c r="AE229" i="8" s="1"/>
  <c r="P229" i="8"/>
  <c r="X229" i="8" s="1"/>
  <c r="AF229" i="8" s="1"/>
  <c r="Q229" i="8"/>
  <c r="Y229" i="8" s="1"/>
  <c r="AG229" i="8" s="1"/>
  <c r="R229" i="8"/>
  <c r="Z229" i="8" s="1"/>
  <c r="AH229" i="8" s="1"/>
  <c r="S229" i="8"/>
  <c r="AA229" i="8" s="1"/>
  <c r="AI229" i="8" s="1"/>
  <c r="O230" i="8"/>
  <c r="W230" i="8" s="1"/>
  <c r="AE230" i="8" s="1"/>
  <c r="P230" i="8"/>
  <c r="X230" i="8" s="1"/>
  <c r="AF230" i="8" s="1"/>
  <c r="Q230" i="8"/>
  <c r="Y230" i="8" s="1"/>
  <c r="AG230" i="8" s="1"/>
  <c r="R230" i="8"/>
  <c r="Z230" i="8" s="1"/>
  <c r="AH230" i="8" s="1"/>
  <c r="S230" i="8"/>
  <c r="AA230" i="8" s="1"/>
  <c r="AI230" i="8" s="1"/>
  <c r="O231" i="8"/>
  <c r="W231" i="8" s="1"/>
  <c r="AE231" i="8" s="1"/>
  <c r="P231" i="8"/>
  <c r="X231" i="8" s="1"/>
  <c r="AF231" i="8" s="1"/>
  <c r="Q231" i="8"/>
  <c r="Y231" i="8" s="1"/>
  <c r="AG231" i="8" s="1"/>
  <c r="R231" i="8"/>
  <c r="Z231" i="8" s="1"/>
  <c r="AH231" i="8" s="1"/>
  <c r="S231" i="8"/>
  <c r="AA231" i="8" s="1"/>
  <c r="AI231" i="8" s="1"/>
  <c r="O232" i="8"/>
  <c r="W232" i="8" s="1"/>
  <c r="AE232" i="8" s="1"/>
  <c r="P232" i="8"/>
  <c r="X232" i="8" s="1"/>
  <c r="AF232" i="8" s="1"/>
  <c r="Q232" i="8"/>
  <c r="Y232" i="8" s="1"/>
  <c r="AG232" i="8" s="1"/>
  <c r="R232" i="8"/>
  <c r="Z232" i="8" s="1"/>
  <c r="AH232" i="8" s="1"/>
  <c r="S232" i="8"/>
  <c r="AA232" i="8" s="1"/>
  <c r="AI232" i="8" s="1"/>
  <c r="O233" i="8"/>
  <c r="W233" i="8" s="1"/>
  <c r="AE233" i="8" s="1"/>
  <c r="P233" i="8"/>
  <c r="X233" i="8" s="1"/>
  <c r="AF233" i="8" s="1"/>
  <c r="Q233" i="8"/>
  <c r="Y233" i="8" s="1"/>
  <c r="AG233" i="8" s="1"/>
  <c r="R233" i="8"/>
  <c r="Z233" i="8" s="1"/>
  <c r="AH233" i="8" s="1"/>
  <c r="S233" i="8"/>
  <c r="AA233" i="8" s="1"/>
  <c r="AI233" i="8" s="1"/>
  <c r="O234" i="8"/>
  <c r="W234" i="8" s="1"/>
  <c r="AE234" i="8" s="1"/>
  <c r="P234" i="8"/>
  <c r="X234" i="8" s="1"/>
  <c r="AF234" i="8" s="1"/>
  <c r="Q234" i="8"/>
  <c r="Y234" i="8" s="1"/>
  <c r="AG234" i="8" s="1"/>
  <c r="R234" i="8"/>
  <c r="Z234" i="8" s="1"/>
  <c r="AH234" i="8" s="1"/>
  <c r="S234" i="8"/>
  <c r="AA234" i="8" s="1"/>
  <c r="AI234" i="8" s="1"/>
  <c r="O235" i="8"/>
  <c r="W235" i="8" s="1"/>
  <c r="AE235" i="8" s="1"/>
  <c r="P235" i="8"/>
  <c r="X235" i="8" s="1"/>
  <c r="AF235" i="8" s="1"/>
  <c r="Q235" i="8"/>
  <c r="Y235" i="8" s="1"/>
  <c r="AG235" i="8" s="1"/>
  <c r="R235" i="8"/>
  <c r="Z235" i="8" s="1"/>
  <c r="AH235" i="8" s="1"/>
  <c r="S235" i="8"/>
  <c r="AA235" i="8" s="1"/>
  <c r="AI235" i="8" s="1"/>
  <c r="O236" i="8"/>
  <c r="W236" i="8" s="1"/>
  <c r="AE236" i="8" s="1"/>
  <c r="P236" i="8"/>
  <c r="X236" i="8" s="1"/>
  <c r="AF236" i="8" s="1"/>
  <c r="Q236" i="8"/>
  <c r="Y236" i="8" s="1"/>
  <c r="AG236" i="8" s="1"/>
  <c r="R236" i="8"/>
  <c r="Z236" i="8" s="1"/>
  <c r="AH236" i="8" s="1"/>
  <c r="S236" i="8"/>
  <c r="AA236" i="8" s="1"/>
  <c r="AI236" i="8" s="1"/>
  <c r="O237" i="8"/>
  <c r="W237" i="8" s="1"/>
  <c r="AE237" i="8" s="1"/>
  <c r="P237" i="8"/>
  <c r="X237" i="8" s="1"/>
  <c r="AF237" i="8" s="1"/>
  <c r="Q237" i="8"/>
  <c r="Y237" i="8" s="1"/>
  <c r="AG237" i="8" s="1"/>
  <c r="R237" i="8"/>
  <c r="Z237" i="8" s="1"/>
  <c r="AH237" i="8" s="1"/>
  <c r="S237" i="8"/>
  <c r="AA237" i="8" s="1"/>
  <c r="AI237" i="8" s="1"/>
  <c r="O238" i="8"/>
  <c r="W238" i="8" s="1"/>
  <c r="AE238" i="8" s="1"/>
  <c r="P238" i="8"/>
  <c r="X238" i="8" s="1"/>
  <c r="AF238" i="8" s="1"/>
  <c r="Q238" i="8"/>
  <c r="Y238" i="8" s="1"/>
  <c r="AG238" i="8" s="1"/>
  <c r="R238" i="8"/>
  <c r="Z238" i="8" s="1"/>
  <c r="AH238" i="8" s="1"/>
  <c r="S238" i="8"/>
  <c r="AA238" i="8" s="1"/>
  <c r="AI238" i="8" s="1"/>
  <c r="O239" i="8"/>
  <c r="W239" i="8" s="1"/>
  <c r="AE239" i="8" s="1"/>
  <c r="P239" i="8"/>
  <c r="X239" i="8" s="1"/>
  <c r="AF239" i="8" s="1"/>
  <c r="Q239" i="8"/>
  <c r="Y239" i="8" s="1"/>
  <c r="AG239" i="8" s="1"/>
  <c r="R239" i="8"/>
  <c r="Z239" i="8" s="1"/>
  <c r="AH239" i="8" s="1"/>
  <c r="S239" i="8"/>
  <c r="AA239" i="8" s="1"/>
  <c r="AI239" i="8" s="1"/>
  <c r="O240" i="8"/>
  <c r="W240" i="8" s="1"/>
  <c r="AE240" i="8" s="1"/>
  <c r="P240" i="8"/>
  <c r="X240" i="8" s="1"/>
  <c r="AF240" i="8" s="1"/>
  <c r="Q240" i="8"/>
  <c r="Y240" i="8" s="1"/>
  <c r="AG240" i="8" s="1"/>
  <c r="R240" i="8"/>
  <c r="Z240" i="8" s="1"/>
  <c r="AH240" i="8" s="1"/>
  <c r="S240" i="8"/>
  <c r="AA240" i="8" s="1"/>
  <c r="AI240" i="8" s="1"/>
  <c r="O241" i="8"/>
  <c r="W241" i="8" s="1"/>
  <c r="AE241" i="8" s="1"/>
  <c r="P241" i="8"/>
  <c r="X241" i="8" s="1"/>
  <c r="AF241" i="8" s="1"/>
  <c r="Q241" i="8"/>
  <c r="Y241" i="8" s="1"/>
  <c r="AG241" i="8" s="1"/>
  <c r="R241" i="8"/>
  <c r="Z241" i="8" s="1"/>
  <c r="AH241" i="8" s="1"/>
  <c r="S241" i="8"/>
  <c r="AA241" i="8" s="1"/>
  <c r="AI241" i="8" s="1"/>
  <c r="O242" i="8"/>
  <c r="W242" i="8" s="1"/>
  <c r="AE242" i="8" s="1"/>
  <c r="P242" i="8"/>
  <c r="X242" i="8" s="1"/>
  <c r="AF242" i="8" s="1"/>
  <c r="Q242" i="8"/>
  <c r="Y242" i="8" s="1"/>
  <c r="AG242" i="8" s="1"/>
  <c r="R242" i="8"/>
  <c r="Z242" i="8" s="1"/>
  <c r="AH242" i="8" s="1"/>
  <c r="S242" i="8"/>
  <c r="AA242" i="8" s="1"/>
  <c r="AI242" i="8" s="1"/>
  <c r="O243" i="8"/>
  <c r="W243" i="8" s="1"/>
  <c r="AE243" i="8" s="1"/>
  <c r="P243" i="8"/>
  <c r="X243" i="8" s="1"/>
  <c r="AF243" i="8" s="1"/>
  <c r="Q243" i="8"/>
  <c r="Y243" i="8" s="1"/>
  <c r="AG243" i="8" s="1"/>
  <c r="R243" i="8"/>
  <c r="Z243" i="8" s="1"/>
  <c r="AH243" i="8" s="1"/>
  <c r="S243" i="8"/>
  <c r="AA243" i="8" s="1"/>
  <c r="AI243" i="8" s="1"/>
  <c r="O244" i="8"/>
  <c r="W244" i="8" s="1"/>
  <c r="AE244" i="8" s="1"/>
  <c r="P244" i="8"/>
  <c r="X244" i="8" s="1"/>
  <c r="AF244" i="8" s="1"/>
  <c r="Q244" i="8"/>
  <c r="Y244" i="8" s="1"/>
  <c r="AG244" i="8" s="1"/>
  <c r="R244" i="8"/>
  <c r="Z244" i="8" s="1"/>
  <c r="AH244" i="8" s="1"/>
  <c r="S244" i="8"/>
  <c r="AA244" i="8" s="1"/>
  <c r="AI244" i="8" s="1"/>
  <c r="O245" i="8"/>
  <c r="W245" i="8" s="1"/>
  <c r="AE245" i="8" s="1"/>
  <c r="P245" i="8"/>
  <c r="X245" i="8" s="1"/>
  <c r="AF245" i="8" s="1"/>
  <c r="Q245" i="8"/>
  <c r="Y245" i="8" s="1"/>
  <c r="AG245" i="8" s="1"/>
  <c r="R245" i="8"/>
  <c r="Z245" i="8" s="1"/>
  <c r="AH245" i="8" s="1"/>
  <c r="S245" i="8"/>
  <c r="AA245" i="8" s="1"/>
  <c r="AI245" i="8" s="1"/>
  <c r="O246" i="8"/>
  <c r="W246" i="8" s="1"/>
  <c r="AE246" i="8" s="1"/>
  <c r="P246" i="8"/>
  <c r="X246" i="8" s="1"/>
  <c r="AF246" i="8" s="1"/>
  <c r="Q246" i="8"/>
  <c r="Y246" i="8" s="1"/>
  <c r="AG246" i="8" s="1"/>
  <c r="R246" i="8"/>
  <c r="Z246" i="8" s="1"/>
  <c r="AH246" i="8" s="1"/>
  <c r="S246" i="8"/>
  <c r="AA246" i="8" s="1"/>
  <c r="AI246" i="8" s="1"/>
  <c r="O247" i="8"/>
  <c r="W247" i="8" s="1"/>
  <c r="AE247" i="8" s="1"/>
  <c r="P247" i="8"/>
  <c r="X247" i="8" s="1"/>
  <c r="AF247" i="8" s="1"/>
  <c r="Q247" i="8"/>
  <c r="Y247" i="8" s="1"/>
  <c r="AG247" i="8" s="1"/>
  <c r="R247" i="8"/>
  <c r="Z247" i="8" s="1"/>
  <c r="AH247" i="8" s="1"/>
  <c r="S247" i="8"/>
  <c r="AA247" i="8" s="1"/>
  <c r="AI247" i="8" s="1"/>
  <c r="O248" i="8"/>
  <c r="W248" i="8" s="1"/>
  <c r="AE248" i="8" s="1"/>
  <c r="P248" i="8"/>
  <c r="X248" i="8" s="1"/>
  <c r="AF248" i="8" s="1"/>
  <c r="Q248" i="8"/>
  <c r="Y248" i="8" s="1"/>
  <c r="AG248" i="8" s="1"/>
  <c r="R248" i="8"/>
  <c r="Z248" i="8" s="1"/>
  <c r="AH248" i="8" s="1"/>
  <c r="S248" i="8"/>
  <c r="AA248" i="8" s="1"/>
  <c r="AI248" i="8" s="1"/>
  <c r="O249" i="8"/>
  <c r="W249" i="8" s="1"/>
  <c r="AE249" i="8" s="1"/>
  <c r="P249" i="8"/>
  <c r="X249" i="8" s="1"/>
  <c r="AF249" i="8" s="1"/>
  <c r="Q249" i="8"/>
  <c r="Y249" i="8" s="1"/>
  <c r="AG249" i="8" s="1"/>
  <c r="R249" i="8"/>
  <c r="Z249" i="8" s="1"/>
  <c r="AH249" i="8" s="1"/>
  <c r="S249" i="8"/>
  <c r="AA249" i="8" s="1"/>
  <c r="AI249" i="8" s="1"/>
  <c r="O250" i="8"/>
  <c r="W250" i="8" s="1"/>
  <c r="AE250" i="8" s="1"/>
  <c r="P250" i="8"/>
  <c r="X250" i="8" s="1"/>
  <c r="AF250" i="8" s="1"/>
  <c r="Q250" i="8"/>
  <c r="Y250" i="8" s="1"/>
  <c r="AG250" i="8" s="1"/>
  <c r="R250" i="8"/>
  <c r="Z250" i="8" s="1"/>
  <c r="AH250" i="8" s="1"/>
  <c r="S250" i="8"/>
  <c r="AA250" i="8" s="1"/>
  <c r="AI250" i="8" s="1"/>
  <c r="O251" i="8"/>
  <c r="W251" i="8" s="1"/>
  <c r="AE251" i="8" s="1"/>
  <c r="P251" i="8"/>
  <c r="X251" i="8" s="1"/>
  <c r="AF251" i="8" s="1"/>
  <c r="Q251" i="8"/>
  <c r="Y251" i="8" s="1"/>
  <c r="AG251" i="8" s="1"/>
  <c r="R251" i="8"/>
  <c r="Z251" i="8" s="1"/>
  <c r="AH251" i="8" s="1"/>
  <c r="S251" i="8"/>
  <c r="AA251" i="8" s="1"/>
  <c r="AI251" i="8" s="1"/>
  <c r="O252" i="8"/>
  <c r="W252" i="8" s="1"/>
  <c r="AE252" i="8" s="1"/>
  <c r="P252" i="8"/>
  <c r="X252" i="8" s="1"/>
  <c r="AF252" i="8" s="1"/>
  <c r="Q252" i="8"/>
  <c r="Y252" i="8" s="1"/>
  <c r="AG252" i="8" s="1"/>
  <c r="R252" i="8"/>
  <c r="Z252" i="8" s="1"/>
  <c r="AH252" i="8" s="1"/>
  <c r="S252" i="8"/>
  <c r="AA252" i="8" s="1"/>
  <c r="AI252" i="8" s="1"/>
  <c r="O253" i="8"/>
  <c r="W253" i="8" s="1"/>
  <c r="AE253" i="8" s="1"/>
  <c r="P253" i="8"/>
  <c r="X253" i="8" s="1"/>
  <c r="AF253" i="8" s="1"/>
  <c r="Q253" i="8"/>
  <c r="Y253" i="8" s="1"/>
  <c r="AG253" i="8" s="1"/>
  <c r="R253" i="8"/>
  <c r="Z253" i="8" s="1"/>
  <c r="AH253" i="8" s="1"/>
  <c r="S253" i="8"/>
  <c r="AA253" i="8" s="1"/>
  <c r="AI253" i="8" s="1"/>
  <c r="O254" i="8"/>
  <c r="W254" i="8" s="1"/>
  <c r="AE254" i="8" s="1"/>
  <c r="P254" i="8"/>
  <c r="X254" i="8" s="1"/>
  <c r="AF254" i="8" s="1"/>
  <c r="Q254" i="8"/>
  <c r="Y254" i="8" s="1"/>
  <c r="AG254" i="8" s="1"/>
  <c r="R254" i="8"/>
  <c r="Z254" i="8" s="1"/>
  <c r="AH254" i="8" s="1"/>
  <c r="S254" i="8"/>
  <c r="AA254" i="8" s="1"/>
  <c r="AI254" i="8" s="1"/>
  <c r="O255" i="8"/>
  <c r="W255" i="8" s="1"/>
  <c r="AE255" i="8" s="1"/>
  <c r="P255" i="8"/>
  <c r="X255" i="8" s="1"/>
  <c r="AF255" i="8" s="1"/>
  <c r="Q255" i="8"/>
  <c r="Y255" i="8" s="1"/>
  <c r="AG255" i="8" s="1"/>
  <c r="R255" i="8"/>
  <c r="Z255" i="8" s="1"/>
  <c r="AH255" i="8" s="1"/>
  <c r="S255" i="8"/>
  <c r="AA255" i="8" s="1"/>
  <c r="AI255" i="8" s="1"/>
  <c r="O256" i="8"/>
  <c r="W256" i="8" s="1"/>
  <c r="AE256" i="8" s="1"/>
  <c r="P256" i="8"/>
  <c r="X256" i="8" s="1"/>
  <c r="AF256" i="8" s="1"/>
  <c r="Q256" i="8"/>
  <c r="Y256" i="8" s="1"/>
  <c r="AG256" i="8" s="1"/>
  <c r="R256" i="8"/>
  <c r="Z256" i="8" s="1"/>
  <c r="AH256" i="8" s="1"/>
  <c r="S256" i="8"/>
  <c r="AA256" i="8" s="1"/>
  <c r="AI256" i="8" s="1"/>
  <c r="O5" i="8"/>
  <c r="W5" i="8" s="1"/>
  <c r="AE5" i="8" s="1"/>
  <c r="P5" i="8"/>
  <c r="X5" i="8" s="1"/>
  <c r="AF5" i="8" s="1"/>
  <c r="Q5" i="8"/>
  <c r="Y5" i="8" s="1"/>
  <c r="AG5" i="8" s="1"/>
  <c r="R5" i="8"/>
  <c r="Z5" i="8" s="1"/>
  <c r="AH5" i="8" s="1"/>
  <c r="S5" i="8"/>
  <c r="AA5" i="8" s="1"/>
  <c r="AI5" i="8" s="1"/>
  <c r="N6" i="8"/>
  <c r="V6" i="8" s="1"/>
  <c r="AD6" i="8" s="1"/>
  <c r="N7" i="8"/>
  <c r="V7" i="8" s="1"/>
  <c r="AD7" i="8" s="1"/>
  <c r="N8" i="8"/>
  <c r="V8" i="8" s="1"/>
  <c r="AD8" i="8" s="1"/>
  <c r="N9" i="8"/>
  <c r="V9" i="8" s="1"/>
  <c r="AD9" i="8" s="1"/>
  <c r="N10" i="8"/>
  <c r="V10" i="8" s="1"/>
  <c r="AD10" i="8" s="1"/>
  <c r="N11" i="8"/>
  <c r="V11" i="8" s="1"/>
  <c r="AD11" i="8" s="1"/>
  <c r="N12" i="8"/>
  <c r="V12" i="8" s="1"/>
  <c r="AD12" i="8" s="1"/>
  <c r="N13" i="8"/>
  <c r="V13" i="8" s="1"/>
  <c r="AD13" i="8" s="1"/>
  <c r="N14" i="8"/>
  <c r="V14" i="8" s="1"/>
  <c r="AD14" i="8" s="1"/>
  <c r="N15" i="8"/>
  <c r="V15" i="8" s="1"/>
  <c r="AD15" i="8" s="1"/>
  <c r="N16" i="8"/>
  <c r="V16" i="8" s="1"/>
  <c r="AD16" i="8" s="1"/>
  <c r="N17" i="8"/>
  <c r="V17" i="8" s="1"/>
  <c r="AD17" i="8" s="1"/>
  <c r="N18" i="8"/>
  <c r="V18" i="8" s="1"/>
  <c r="AD18" i="8" s="1"/>
  <c r="N19" i="8"/>
  <c r="V19" i="8" s="1"/>
  <c r="AD19" i="8" s="1"/>
  <c r="N20" i="8"/>
  <c r="V20" i="8" s="1"/>
  <c r="AD20" i="8" s="1"/>
  <c r="N21" i="8"/>
  <c r="V21" i="8" s="1"/>
  <c r="AD21" i="8" s="1"/>
  <c r="N22" i="8"/>
  <c r="V22" i="8" s="1"/>
  <c r="AD22" i="8" s="1"/>
  <c r="N23" i="8"/>
  <c r="V23" i="8" s="1"/>
  <c r="AD23" i="8" s="1"/>
  <c r="N24" i="8"/>
  <c r="V24" i="8" s="1"/>
  <c r="AD24" i="8" s="1"/>
  <c r="N25" i="8"/>
  <c r="V25" i="8" s="1"/>
  <c r="AD25" i="8" s="1"/>
  <c r="N26" i="8"/>
  <c r="V26" i="8" s="1"/>
  <c r="AD26" i="8" s="1"/>
  <c r="N27" i="8"/>
  <c r="V27" i="8" s="1"/>
  <c r="AD27" i="8" s="1"/>
  <c r="N28" i="8"/>
  <c r="V28" i="8" s="1"/>
  <c r="AD28" i="8" s="1"/>
  <c r="N29" i="8"/>
  <c r="V29" i="8" s="1"/>
  <c r="AD29" i="8" s="1"/>
  <c r="N30" i="8"/>
  <c r="V30" i="8" s="1"/>
  <c r="AD30" i="8" s="1"/>
  <c r="N31" i="8"/>
  <c r="V31" i="8" s="1"/>
  <c r="AD31" i="8" s="1"/>
  <c r="N32" i="8"/>
  <c r="V32" i="8" s="1"/>
  <c r="AD32" i="8" s="1"/>
  <c r="N33" i="8"/>
  <c r="V33" i="8" s="1"/>
  <c r="AD33" i="8" s="1"/>
  <c r="N34" i="8"/>
  <c r="V34" i="8" s="1"/>
  <c r="AD34" i="8" s="1"/>
  <c r="N35" i="8"/>
  <c r="V35" i="8" s="1"/>
  <c r="AD35" i="8" s="1"/>
  <c r="N36" i="8"/>
  <c r="V36" i="8" s="1"/>
  <c r="AD36" i="8" s="1"/>
  <c r="N37" i="8"/>
  <c r="V37" i="8" s="1"/>
  <c r="AD37" i="8" s="1"/>
  <c r="N38" i="8"/>
  <c r="V38" i="8" s="1"/>
  <c r="AD38" i="8" s="1"/>
  <c r="N39" i="8"/>
  <c r="V39" i="8" s="1"/>
  <c r="AD39" i="8" s="1"/>
  <c r="AL39" i="8" s="1"/>
  <c r="N40" i="8"/>
  <c r="V40" i="8" s="1"/>
  <c r="AD40" i="8" s="1"/>
  <c r="N41" i="8"/>
  <c r="V41" i="8" s="1"/>
  <c r="AD41" i="8" s="1"/>
  <c r="N42" i="8"/>
  <c r="V42" i="8" s="1"/>
  <c r="AD42" i="8" s="1"/>
  <c r="N43" i="8"/>
  <c r="V43" i="8" s="1"/>
  <c r="AD43" i="8" s="1"/>
  <c r="N44" i="8"/>
  <c r="V44" i="8" s="1"/>
  <c r="AD44" i="8" s="1"/>
  <c r="N45" i="8"/>
  <c r="V45" i="8" s="1"/>
  <c r="AD45" i="8" s="1"/>
  <c r="N46" i="8"/>
  <c r="V46" i="8" s="1"/>
  <c r="AD46" i="8" s="1"/>
  <c r="N47" i="8"/>
  <c r="V47" i="8" s="1"/>
  <c r="AD47" i="8" s="1"/>
  <c r="AL47" i="8" s="1"/>
  <c r="N48" i="8"/>
  <c r="V48" i="8" s="1"/>
  <c r="AD48" i="8" s="1"/>
  <c r="N49" i="8"/>
  <c r="V49" i="8" s="1"/>
  <c r="AD49" i="8" s="1"/>
  <c r="N50" i="8"/>
  <c r="V50" i="8" s="1"/>
  <c r="AD50" i="8" s="1"/>
  <c r="N51" i="8"/>
  <c r="V51" i="8" s="1"/>
  <c r="AD51" i="8" s="1"/>
  <c r="N52" i="8"/>
  <c r="V52" i="8" s="1"/>
  <c r="AD52" i="8" s="1"/>
  <c r="AL52" i="8" s="1"/>
  <c r="N53" i="8"/>
  <c r="V53" i="8" s="1"/>
  <c r="AD53" i="8" s="1"/>
  <c r="N54" i="8"/>
  <c r="V54" i="8" s="1"/>
  <c r="AD54" i="8" s="1"/>
  <c r="N55" i="8"/>
  <c r="V55" i="8" s="1"/>
  <c r="AD55" i="8" s="1"/>
  <c r="AL55" i="8" s="1"/>
  <c r="N56" i="8"/>
  <c r="V56" i="8" s="1"/>
  <c r="AD56" i="8" s="1"/>
  <c r="N57" i="8"/>
  <c r="V57" i="8" s="1"/>
  <c r="AD57" i="8" s="1"/>
  <c r="N58" i="8"/>
  <c r="V58" i="8" s="1"/>
  <c r="AD58" i="8" s="1"/>
  <c r="N59" i="8"/>
  <c r="V59" i="8" s="1"/>
  <c r="AD59" i="8" s="1"/>
  <c r="N60" i="8"/>
  <c r="V60" i="8" s="1"/>
  <c r="AD60" i="8" s="1"/>
  <c r="AL60" i="8" s="1"/>
  <c r="N61" i="8"/>
  <c r="V61" i="8" s="1"/>
  <c r="AD61" i="8" s="1"/>
  <c r="N62" i="8"/>
  <c r="V62" i="8" s="1"/>
  <c r="AD62" i="8" s="1"/>
  <c r="N63" i="8"/>
  <c r="V63" i="8" s="1"/>
  <c r="AD63" i="8" s="1"/>
  <c r="AL63" i="8" s="1"/>
  <c r="N64" i="8"/>
  <c r="V64" i="8" s="1"/>
  <c r="AD64" i="8" s="1"/>
  <c r="N65" i="8"/>
  <c r="V65" i="8" s="1"/>
  <c r="AD65" i="8" s="1"/>
  <c r="N66" i="8"/>
  <c r="V66" i="8" s="1"/>
  <c r="AD66" i="8" s="1"/>
  <c r="N67" i="8"/>
  <c r="V67" i="8" s="1"/>
  <c r="AD67" i="8" s="1"/>
  <c r="N68" i="8"/>
  <c r="V68" i="8" s="1"/>
  <c r="AD68" i="8" s="1"/>
  <c r="AL68" i="8" s="1"/>
  <c r="N69" i="8"/>
  <c r="V69" i="8" s="1"/>
  <c r="AD69" i="8" s="1"/>
  <c r="N70" i="8"/>
  <c r="V70" i="8" s="1"/>
  <c r="AD70" i="8" s="1"/>
  <c r="N71" i="8"/>
  <c r="V71" i="8" s="1"/>
  <c r="AD71" i="8" s="1"/>
  <c r="AL71" i="8" s="1"/>
  <c r="N72" i="8"/>
  <c r="V72" i="8" s="1"/>
  <c r="AD72" i="8" s="1"/>
  <c r="N73" i="8"/>
  <c r="V73" i="8" s="1"/>
  <c r="AD73" i="8" s="1"/>
  <c r="N74" i="8"/>
  <c r="V74" i="8" s="1"/>
  <c r="AD74" i="8" s="1"/>
  <c r="N75" i="8"/>
  <c r="V75" i="8" s="1"/>
  <c r="AD75" i="8" s="1"/>
  <c r="N76" i="8"/>
  <c r="V76" i="8" s="1"/>
  <c r="AD76" i="8" s="1"/>
  <c r="AL76" i="8" s="1"/>
  <c r="N77" i="8"/>
  <c r="V77" i="8" s="1"/>
  <c r="AD77" i="8" s="1"/>
  <c r="N78" i="8"/>
  <c r="V78" i="8" s="1"/>
  <c r="AD78" i="8" s="1"/>
  <c r="N79" i="8"/>
  <c r="V79" i="8" s="1"/>
  <c r="AD79" i="8" s="1"/>
  <c r="AL79" i="8" s="1"/>
  <c r="N80" i="8"/>
  <c r="V80" i="8" s="1"/>
  <c r="AD80" i="8" s="1"/>
  <c r="N81" i="8"/>
  <c r="V81" i="8" s="1"/>
  <c r="AD81" i="8" s="1"/>
  <c r="N82" i="8"/>
  <c r="V82" i="8" s="1"/>
  <c r="AD82" i="8" s="1"/>
  <c r="N83" i="8"/>
  <c r="V83" i="8" s="1"/>
  <c r="AD83" i="8" s="1"/>
  <c r="N84" i="8"/>
  <c r="V84" i="8" s="1"/>
  <c r="AD84" i="8" s="1"/>
  <c r="AL84" i="8" s="1"/>
  <c r="N85" i="8"/>
  <c r="V85" i="8" s="1"/>
  <c r="AD85" i="8" s="1"/>
  <c r="N86" i="8"/>
  <c r="V86" i="8" s="1"/>
  <c r="AD86" i="8" s="1"/>
  <c r="N87" i="8"/>
  <c r="V87" i="8" s="1"/>
  <c r="AD87" i="8" s="1"/>
  <c r="N88" i="8"/>
  <c r="V88" i="8" s="1"/>
  <c r="AD88" i="8" s="1"/>
  <c r="N89" i="8"/>
  <c r="V89" i="8" s="1"/>
  <c r="AD89" i="8" s="1"/>
  <c r="N90" i="8"/>
  <c r="V90" i="8" s="1"/>
  <c r="AD90" i="8" s="1"/>
  <c r="N91" i="8"/>
  <c r="V91" i="8" s="1"/>
  <c r="AD91" i="8" s="1"/>
  <c r="N92" i="8"/>
  <c r="V92" i="8" s="1"/>
  <c r="AD92" i="8" s="1"/>
  <c r="AL92" i="8" s="1"/>
  <c r="N93" i="8"/>
  <c r="V93" i="8" s="1"/>
  <c r="AD93" i="8" s="1"/>
  <c r="N94" i="8"/>
  <c r="V94" i="8" s="1"/>
  <c r="AD94" i="8" s="1"/>
  <c r="N95" i="8"/>
  <c r="V95" i="8" s="1"/>
  <c r="AD95" i="8" s="1"/>
  <c r="AL95" i="8" s="1"/>
  <c r="N96" i="8"/>
  <c r="V96" i="8" s="1"/>
  <c r="AD96" i="8" s="1"/>
  <c r="N97" i="8"/>
  <c r="V97" i="8" s="1"/>
  <c r="AD97" i="8" s="1"/>
  <c r="N98" i="8"/>
  <c r="V98" i="8" s="1"/>
  <c r="AD98" i="8" s="1"/>
  <c r="N99" i="8"/>
  <c r="V99" i="8" s="1"/>
  <c r="AD99" i="8" s="1"/>
  <c r="N100" i="8"/>
  <c r="V100" i="8" s="1"/>
  <c r="AD100" i="8" s="1"/>
  <c r="AL100" i="8" s="1"/>
  <c r="N101" i="8"/>
  <c r="V101" i="8" s="1"/>
  <c r="AD101" i="8" s="1"/>
  <c r="N102" i="8"/>
  <c r="V102" i="8" s="1"/>
  <c r="AD102" i="8" s="1"/>
  <c r="N103" i="8"/>
  <c r="V103" i="8" s="1"/>
  <c r="AD103" i="8" s="1"/>
  <c r="AL103" i="8" s="1"/>
  <c r="N104" i="8"/>
  <c r="V104" i="8" s="1"/>
  <c r="AD104" i="8" s="1"/>
  <c r="N105" i="8"/>
  <c r="V105" i="8" s="1"/>
  <c r="AD105" i="8" s="1"/>
  <c r="N106" i="8"/>
  <c r="V106" i="8" s="1"/>
  <c r="AD106" i="8" s="1"/>
  <c r="N107" i="8"/>
  <c r="V107" i="8" s="1"/>
  <c r="AD107" i="8" s="1"/>
  <c r="N108" i="8"/>
  <c r="V108" i="8" s="1"/>
  <c r="AD108" i="8" s="1"/>
  <c r="AL108" i="8" s="1"/>
  <c r="N109" i="8"/>
  <c r="V109" i="8" s="1"/>
  <c r="AD109" i="8" s="1"/>
  <c r="N110" i="8"/>
  <c r="V110" i="8" s="1"/>
  <c r="AD110" i="8" s="1"/>
  <c r="N111" i="8"/>
  <c r="V111" i="8" s="1"/>
  <c r="AD111" i="8" s="1"/>
  <c r="AL111" i="8" s="1"/>
  <c r="N112" i="8"/>
  <c r="V112" i="8" s="1"/>
  <c r="AD112" i="8" s="1"/>
  <c r="N113" i="8"/>
  <c r="V113" i="8" s="1"/>
  <c r="AD113" i="8" s="1"/>
  <c r="N114" i="8"/>
  <c r="V114" i="8" s="1"/>
  <c r="AD114" i="8" s="1"/>
  <c r="N115" i="8"/>
  <c r="V115" i="8" s="1"/>
  <c r="AD115" i="8" s="1"/>
  <c r="N116" i="8"/>
  <c r="V116" i="8" s="1"/>
  <c r="AD116" i="8" s="1"/>
  <c r="AL116" i="8" s="1"/>
  <c r="N117" i="8"/>
  <c r="V117" i="8" s="1"/>
  <c r="AD117" i="8" s="1"/>
  <c r="N118" i="8"/>
  <c r="V118" i="8" s="1"/>
  <c r="AD118" i="8" s="1"/>
  <c r="N119" i="8"/>
  <c r="V119" i="8" s="1"/>
  <c r="AD119" i="8" s="1"/>
  <c r="N120" i="8"/>
  <c r="V120" i="8" s="1"/>
  <c r="AD120" i="8" s="1"/>
  <c r="N121" i="8"/>
  <c r="V121" i="8" s="1"/>
  <c r="AD121" i="8" s="1"/>
  <c r="N122" i="8"/>
  <c r="V122" i="8" s="1"/>
  <c r="AD122" i="8" s="1"/>
  <c r="N123" i="8"/>
  <c r="V123" i="8" s="1"/>
  <c r="AD123" i="8" s="1"/>
  <c r="N124" i="8"/>
  <c r="V124" i="8" s="1"/>
  <c r="AD124" i="8" s="1"/>
  <c r="AL124" i="8" s="1"/>
  <c r="N125" i="8"/>
  <c r="V125" i="8" s="1"/>
  <c r="AD125" i="8" s="1"/>
  <c r="N126" i="8"/>
  <c r="V126" i="8" s="1"/>
  <c r="AD126" i="8" s="1"/>
  <c r="N127" i="8"/>
  <c r="V127" i="8" s="1"/>
  <c r="AD127" i="8" s="1"/>
  <c r="AL127" i="8" s="1"/>
  <c r="N128" i="8"/>
  <c r="V128" i="8" s="1"/>
  <c r="AD128" i="8" s="1"/>
  <c r="N129" i="8"/>
  <c r="V129" i="8" s="1"/>
  <c r="AD129" i="8" s="1"/>
  <c r="N130" i="8"/>
  <c r="V130" i="8" s="1"/>
  <c r="AD130" i="8" s="1"/>
  <c r="N131" i="8"/>
  <c r="V131" i="8" s="1"/>
  <c r="AD131" i="8" s="1"/>
  <c r="N132" i="8"/>
  <c r="V132" i="8" s="1"/>
  <c r="AD132" i="8" s="1"/>
  <c r="AL132" i="8" s="1"/>
  <c r="N133" i="8"/>
  <c r="V133" i="8" s="1"/>
  <c r="AD133" i="8" s="1"/>
  <c r="N134" i="8"/>
  <c r="V134" i="8" s="1"/>
  <c r="AD134" i="8" s="1"/>
  <c r="N135" i="8"/>
  <c r="V135" i="8" s="1"/>
  <c r="AD135" i="8" s="1"/>
  <c r="AL135" i="8" s="1"/>
  <c r="N136" i="8"/>
  <c r="V136" i="8" s="1"/>
  <c r="AD136" i="8" s="1"/>
  <c r="N137" i="8"/>
  <c r="V137" i="8" s="1"/>
  <c r="AD137" i="8" s="1"/>
  <c r="N138" i="8"/>
  <c r="V138" i="8" s="1"/>
  <c r="AD138" i="8" s="1"/>
  <c r="N139" i="8"/>
  <c r="V139" i="8" s="1"/>
  <c r="AD139" i="8" s="1"/>
  <c r="N140" i="8"/>
  <c r="V140" i="8" s="1"/>
  <c r="AD140" i="8" s="1"/>
  <c r="AL140" i="8" s="1"/>
  <c r="N141" i="8"/>
  <c r="V141" i="8" s="1"/>
  <c r="AD141" i="8" s="1"/>
  <c r="N142" i="8"/>
  <c r="V142" i="8" s="1"/>
  <c r="AD142" i="8" s="1"/>
  <c r="N143" i="8"/>
  <c r="V143" i="8" s="1"/>
  <c r="AD143" i="8" s="1"/>
  <c r="AL143" i="8" s="1"/>
  <c r="N144" i="8"/>
  <c r="V144" i="8" s="1"/>
  <c r="AD144" i="8" s="1"/>
  <c r="N145" i="8"/>
  <c r="V145" i="8" s="1"/>
  <c r="AD145" i="8" s="1"/>
  <c r="N146" i="8"/>
  <c r="V146" i="8" s="1"/>
  <c r="AD146" i="8" s="1"/>
  <c r="N147" i="8"/>
  <c r="V147" i="8" s="1"/>
  <c r="AD147" i="8" s="1"/>
  <c r="N148" i="8"/>
  <c r="V148" i="8" s="1"/>
  <c r="AD148" i="8" s="1"/>
  <c r="N149" i="8"/>
  <c r="V149" i="8" s="1"/>
  <c r="AD149" i="8" s="1"/>
  <c r="N150" i="8"/>
  <c r="V150" i="8" s="1"/>
  <c r="AD150" i="8" s="1"/>
  <c r="N151" i="8"/>
  <c r="V151" i="8" s="1"/>
  <c r="AD151" i="8" s="1"/>
  <c r="AL151" i="8" s="1"/>
  <c r="N152" i="8"/>
  <c r="V152" i="8" s="1"/>
  <c r="AD152" i="8" s="1"/>
  <c r="N153" i="8"/>
  <c r="V153" i="8" s="1"/>
  <c r="AD153" i="8" s="1"/>
  <c r="N154" i="8"/>
  <c r="V154" i="8" s="1"/>
  <c r="AD154" i="8" s="1"/>
  <c r="N155" i="8"/>
  <c r="V155" i="8" s="1"/>
  <c r="AD155" i="8" s="1"/>
  <c r="N156" i="8"/>
  <c r="V156" i="8" s="1"/>
  <c r="AD156" i="8" s="1"/>
  <c r="N157" i="8"/>
  <c r="V157" i="8" s="1"/>
  <c r="AD157" i="8" s="1"/>
  <c r="N158" i="8"/>
  <c r="V158" i="8" s="1"/>
  <c r="AD158" i="8" s="1"/>
  <c r="N159" i="8"/>
  <c r="V159" i="8" s="1"/>
  <c r="AD159" i="8" s="1"/>
  <c r="AL159" i="8" s="1"/>
  <c r="N160" i="8"/>
  <c r="V160" i="8" s="1"/>
  <c r="AD160" i="8" s="1"/>
  <c r="N161" i="8"/>
  <c r="V161" i="8" s="1"/>
  <c r="AD161" i="8" s="1"/>
  <c r="N162" i="8"/>
  <c r="V162" i="8" s="1"/>
  <c r="AD162" i="8" s="1"/>
  <c r="N163" i="8"/>
  <c r="V163" i="8" s="1"/>
  <c r="AD163" i="8" s="1"/>
  <c r="N164" i="8"/>
  <c r="V164" i="8" s="1"/>
  <c r="AD164" i="8" s="1"/>
  <c r="N165" i="8"/>
  <c r="V165" i="8" s="1"/>
  <c r="AD165" i="8" s="1"/>
  <c r="N166" i="8"/>
  <c r="V166" i="8" s="1"/>
  <c r="AD166" i="8" s="1"/>
  <c r="N167" i="8"/>
  <c r="V167" i="8" s="1"/>
  <c r="AD167" i="8" s="1"/>
  <c r="N168" i="8"/>
  <c r="V168" i="8" s="1"/>
  <c r="AD168" i="8" s="1"/>
  <c r="N169" i="8"/>
  <c r="V169" i="8" s="1"/>
  <c r="AD169" i="8" s="1"/>
  <c r="AL169" i="8" s="1"/>
  <c r="N170" i="8"/>
  <c r="V170" i="8" s="1"/>
  <c r="AD170" i="8" s="1"/>
  <c r="N171" i="8"/>
  <c r="V171" i="8" s="1"/>
  <c r="AD171" i="8" s="1"/>
  <c r="N172" i="8"/>
  <c r="V172" i="8" s="1"/>
  <c r="AD172" i="8" s="1"/>
  <c r="N173" i="8"/>
  <c r="V173" i="8" s="1"/>
  <c r="AD173" i="8" s="1"/>
  <c r="N174" i="8"/>
  <c r="V174" i="8" s="1"/>
  <c r="AD174" i="8" s="1"/>
  <c r="N175" i="8"/>
  <c r="V175" i="8" s="1"/>
  <c r="AD175" i="8" s="1"/>
  <c r="N176" i="8"/>
  <c r="V176" i="8" s="1"/>
  <c r="AD176" i="8" s="1"/>
  <c r="N177" i="8"/>
  <c r="V177" i="8" s="1"/>
  <c r="AD177" i="8" s="1"/>
  <c r="N178" i="8"/>
  <c r="V178" i="8" s="1"/>
  <c r="AD178" i="8" s="1"/>
  <c r="N179" i="8"/>
  <c r="V179" i="8" s="1"/>
  <c r="AD179" i="8" s="1"/>
  <c r="N180" i="8"/>
  <c r="V180" i="8" s="1"/>
  <c r="AD180" i="8" s="1"/>
  <c r="N181" i="8"/>
  <c r="V181" i="8" s="1"/>
  <c r="AD181" i="8" s="1"/>
  <c r="N182" i="8"/>
  <c r="V182" i="8" s="1"/>
  <c r="AD182" i="8" s="1"/>
  <c r="N183" i="8"/>
  <c r="V183" i="8" s="1"/>
  <c r="AD183" i="8" s="1"/>
  <c r="N184" i="8"/>
  <c r="V184" i="8" s="1"/>
  <c r="AD184" i="8" s="1"/>
  <c r="N185" i="8"/>
  <c r="V185" i="8" s="1"/>
  <c r="AD185" i="8" s="1"/>
  <c r="AL185" i="8" s="1"/>
  <c r="N186" i="8"/>
  <c r="V186" i="8" s="1"/>
  <c r="AD186" i="8" s="1"/>
  <c r="N187" i="8"/>
  <c r="V187" i="8" s="1"/>
  <c r="AD187" i="8" s="1"/>
  <c r="N188" i="8"/>
  <c r="V188" i="8" s="1"/>
  <c r="AD188" i="8" s="1"/>
  <c r="N189" i="8"/>
  <c r="V189" i="8" s="1"/>
  <c r="AD189" i="8" s="1"/>
  <c r="N190" i="8"/>
  <c r="V190" i="8" s="1"/>
  <c r="AD190" i="8" s="1"/>
  <c r="N191" i="8"/>
  <c r="V191" i="8" s="1"/>
  <c r="AD191" i="8" s="1"/>
  <c r="N192" i="8"/>
  <c r="V192" i="8" s="1"/>
  <c r="AD192" i="8" s="1"/>
  <c r="N193" i="8"/>
  <c r="V193" i="8" s="1"/>
  <c r="AD193" i="8" s="1"/>
  <c r="AL193" i="8" s="1"/>
  <c r="N194" i="8"/>
  <c r="V194" i="8" s="1"/>
  <c r="AD194" i="8" s="1"/>
  <c r="N195" i="8"/>
  <c r="V195" i="8" s="1"/>
  <c r="AD195" i="8" s="1"/>
  <c r="N196" i="8"/>
  <c r="V196" i="8" s="1"/>
  <c r="AD196" i="8" s="1"/>
  <c r="N197" i="8"/>
  <c r="V197" i="8" s="1"/>
  <c r="AD197" i="8" s="1"/>
  <c r="N198" i="8"/>
  <c r="V198" i="8" s="1"/>
  <c r="AD198" i="8" s="1"/>
  <c r="N199" i="8"/>
  <c r="V199" i="8" s="1"/>
  <c r="AD199" i="8" s="1"/>
  <c r="N200" i="8"/>
  <c r="V200" i="8" s="1"/>
  <c r="AD200" i="8" s="1"/>
  <c r="N201" i="8"/>
  <c r="V201" i="8" s="1"/>
  <c r="AD201" i="8" s="1"/>
  <c r="AL201" i="8" s="1"/>
  <c r="N202" i="8"/>
  <c r="V202" i="8" s="1"/>
  <c r="AD202" i="8" s="1"/>
  <c r="N203" i="8"/>
  <c r="V203" i="8" s="1"/>
  <c r="AD203" i="8" s="1"/>
  <c r="N204" i="8"/>
  <c r="V204" i="8" s="1"/>
  <c r="AD204" i="8" s="1"/>
  <c r="N205" i="8"/>
  <c r="V205" i="8" s="1"/>
  <c r="AD205" i="8" s="1"/>
  <c r="N206" i="8"/>
  <c r="V206" i="8" s="1"/>
  <c r="AD206" i="8" s="1"/>
  <c r="N207" i="8"/>
  <c r="V207" i="8" s="1"/>
  <c r="AD207" i="8" s="1"/>
  <c r="N208" i="8"/>
  <c r="V208" i="8" s="1"/>
  <c r="AD208" i="8" s="1"/>
  <c r="N209" i="8"/>
  <c r="V209" i="8" s="1"/>
  <c r="AD209" i="8" s="1"/>
  <c r="AL209" i="8" s="1"/>
  <c r="N210" i="8"/>
  <c r="V210" i="8" s="1"/>
  <c r="AD210" i="8" s="1"/>
  <c r="N211" i="8"/>
  <c r="V211" i="8" s="1"/>
  <c r="AD211" i="8" s="1"/>
  <c r="N212" i="8"/>
  <c r="V212" i="8" s="1"/>
  <c r="AD212" i="8" s="1"/>
  <c r="N213" i="8"/>
  <c r="V213" i="8" s="1"/>
  <c r="AD213" i="8" s="1"/>
  <c r="N214" i="8"/>
  <c r="V214" i="8" s="1"/>
  <c r="AD214" i="8" s="1"/>
  <c r="N215" i="8"/>
  <c r="V215" i="8" s="1"/>
  <c r="AD215" i="8" s="1"/>
  <c r="N216" i="8"/>
  <c r="V216" i="8" s="1"/>
  <c r="AD216" i="8" s="1"/>
  <c r="N217" i="8"/>
  <c r="V217" i="8" s="1"/>
  <c r="AD217" i="8" s="1"/>
  <c r="N218" i="8"/>
  <c r="V218" i="8" s="1"/>
  <c r="AD218" i="8" s="1"/>
  <c r="N219" i="8"/>
  <c r="V219" i="8" s="1"/>
  <c r="AD219" i="8" s="1"/>
  <c r="N220" i="8"/>
  <c r="V220" i="8" s="1"/>
  <c r="AD220" i="8" s="1"/>
  <c r="N221" i="8"/>
  <c r="V221" i="8" s="1"/>
  <c r="AD221" i="8" s="1"/>
  <c r="N222" i="8"/>
  <c r="V222" i="8" s="1"/>
  <c r="AD222" i="8" s="1"/>
  <c r="N223" i="8"/>
  <c r="V223" i="8" s="1"/>
  <c r="AD223" i="8" s="1"/>
  <c r="N224" i="8"/>
  <c r="V224" i="8" s="1"/>
  <c r="AD224" i="8" s="1"/>
  <c r="N225" i="8"/>
  <c r="V225" i="8" s="1"/>
  <c r="AD225" i="8" s="1"/>
  <c r="N226" i="8"/>
  <c r="V226" i="8" s="1"/>
  <c r="AD226" i="8" s="1"/>
  <c r="N227" i="8"/>
  <c r="V227" i="8" s="1"/>
  <c r="AD227" i="8" s="1"/>
  <c r="N228" i="8"/>
  <c r="V228" i="8" s="1"/>
  <c r="AD228" i="8" s="1"/>
  <c r="N229" i="8"/>
  <c r="V229" i="8" s="1"/>
  <c r="AD229" i="8" s="1"/>
  <c r="N230" i="8"/>
  <c r="V230" i="8" s="1"/>
  <c r="AD230" i="8" s="1"/>
  <c r="N231" i="8"/>
  <c r="V231" i="8" s="1"/>
  <c r="AD231" i="8" s="1"/>
  <c r="N232" i="8"/>
  <c r="V232" i="8" s="1"/>
  <c r="AD232" i="8" s="1"/>
  <c r="N233" i="8"/>
  <c r="V233" i="8" s="1"/>
  <c r="AD233" i="8" s="1"/>
  <c r="N234" i="8"/>
  <c r="V234" i="8" s="1"/>
  <c r="AD234" i="8" s="1"/>
  <c r="N235" i="8"/>
  <c r="V235" i="8" s="1"/>
  <c r="AD235" i="8" s="1"/>
  <c r="N236" i="8"/>
  <c r="V236" i="8" s="1"/>
  <c r="AD236" i="8" s="1"/>
  <c r="N237" i="8"/>
  <c r="V237" i="8" s="1"/>
  <c r="AD237" i="8" s="1"/>
  <c r="N238" i="8"/>
  <c r="V238" i="8" s="1"/>
  <c r="AD238" i="8" s="1"/>
  <c r="N239" i="8"/>
  <c r="V239" i="8" s="1"/>
  <c r="AD239" i="8" s="1"/>
  <c r="N240" i="8"/>
  <c r="V240" i="8" s="1"/>
  <c r="AD240" i="8" s="1"/>
  <c r="N241" i="8"/>
  <c r="V241" i="8" s="1"/>
  <c r="AD241" i="8" s="1"/>
  <c r="N242" i="8"/>
  <c r="V242" i="8" s="1"/>
  <c r="AD242" i="8" s="1"/>
  <c r="N243" i="8"/>
  <c r="V243" i="8" s="1"/>
  <c r="AD243" i="8" s="1"/>
  <c r="N244" i="8"/>
  <c r="V244" i="8" s="1"/>
  <c r="AD244" i="8" s="1"/>
  <c r="N245" i="8"/>
  <c r="V245" i="8" s="1"/>
  <c r="AD245" i="8" s="1"/>
  <c r="N246" i="8"/>
  <c r="V246" i="8" s="1"/>
  <c r="AD246" i="8" s="1"/>
  <c r="N247" i="8"/>
  <c r="V247" i="8" s="1"/>
  <c r="AD247" i="8" s="1"/>
  <c r="N248" i="8"/>
  <c r="V248" i="8" s="1"/>
  <c r="AD248" i="8" s="1"/>
  <c r="N249" i="8"/>
  <c r="V249" i="8" s="1"/>
  <c r="AD249" i="8" s="1"/>
  <c r="N250" i="8"/>
  <c r="V250" i="8" s="1"/>
  <c r="AD250" i="8" s="1"/>
  <c r="N251" i="8"/>
  <c r="V251" i="8" s="1"/>
  <c r="AD251" i="8" s="1"/>
  <c r="N252" i="8"/>
  <c r="V252" i="8" s="1"/>
  <c r="AD252" i="8" s="1"/>
  <c r="N253" i="8"/>
  <c r="V253" i="8" s="1"/>
  <c r="AD253" i="8" s="1"/>
  <c r="N254" i="8"/>
  <c r="V254" i="8" s="1"/>
  <c r="AD254" i="8" s="1"/>
  <c r="N255" i="8"/>
  <c r="V255" i="8" s="1"/>
  <c r="AD255" i="8" s="1"/>
  <c r="N256" i="8"/>
  <c r="V256" i="8" s="1"/>
  <c r="AD256" i="8" s="1"/>
  <c r="N5" i="8"/>
  <c r="V5" i="8" s="1"/>
  <c r="AD5" i="8" s="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5" i="11"/>
  <c r="K34" i="12" s="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5" i="11"/>
  <c r="E10" i="12"/>
  <c r="E11" i="12"/>
  <c r="E12" i="12"/>
  <c r="E13" i="12"/>
  <c r="E14" i="12"/>
  <c r="E15" i="12"/>
  <c r="E9" i="12"/>
  <c r="E16" i="12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N62" i="11"/>
  <c r="O62" i="11"/>
  <c r="P62" i="11"/>
  <c r="Q62" i="11"/>
  <c r="R62" i="11"/>
  <c r="S62" i="11"/>
  <c r="N63" i="11"/>
  <c r="O63" i="11"/>
  <c r="P63" i="11"/>
  <c r="Q63" i="11"/>
  <c r="R63" i="11"/>
  <c r="S63" i="11"/>
  <c r="N64" i="11"/>
  <c r="O64" i="11"/>
  <c r="P64" i="11"/>
  <c r="Q64" i="11"/>
  <c r="R64" i="11"/>
  <c r="S64" i="11"/>
  <c r="N65" i="11"/>
  <c r="O65" i="11"/>
  <c r="P65" i="11"/>
  <c r="Q65" i="11"/>
  <c r="R65" i="11"/>
  <c r="S65" i="11"/>
  <c r="N66" i="11"/>
  <c r="O66" i="11"/>
  <c r="P66" i="11"/>
  <c r="Q66" i="11"/>
  <c r="R66" i="11"/>
  <c r="S66" i="11"/>
  <c r="N67" i="11"/>
  <c r="O67" i="11"/>
  <c r="P67" i="11"/>
  <c r="Q67" i="11"/>
  <c r="R67" i="11"/>
  <c r="S67" i="11"/>
  <c r="N68" i="11"/>
  <c r="O68" i="11"/>
  <c r="P68" i="11"/>
  <c r="Q68" i="11"/>
  <c r="R68" i="11"/>
  <c r="S68" i="11"/>
  <c r="N69" i="11"/>
  <c r="O69" i="11"/>
  <c r="P69" i="11"/>
  <c r="Q69" i="11"/>
  <c r="R69" i="11"/>
  <c r="S69" i="11"/>
  <c r="N70" i="11"/>
  <c r="O70" i="11"/>
  <c r="P70" i="11"/>
  <c r="Q70" i="11"/>
  <c r="R70" i="11"/>
  <c r="S70" i="11"/>
  <c r="N71" i="11"/>
  <c r="O71" i="11"/>
  <c r="P71" i="11"/>
  <c r="Q71" i="11"/>
  <c r="R71" i="11"/>
  <c r="S71" i="11"/>
  <c r="N72" i="11"/>
  <c r="O72" i="11"/>
  <c r="P72" i="11"/>
  <c r="Q72" i="11"/>
  <c r="R72" i="11"/>
  <c r="S72" i="11"/>
  <c r="N73" i="11"/>
  <c r="O73" i="11"/>
  <c r="P73" i="11"/>
  <c r="Q73" i="11"/>
  <c r="R73" i="11"/>
  <c r="S73" i="11"/>
  <c r="N74" i="11"/>
  <c r="O74" i="11"/>
  <c r="P74" i="11"/>
  <c r="Q74" i="11"/>
  <c r="R74" i="11"/>
  <c r="S74" i="11"/>
  <c r="N75" i="11"/>
  <c r="O75" i="11"/>
  <c r="P75" i="11"/>
  <c r="Q75" i="11"/>
  <c r="R75" i="11"/>
  <c r="S75" i="11"/>
  <c r="N76" i="11"/>
  <c r="O76" i="11"/>
  <c r="P76" i="11"/>
  <c r="Q76" i="11"/>
  <c r="R76" i="11"/>
  <c r="S76" i="11"/>
  <c r="N77" i="11"/>
  <c r="O77" i="11"/>
  <c r="P77" i="11"/>
  <c r="Q77" i="11"/>
  <c r="R77" i="11"/>
  <c r="S77" i="11"/>
  <c r="N78" i="11"/>
  <c r="O78" i="11"/>
  <c r="P78" i="11"/>
  <c r="Q78" i="11"/>
  <c r="R78" i="11"/>
  <c r="S78" i="11"/>
  <c r="N79" i="11"/>
  <c r="O79" i="11"/>
  <c r="P79" i="11"/>
  <c r="Q79" i="11"/>
  <c r="R79" i="11"/>
  <c r="S79" i="11"/>
  <c r="N80" i="11"/>
  <c r="O80" i="11"/>
  <c r="P80" i="11"/>
  <c r="Q80" i="11"/>
  <c r="R80" i="11"/>
  <c r="S80" i="11"/>
  <c r="N81" i="11"/>
  <c r="O81" i="11"/>
  <c r="P81" i="11"/>
  <c r="Q81" i="11"/>
  <c r="R81" i="11"/>
  <c r="S81" i="11"/>
  <c r="N82" i="11"/>
  <c r="O82" i="11"/>
  <c r="P82" i="11"/>
  <c r="Q82" i="11"/>
  <c r="R82" i="11"/>
  <c r="S82" i="11"/>
  <c r="N83" i="11"/>
  <c r="O83" i="11"/>
  <c r="P83" i="11"/>
  <c r="Q83" i="11"/>
  <c r="R83" i="11"/>
  <c r="S83" i="11"/>
  <c r="N84" i="11"/>
  <c r="O84" i="11"/>
  <c r="P84" i="11"/>
  <c r="Q84" i="11"/>
  <c r="R84" i="11"/>
  <c r="S84" i="11"/>
  <c r="N85" i="11"/>
  <c r="O85" i="11"/>
  <c r="P85" i="11"/>
  <c r="Q85" i="11"/>
  <c r="R85" i="11"/>
  <c r="S85" i="11"/>
  <c r="N86" i="11"/>
  <c r="O86" i="11"/>
  <c r="P86" i="11"/>
  <c r="Q86" i="11"/>
  <c r="R86" i="11"/>
  <c r="S86" i="11"/>
  <c r="N87" i="11"/>
  <c r="O87" i="11"/>
  <c r="P87" i="11"/>
  <c r="Q87" i="11"/>
  <c r="R87" i="11"/>
  <c r="S87" i="11"/>
  <c r="N88" i="11"/>
  <c r="O88" i="11"/>
  <c r="P88" i="11"/>
  <c r="Q88" i="11"/>
  <c r="R88" i="11"/>
  <c r="S88" i="11"/>
  <c r="N89" i="11"/>
  <c r="O89" i="11"/>
  <c r="P89" i="11"/>
  <c r="Q89" i="11"/>
  <c r="R89" i="11"/>
  <c r="S89" i="11"/>
  <c r="N90" i="11"/>
  <c r="O90" i="11"/>
  <c r="P90" i="11"/>
  <c r="Q90" i="11"/>
  <c r="R90" i="11"/>
  <c r="S90" i="11"/>
  <c r="N91" i="11"/>
  <c r="O91" i="11"/>
  <c r="P91" i="11"/>
  <c r="Q91" i="11"/>
  <c r="R91" i="11"/>
  <c r="S91" i="11"/>
  <c r="N92" i="11"/>
  <c r="O92" i="11"/>
  <c r="P92" i="11"/>
  <c r="Q92" i="11"/>
  <c r="R92" i="11"/>
  <c r="S92" i="11"/>
  <c r="N93" i="11"/>
  <c r="O93" i="11"/>
  <c r="P93" i="11"/>
  <c r="Q93" i="11"/>
  <c r="R93" i="11"/>
  <c r="S93" i="11"/>
  <c r="N94" i="11"/>
  <c r="O94" i="11"/>
  <c r="P94" i="11"/>
  <c r="Q94" i="11"/>
  <c r="R94" i="11"/>
  <c r="S94" i="11"/>
  <c r="N95" i="11"/>
  <c r="O95" i="11"/>
  <c r="P95" i="11"/>
  <c r="Q95" i="11"/>
  <c r="R95" i="11"/>
  <c r="S95" i="11"/>
  <c r="N96" i="11"/>
  <c r="O96" i="11"/>
  <c r="P96" i="11"/>
  <c r="Q96" i="11"/>
  <c r="R96" i="11"/>
  <c r="S96" i="11"/>
  <c r="N97" i="11"/>
  <c r="O97" i="11"/>
  <c r="P97" i="11"/>
  <c r="Q97" i="11"/>
  <c r="R97" i="11"/>
  <c r="S97" i="11"/>
  <c r="N98" i="11"/>
  <c r="O98" i="11"/>
  <c r="P98" i="11"/>
  <c r="Q98" i="11"/>
  <c r="R98" i="11"/>
  <c r="S98" i="11"/>
  <c r="N99" i="11"/>
  <c r="O99" i="11"/>
  <c r="P99" i="11"/>
  <c r="Q99" i="11"/>
  <c r="R99" i="11"/>
  <c r="S99" i="11"/>
  <c r="N100" i="11"/>
  <c r="O100" i="11"/>
  <c r="P100" i="11"/>
  <c r="Q100" i="11"/>
  <c r="R100" i="11"/>
  <c r="S100" i="11"/>
  <c r="N101" i="11"/>
  <c r="O101" i="11"/>
  <c r="P101" i="11"/>
  <c r="Q101" i="11"/>
  <c r="R101" i="11"/>
  <c r="S101" i="11"/>
  <c r="N102" i="11"/>
  <c r="O102" i="11"/>
  <c r="P102" i="11"/>
  <c r="Q102" i="11"/>
  <c r="R102" i="11"/>
  <c r="S102" i="11"/>
  <c r="N103" i="11"/>
  <c r="O103" i="11"/>
  <c r="P103" i="11"/>
  <c r="Q103" i="11"/>
  <c r="R103" i="11"/>
  <c r="S103" i="11"/>
  <c r="N104" i="11"/>
  <c r="O104" i="11"/>
  <c r="P104" i="11"/>
  <c r="Q104" i="11"/>
  <c r="R104" i="11"/>
  <c r="S104" i="11"/>
  <c r="N105" i="11"/>
  <c r="O105" i="11"/>
  <c r="P105" i="11"/>
  <c r="Q105" i="11"/>
  <c r="R105" i="11"/>
  <c r="S105" i="11"/>
  <c r="N106" i="11"/>
  <c r="O106" i="11"/>
  <c r="P106" i="11"/>
  <c r="Q106" i="11"/>
  <c r="R106" i="11"/>
  <c r="S106" i="11"/>
  <c r="N107" i="11"/>
  <c r="O107" i="11"/>
  <c r="P107" i="11"/>
  <c r="Q107" i="11"/>
  <c r="R107" i="11"/>
  <c r="S107" i="11"/>
  <c r="N108" i="11"/>
  <c r="O108" i="11"/>
  <c r="P108" i="11"/>
  <c r="Q108" i="11"/>
  <c r="R108" i="11"/>
  <c r="S108" i="11"/>
  <c r="N109" i="11"/>
  <c r="O109" i="11"/>
  <c r="P109" i="11"/>
  <c r="Q109" i="11"/>
  <c r="R109" i="11"/>
  <c r="S109" i="11"/>
  <c r="N110" i="11"/>
  <c r="O110" i="11"/>
  <c r="P110" i="11"/>
  <c r="Q110" i="11"/>
  <c r="R110" i="11"/>
  <c r="S110" i="11"/>
  <c r="N111" i="11"/>
  <c r="O111" i="11"/>
  <c r="P111" i="11"/>
  <c r="Q111" i="11"/>
  <c r="R111" i="11"/>
  <c r="S111" i="11"/>
  <c r="N112" i="11"/>
  <c r="O112" i="11"/>
  <c r="P112" i="11"/>
  <c r="Q112" i="11"/>
  <c r="R112" i="11"/>
  <c r="S112" i="11"/>
  <c r="N113" i="11"/>
  <c r="O113" i="11"/>
  <c r="P113" i="11"/>
  <c r="Q113" i="11"/>
  <c r="R113" i="11"/>
  <c r="S113" i="11"/>
  <c r="N114" i="11"/>
  <c r="O114" i="11"/>
  <c r="P114" i="11"/>
  <c r="Q114" i="11"/>
  <c r="R114" i="11"/>
  <c r="S114" i="11"/>
  <c r="N115" i="11"/>
  <c r="O115" i="11"/>
  <c r="P115" i="11"/>
  <c r="Q115" i="11"/>
  <c r="R115" i="11"/>
  <c r="S115" i="11"/>
  <c r="N116" i="11"/>
  <c r="O116" i="11"/>
  <c r="P116" i="11"/>
  <c r="Q116" i="11"/>
  <c r="R116" i="11"/>
  <c r="S116" i="11"/>
  <c r="N117" i="11"/>
  <c r="O117" i="11"/>
  <c r="P117" i="11"/>
  <c r="Q117" i="11"/>
  <c r="R117" i="11"/>
  <c r="S117" i="11"/>
  <c r="N118" i="11"/>
  <c r="O118" i="11"/>
  <c r="P118" i="11"/>
  <c r="Q118" i="11"/>
  <c r="R118" i="11"/>
  <c r="S118" i="11"/>
  <c r="N119" i="11"/>
  <c r="O119" i="11"/>
  <c r="P119" i="11"/>
  <c r="Q119" i="11"/>
  <c r="R119" i="11"/>
  <c r="S119" i="11"/>
  <c r="N120" i="11"/>
  <c r="O120" i="11"/>
  <c r="P120" i="11"/>
  <c r="Q120" i="11"/>
  <c r="R120" i="11"/>
  <c r="S120" i="11"/>
  <c r="N121" i="11"/>
  <c r="O121" i="11"/>
  <c r="P121" i="11"/>
  <c r="Q121" i="11"/>
  <c r="R121" i="11"/>
  <c r="S121" i="11"/>
  <c r="N122" i="11"/>
  <c r="O122" i="11"/>
  <c r="P122" i="11"/>
  <c r="Q122" i="11"/>
  <c r="R122" i="11"/>
  <c r="S122" i="11"/>
  <c r="N123" i="11"/>
  <c r="O123" i="11"/>
  <c r="P123" i="11"/>
  <c r="Q123" i="11"/>
  <c r="R123" i="11"/>
  <c r="S123" i="11"/>
  <c r="N124" i="11"/>
  <c r="O124" i="11"/>
  <c r="P124" i="11"/>
  <c r="Q124" i="11"/>
  <c r="R124" i="11"/>
  <c r="S124" i="11"/>
  <c r="N125" i="11"/>
  <c r="O125" i="11"/>
  <c r="P125" i="11"/>
  <c r="Q125" i="11"/>
  <c r="R125" i="11"/>
  <c r="S125" i="11"/>
  <c r="N126" i="11"/>
  <c r="O126" i="11"/>
  <c r="P126" i="11"/>
  <c r="Q126" i="11"/>
  <c r="R126" i="11"/>
  <c r="S126" i="11"/>
  <c r="N127" i="11"/>
  <c r="O127" i="11"/>
  <c r="P127" i="11"/>
  <c r="Q127" i="11"/>
  <c r="R127" i="11"/>
  <c r="S127" i="11"/>
  <c r="N128" i="11"/>
  <c r="O128" i="11"/>
  <c r="P128" i="11"/>
  <c r="Q128" i="11"/>
  <c r="R128" i="11"/>
  <c r="S128" i="11"/>
  <c r="N129" i="11"/>
  <c r="O129" i="11"/>
  <c r="P129" i="11"/>
  <c r="Q129" i="11"/>
  <c r="R129" i="11"/>
  <c r="S129" i="11"/>
  <c r="N130" i="11"/>
  <c r="O130" i="11"/>
  <c r="P130" i="11"/>
  <c r="Q130" i="11"/>
  <c r="R130" i="11"/>
  <c r="S130" i="11"/>
  <c r="N131" i="11"/>
  <c r="O131" i="11"/>
  <c r="P131" i="11"/>
  <c r="Q131" i="11"/>
  <c r="R131" i="11"/>
  <c r="S131" i="11"/>
  <c r="N132" i="11"/>
  <c r="O132" i="11"/>
  <c r="P132" i="11"/>
  <c r="Q132" i="11"/>
  <c r="R132" i="11"/>
  <c r="S132" i="11"/>
  <c r="N133" i="11"/>
  <c r="O133" i="11"/>
  <c r="P133" i="11"/>
  <c r="Q133" i="11"/>
  <c r="R133" i="11"/>
  <c r="S133" i="11"/>
  <c r="N134" i="11"/>
  <c r="O134" i="11"/>
  <c r="P134" i="11"/>
  <c r="Q134" i="11"/>
  <c r="R134" i="11"/>
  <c r="S134" i="11"/>
  <c r="N135" i="11"/>
  <c r="O135" i="11"/>
  <c r="P135" i="11"/>
  <c r="Q135" i="11"/>
  <c r="R135" i="11"/>
  <c r="S135" i="11"/>
  <c r="N136" i="11"/>
  <c r="O136" i="11"/>
  <c r="P136" i="11"/>
  <c r="Q136" i="11"/>
  <c r="R136" i="11"/>
  <c r="S136" i="11"/>
  <c r="N137" i="11"/>
  <c r="O137" i="11"/>
  <c r="P137" i="11"/>
  <c r="Q137" i="11"/>
  <c r="R137" i="11"/>
  <c r="S137" i="11"/>
  <c r="N138" i="11"/>
  <c r="O138" i="11"/>
  <c r="P138" i="11"/>
  <c r="Q138" i="11"/>
  <c r="R138" i="11"/>
  <c r="S138" i="11"/>
  <c r="N139" i="11"/>
  <c r="O139" i="11"/>
  <c r="P139" i="11"/>
  <c r="Q139" i="11"/>
  <c r="R139" i="11"/>
  <c r="S139" i="11"/>
  <c r="N140" i="11"/>
  <c r="O140" i="11"/>
  <c r="P140" i="11"/>
  <c r="Q140" i="11"/>
  <c r="R140" i="11"/>
  <c r="S140" i="11"/>
  <c r="N141" i="11"/>
  <c r="O141" i="11"/>
  <c r="P141" i="11"/>
  <c r="Q141" i="11"/>
  <c r="R141" i="11"/>
  <c r="S141" i="11"/>
  <c r="N142" i="11"/>
  <c r="O142" i="11"/>
  <c r="P142" i="11"/>
  <c r="Q142" i="11"/>
  <c r="R142" i="11"/>
  <c r="S142" i="11"/>
  <c r="N143" i="11"/>
  <c r="O143" i="11"/>
  <c r="P143" i="11"/>
  <c r="Q143" i="11"/>
  <c r="R143" i="11"/>
  <c r="S143" i="11"/>
  <c r="N144" i="11"/>
  <c r="O144" i="11"/>
  <c r="P144" i="11"/>
  <c r="Q144" i="11"/>
  <c r="R144" i="11"/>
  <c r="S144" i="11"/>
  <c r="N145" i="11"/>
  <c r="O145" i="11"/>
  <c r="P145" i="11"/>
  <c r="Q145" i="11"/>
  <c r="R145" i="11"/>
  <c r="S145" i="11"/>
  <c r="N146" i="11"/>
  <c r="O146" i="11"/>
  <c r="P146" i="11"/>
  <c r="Q146" i="11"/>
  <c r="R146" i="11"/>
  <c r="S146" i="11"/>
  <c r="N147" i="11"/>
  <c r="O147" i="11"/>
  <c r="P147" i="11"/>
  <c r="Q147" i="11"/>
  <c r="R147" i="11"/>
  <c r="S147" i="11"/>
  <c r="N148" i="11"/>
  <c r="O148" i="11"/>
  <c r="P148" i="11"/>
  <c r="Q148" i="11"/>
  <c r="R148" i="11"/>
  <c r="S148" i="11"/>
  <c r="N149" i="11"/>
  <c r="O149" i="11"/>
  <c r="P149" i="11"/>
  <c r="Q149" i="11"/>
  <c r="R149" i="11"/>
  <c r="S149" i="11"/>
  <c r="N150" i="11"/>
  <c r="O150" i="11"/>
  <c r="P150" i="11"/>
  <c r="Q150" i="11"/>
  <c r="R150" i="11"/>
  <c r="S150" i="11"/>
  <c r="N151" i="11"/>
  <c r="O151" i="11"/>
  <c r="P151" i="11"/>
  <c r="Q151" i="11"/>
  <c r="R151" i="11"/>
  <c r="S151" i="11"/>
  <c r="N152" i="11"/>
  <c r="O152" i="11"/>
  <c r="P152" i="11"/>
  <c r="Q152" i="11"/>
  <c r="R152" i="11"/>
  <c r="S152" i="11"/>
  <c r="N153" i="11"/>
  <c r="O153" i="11"/>
  <c r="P153" i="11"/>
  <c r="Q153" i="11"/>
  <c r="R153" i="11"/>
  <c r="S153" i="11"/>
  <c r="N154" i="11"/>
  <c r="O154" i="11"/>
  <c r="P154" i="11"/>
  <c r="Q154" i="11"/>
  <c r="R154" i="11"/>
  <c r="S154" i="11"/>
  <c r="N155" i="11"/>
  <c r="O155" i="11"/>
  <c r="P155" i="11"/>
  <c r="Q155" i="11"/>
  <c r="R155" i="11"/>
  <c r="S155" i="11"/>
  <c r="N156" i="11"/>
  <c r="O156" i="11"/>
  <c r="P156" i="11"/>
  <c r="Q156" i="11"/>
  <c r="R156" i="11"/>
  <c r="S156" i="11"/>
  <c r="N157" i="11"/>
  <c r="O157" i="11"/>
  <c r="P157" i="11"/>
  <c r="Q157" i="11"/>
  <c r="R157" i="11"/>
  <c r="S157" i="11"/>
  <c r="N158" i="11"/>
  <c r="O158" i="11"/>
  <c r="P158" i="11"/>
  <c r="Q158" i="11"/>
  <c r="R158" i="11"/>
  <c r="S158" i="11"/>
  <c r="N159" i="11"/>
  <c r="O159" i="11"/>
  <c r="P159" i="11"/>
  <c r="Q159" i="11"/>
  <c r="R159" i="11"/>
  <c r="S159" i="11"/>
  <c r="N160" i="11"/>
  <c r="O160" i="11"/>
  <c r="P160" i="11"/>
  <c r="Q160" i="11"/>
  <c r="R160" i="11"/>
  <c r="S160" i="11"/>
  <c r="N161" i="11"/>
  <c r="O161" i="11"/>
  <c r="P161" i="11"/>
  <c r="Q161" i="11"/>
  <c r="R161" i="11"/>
  <c r="S161" i="11"/>
  <c r="N162" i="11"/>
  <c r="O162" i="11"/>
  <c r="P162" i="11"/>
  <c r="Q162" i="11"/>
  <c r="R162" i="11"/>
  <c r="S162" i="11"/>
  <c r="N163" i="11"/>
  <c r="O163" i="11"/>
  <c r="P163" i="11"/>
  <c r="Q163" i="11"/>
  <c r="R163" i="11"/>
  <c r="S163" i="11"/>
  <c r="N164" i="11"/>
  <c r="O164" i="11"/>
  <c r="P164" i="11"/>
  <c r="Q164" i="11"/>
  <c r="R164" i="11"/>
  <c r="S164" i="11"/>
  <c r="N165" i="11"/>
  <c r="O165" i="11"/>
  <c r="P165" i="11"/>
  <c r="Q165" i="11"/>
  <c r="R165" i="11"/>
  <c r="S165" i="11"/>
  <c r="N166" i="11"/>
  <c r="O166" i="11"/>
  <c r="P166" i="11"/>
  <c r="Q166" i="11"/>
  <c r="R166" i="11"/>
  <c r="S166" i="11"/>
  <c r="N167" i="11"/>
  <c r="O167" i="11"/>
  <c r="P167" i="11"/>
  <c r="Q167" i="11"/>
  <c r="R167" i="11"/>
  <c r="S167" i="11"/>
  <c r="N168" i="11"/>
  <c r="O168" i="11"/>
  <c r="P168" i="11"/>
  <c r="Q168" i="11"/>
  <c r="R168" i="11"/>
  <c r="S168" i="11"/>
  <c r="N169" i="11"/>
  <c r="O169" i="11"/>
  <c r="P169" i="11"/>
  <c r="Q169" i="11"/>
  <c r="R169" i="11"/>
  <c r="S169" i="11"/>
  <c r="N170" i="11"/>
  <c r="O170" i="11"/>
  <c r="P170" i="11"/>
  <c r="Q170" i="11"/>
  <c r="R170" i="11"/>
  <c r="S170" i="11"/>
  <c r="N171" i="11"/>
  <c r="O171" i="11"/>
  <c r="P171" i="11"/>
  <c r="Q171" i="11"/>
  <c r="R171" i="11"/>
  <c r="S171" i="11"/>
  <c r="N172" i="11"/>
  <c r="O172" i="11"/>
  <c r="P172" i="11"/>
  <c r="Q172" i="11"/>
  <c r="R172" i="11"/>
  <c r="S172" i="11"/>
  <c r="N173" i="11"/>
  <c r="O173" i="11"/>
  <c r="P173" i="11"/>
  <c r="Q173" i="11"/>
  <c r="R173" i="11"/>
  <c r="S173" i="11"/>
  <c r="N174" i="11"/>
  <c r="O174" i="11"/>
  <c r="P174" i="11"/>
  <c r="Q174" i="11"/>
  <c r="R174" i="11"/>
  <c r="S174" i="11"/>
  <c r="N175" i="11"/>
  <c r="O175" i="11"/>
  <c r="P175" i="11"/>
  <c r="Q175" i="11"/>
  <c r="R175" i="11"/>
  <c r="S175" i="11"/>
  <c r="N176" i="11"/>
  <c r="O176" i="11"/>
  <c r="P176" i="11"/>
  <c r="Q176" i="11"/>
  <c r="R176" i="11"/>
  <c r="S176" i="11"/>
  <c r="N177" i="11"/>
  <c r="O177" i="11"/>
  <c r="P177" i="11"/>
  <c r="Q177" i="11"/>
  <c r="R177" i="11"/>
  <c r="S177" i="11"/>
  <c r="N178" i="11"/>
  <c r="O178" i="11"/>
  <c r="P178" i="11"/>
  <c r="Q178" i="11"/>
  <c r="R178" i="11"/>
  <c r="S178" i="11"/>
  <c r="N179" i="11"/>
  <c r="O179" i="11"/>
  <c r="P179" i="11"/>
  <c r="Q179" i="11"/>
  <c r="R179" i="11"/>
  <c r="S179" i="11"/>
  <c r="N180" i="11"/>
  <c r="O180" i="11"/>
  <c r="P180" i="11"/>
  <c r="Q180" i="11"/>
  <c r="R180" i="11"/>
  <c r="S180" i="11"/>
  <c r="N181" i="11"/>
  <c r="O181" i="11"/>
  <c r="P181" i="11"/>
  <c r="Q181" i="11"/>
  <c r="R181" i="11"/>
  <c r="S181" i="11"/>
  <c r="N182" i="11"/>
  <c r="O182" i="11"/>
  <c r="P182" i="11"/>
  <c r="Q182" i="11"/>
  <c r="R182" i="11"/>
  <c r="S182" i="11"/>
  <c r="N183" i="11"/>
  <c r="O183" i="11"/>
  <c r="P183" i="11"/>
  <c r="Q183" i="11"/>
  <c r="R183" i="11"/>
  <c r="S183" i="11"/>
  <c r="N184" i="11"/>
  <c r="O184" i="11"/>
  <c r="P184" i="11"/>
  <c r="Q184" i="11"/>
  <c r="R184" i="11"/>
  <c r="S184" i="11"/>
  <c r="N185" i="11"/>
  <c r="O185" i="11"/>
  <c r="P185" i="11"/>
  <c r="Q185" i="11"/>
  <c r="R185" i="11"/>
  <c r="S185" i="11"/>
  <c r="N186" i="11"/>
  <c r="O186" i="11"/>
  <c r="P186" i="11"/>
  <c r="Q186" i="11"/>
  <c r="R186" i="11"/>
  <c r="S186" i="11"/>
  <c r="N187" i="11"/>
  <c r="O187" i="11"/>
  <c r="P187" i="11"/>
  <c r="Q187" i="11"/>
  <c r="R187" i="11"/>
  <c r="S187" i="11"/>
  <c r="N188" i="11"/>
  <c r="O188" i="11"/>
  <c r="P188" i="11"/>
  <c r="Q188" i="11"/>
  <c r="R188" i="11"/>
  <c r="S188" i="11"/>
  <c r="N189" i="11"/>
  <c r="O189" i="11"/>
  <c r="P189" i="11"/>
  <c r="Q189" i="11"/>
  <c r="R189" i="11"/>
  <c r="S189" i="11"/>
  <c r="N190" i="11"/>
  <c r="O190" i="11"/>
  <c r="P190" i="11"/>
  <c r="Q190" i="11"/>
  <c r="R190" i="11"/>
  <c r="S190" i="11"/>
  <c r="N191" i="11"/>
  <c r="O191" i="11"/>
  <c r="P191" i="11"/>
  <c r="Q191" i="11"/>
  <c r="R191" i="11"/>
  <c r="S191" i="11"/>
  <c r="N192" i="11"/>
  <c r="O192" i="11"/>
  <c r="P192" i="11"/>
  <c r="Q192" i="11"/>
  <c r="R192" i="11"/>
  <c r="S192" i="11"/>
  <c r="N193" i="11"/>
  <c r="O193" i="11"/>
  <c r="P193" i="11"/>
  <c r="Q193" i="11"/>
  <c r="R193" i="11"/>
  <c r="S193" i="11"/>
  <c r="N194" i="11"/>
  <c r="O194" i="11"/>
  <c r="P194" i="11"/>
  <c r="Q194" i="11"/>
  <c r="R194" i="11"/>
  <c r="S194" i="11"/>
  <c r="N195" i="11"/>
  <c r="O195" i="11"/>
  <c r="P195" i="11"/>
  <c r="Q195" i="11"/>
  <c r="R195" i="11"/>
  <c r="S195" i="11"/>
  <c r="N196" i="11"/>
  <c r="O196" i="11"/>
  <c r="P196" i="11"/>
  <c r="Q196" i="11"/>
  <c r="R196" i="11"/>
  <c r="S196" i="11"/>
  <c r="N197" i="11"/>
  <c r="O197" i="11"/>
  <c r="P197" i="11"/>
  <c r="Q197" i="11"/>
  <c r="R197" i="11"/>
  <c r="S197" i="11"/>
  <c r="N198" i="11"/>
  <c r="O198" i="11"/>
  <c r="P198" i="11"/>
  <c r="Q198" i="11"/>
  <c r="R198" i="11"/>
  <c r="S198" i="11"/>
  <c r="N199" i="11"/>
  <c r="O199" i="11"/>
  <c r="P199" i="11"/>
  <c r="Q199" i="11"/>
  <c r="R199" i="11"/>
  <c r="S199" i="11"/>
  <c r="N200" i="11"/>
  <c r="O200" i="11"/>
  <c r="P200" i="11"/>
  <c r="Q200" i="11"/>
  <c r="R200" i="11"/>
  <c r="S200" i="11"/>
  <c r="N201" i="11"/>
  <c r="O201" i="11"/>
  <c r="P201" i="11"/>
  <c r="Q201" i="11"/>
  <c r="R201" i="11"/>
  <c r="S201" i="11"/>
  <c r="N202" i="11"/>
  <c r="O202" i="11"/>
  <c r="P202" i="11"/>
  <c r="Q202" i="11"/>
  <c r="R202" i="11"/>
  <c r="S202" i="11"/>
  <c r="N203" i="11"/>
  <c r="O203" i="11"/>
  <c r="P203" i="11"/>
  <c r="Q203" i="11"/>
  <c r="R203" i="11"/>
  <c r="S203" i="11"/>
  <c r="N204" i="11"/>
  <c r="O204" i="11"/>
  <c r="P204" i="11"/>
  <c r="Q204" i="11"/>
  <c r="R204" i="11"/>
  <c r="S204" i="11"/>
  <c r="N205" i="11"/>
  <c r="O205" i="11"/>
  <c r="P205" i="11"/>
  <c r="Q205" i="11"/>
  <c r="R205" i="11"/>
  <c r="S205" i="11"/>
  <c r="N206" i="11"/>
  <c r="O206" i="11"/>
  <c r="P206" i="11"/>
  <c r="Q206" i="11"/>
  <c r="R206" i="11"/>
  <c r="S206" i="11"/>
  <c r="N207" i="11"/>
  <c r="O207" i="11"/>
  <c r="P207" i="11"/>
  <c r="Q207" i="11"/>
  <c r="R207" i="11"/>
  <c r="S207" i="11"/>
  <c r="N208" i="11"/>
  <c r="O208" i="11"/>
  <c r="P208" i="11"/>
  <c r="Q208" i="11"/>
  <c r="R208" i="11"/>
  <c r="S208" i="11"/>
  <c r="N209" i="11"/>
  <c r="O209" i="11"/>
  <c r="P209" i="11"/>
  <c r="Q209" i="11"/>
  <c r="R209" i="11"/>
  <c r="S209" i="11"/>
  <c r="N210" i="11"/>
  <c r="O210" i="11"/>
  <c r="P210" i="11"/>
  <c r="Q210" i="11"/>
  <c r="R210" i="11"/>
  <c r="S210" i="11"/>
  <c r="N211" i="11"/>
  <c r="O211" i="11"/>
  <c r="P211" i="11"/>
  <c r="Q211" i="11"/>
  <c r="R211" i="11"/>
  <c r="S211" i="11"/>
  <c r="N212" i="11"/>
  <c r="O212" i="11"/>
  <c r="P212" i="11"/>
  <c r="Q212" i="11"/>
  <c r="R212" i="11"/>
  <c r="S212" i="11"/>
  <c r="N213" i="11"/>
  <c r="O213" i="11"/>
  <c r="P213" i="11"/>
  <c r="Q213" i="11"/>
  <c r="R213" i="11"/>
  <c r="S213" i="11"/>
  <c r="N214" i="11"/>
  <c r="O214" i="11"/>
  <c r="P214" i="11"/>
  <c r="Q214" i="11"/>
  <c r="R214" i="11"/>
  <c r="S214" i="11"/>
  <c r="N215" i="11"/>
  <c r="O215" i="11"/>
  <c r="P215" i="11"/>
  <c r="Q215" i="11"/>
  <c r="R215" i="11"/>
  <c r="S215" i="11"/>
  <c r="N216" i="11"/>
  <c r="O216" i="11"/>
  <c r="P216" i="11"/>
  <c r="Q216" i="11"/>
  <c r="R216" i="11"/>
  <c r="S216" i="11"/>
  <c r="N217" i="11"/>
  <c r="O217" i="11"/>
  <c r="P217" i="11"/>
  <c r="Q217" i="11"/>
  <c r="R217" i="11"/>
  <c r="S217" i="11"/>
  <c r="N218" i="11"/>
  <c r="O218" i="11"/>
  <c r="P218" i="11"/>
  <c r="Q218" i="11"/>
  <c r="R218" i="11"/>
  <c r="S218" i="11"/>
  <c r="N219" i="11"/>
  <c r="O219" i="11"/>
  <c r="P219" i="11"/>
  <c r="Q219" i="11"/>
  <c r="R219" i="11"/>
  <c r="S219" i="11"/>
  <c r="N220" i="11"/>
  <c r="O220" i="11"/>
  <c r="P220" i="11"/>
  <c r="Q220" i="11"/>
  <c r="R220" i="11"/>
  <c r="S220" i="11"/>
  <c r="N221" i="11"/>
  <c r="O221" i="11"/>
  <c r="P221" i="11"/>
  <c r="Q221" i="11"/>
  <c r="R221" i="11"/>
  <c r="S221" i="11"/>
  <c r="N222" i="11"/>
  <c r="O222" i="11"/>
  <c r="P222" i="11"/>
  <c r="Q222" i="11"/>
  <c r="R222" i="11"/>
  <c r="S222" i="11"/>
  <c r="N223" i="11"/>
  <c r="O223" i="11"/>
  <c r="P223" i="11"/>
  <c r="Q223" i="11"/>
  <c r="R223" i="11"/>
  <c r="S223" i="11"/>
  <c r="N224" i="11"/>
  <c r="O224" i="11"/>
  <c r="P224" i="11"/>
  <c r="Q224" i="11"/>
  <c r="R224" i="11"/>
  <c r="S224" i="11"/>
  <c r="N225" i="11"/>
  <c r="O225" i="11"/>
  <c r="P225" i="11"/>
  <c r="Q225" i="11"/>
  <c r="R225" i="11"/>
  <c r="S225" i="11"/>
  <c r="N226" i="11"/>
  <c r="O226" i="11"/>
  <c r="P226" i="11"/>
  <c r="Q226" i="11"/>
  <c r="R226" i="11"/>
  <c r="S226" i="11"/>
  <c r="N227" i="11"/>
  <c r="O227" i="11"/>
  <c r="P227" i="11"/>
  <c r="Q227" i="11"/>
  <c r="R227" i="11"/>
  <c r="S227" i="11"/>
  <c r="N228" i="11"/>
  <c r="O228" i="11"/>
  <c r="P228" i="11"/>
  <c r="Q228" i="11"/>
  <c r="R228" i="11"/>
  <c r="S228" i="11"/>
  <c r="N229" i="11"/>
  <c r="O229" i="11"/>
  <c r="P229" i="11"/>
  <c r="Q229" i="11"/>
  <c r="R229" i="11"/>
  <c r="S229" i="11"/>
  <c r="N230" i="11"/>
  <c r="O230" i="11"/>
  <c r="P230" i="11"/>
  <c r="Q230" i="11"/>
  <c r="R230" i="11"/>
  <c r="S230" i="11"/>
  <c r="N231" i="11"/>
  <c r="O231" i="11"/>
  <c r="P231" i="11"/>
  <c r="Q231" i="11"/>
  <c r="R231" i="11"/>
  <c r="S231" i="11"/>
  <c r="N232" i="11"/>
  <c r="O232" i="11"/>
  <c r="P232" i="11"/>
  <c r="Q232" i="11"/>
  <c r="R232" i="11"/>
  <c r="S232" i="11"/>
  <c r="N233" i="11"/>
  <c r="O233" i="11"/>
  <c r="P233" i="11"/>
  <c r="Q233" i="11"/>
  <c r="R233" i="11"/>
  <c r="S233" i="11"/>
  <c r="N234" i="11"/>
  <c r="O234" i="11"/>
  <c r="P234" i="11"/>
  <c r="Q234" i="11"/>
  <c r="R234" i="11"/>
  <c r="S234" i="11"/>
  <c r="N235" i="11"/>
  <c r="O235" i="11"/>
  <c r="P235" i="11"/>
  <c r="Q235" i="11"/>
  <c r="R235" i="11"/>
  <c r="S235" i="11"/>
  <c r="N236" i="11"/>
  <c r="O236" i="11"/>
  <c r="P236" i="11"/>
  <c r="Q236" i="11"/>
  <c r="R236" i="11"/>
  <c r="S236" i="11"/>
  <c r="N237" i="11"/>
  <c r="O237" i="11"/>
  <c r="P237" i="11"/>
  <c r="Q237" i="11"/>
  <c r="R237" i="11"/>
  <c r="S237" i="11"/>
  <c r="N238" i="11"/>
  <c r="O238" i="11"/>
  <c r="P238" i="11"/>
  <c r="Q238" i="11"/>
  <c r="R238" i="11"/>
  <c r="S238" i="11"/>
  <c r="N239" i="11"/>
  <c r="O239" i="11"/>
  <c r="P239" i="11"/>
  <c r="Q239" i="11"/>
  <c r="R239" i="11"/>
  <c r="S239" i="11"/>
  <c r="N240" i="11"/>
  <c r="O240" i="11"/>
  <c r="P240" i="11"/>
  <c r="Q240" i="11"/>
  <c r="R240" i="11"/>
  <c r="S240" i="11"/>
  <c r="N241" i="11"/>
  <c r="O241" i="11"/>
  <c r="P241" i="11"/>
  <c r="Q241" i="11"/>
  <c r="R241" i="11"/>
  <c r="S241" i="11"/>
  <c r="N242" i="11"/>
  <c r="O242" i="11"/>
  <c r="P242" i="11"/>
  <c r="Q242" i="11"/>
  <c r="R242" i="11"/>
  <c r="S242" i="11"/>
  <c r="N243" i="11"/>
  <c r="O243" i="11"/>
  <c r="P243" i="11"/>
  <c r="Q243" i="11"/>
  <c r="R243" i="11"/>
  <c r="S243" i="11"/>
  <c r="N244" i="11"/>
  <c r="O244" i="11"/>
  <c r="P244" i="11"/>
  <c r="Q244" i="11"/>
  <c r="R244" i="11"/>
  <c r="S244" i="11"/>
  <c r="N245" i="11"/>
  <c r="O245" i="11"/>
  <c r="P245" i="11"/>
  <c r="Q245" i="11"/>
  <c r="R245" i="11"/>
  <c r="S245" i="11"/>
  <c r="N246" i="11"/>
  <c r="O246" i="11"/>
  <c r="P246" i="11"/>
  <c r="Q246" i="11"/>
  <c r="R246" i="11"/>
  <c r="S246" i="11"/>
  <c r="N247" i="11"/>
  <c r="O247" i="11"/>
  <c r="P247" i="11"/>
  <c r="Q247" i="11"/>
  <c r="R247" i="11"/>
  <c r="S247" i="11"/>
  <c r="N248" i="11"/>
  <c r="O248" i="11"/>
  <c r="P248" i="11"/>
  <c r="Q248" i="11"/>
  <c r="R248" i="11"/>
  <c r="S248" i="11"/>
  <c r="N249" i="11"/>
  <c r="O249" i="11"/>
  <c r="P249" i="11"/>
  <c r="Q249" i="11"/>
  <c r="R249" i="11"/>
  <c r="S249" i="11"/>
  <c r="N250" i="11"/>
  <c r="O250" i="11"/>
  <c r="P250" i="11"/>
  <c r="Q250" i="11"/>
  <c r="R250" i="11"/>
  <c r="S250" i="11"/>
  <c r="N251" i="11"/>
  <c r="O251" i="11"/>
  <c r="P251" i="11"/>
  <c r="Q251" i="11"/>
  <c r="R251" i="11"/>
  <c r="S251" i="11"/>
  <c r="N252" i="11"/>
  <c r="O252" i="11"/>
  <c r="P252" i="11"/>
  <c r="Q252" i="11"/>
  <c r="R252" i="11"/>
  <c r="S252" i="11"/>
  <c r="N253" i="11"/>
  <c r="O253" i="11"/>
  <c r="P253" i="11"/>
  <c r="Q253" i="11"/>
  <c r="R253" i="11"/>
  <c r="S253" i="11"/>
  <c r="N254" i="11"/>
  <c r="O254" i="11"/>
  <c r="P254" i="11"/>
  <c r="Q254" i="11"/>
  <c r="R254" i="11"/>
  <c r="S254" i="11"/>
  <c r="N255" i="11"/>
  <c r="O255" i="11"/>
  <c r="P255" i="11"/>
  <c r="Q255" i="11"/>
  <c r="R255" i="11"/>
  <c r="S255" i="11"/>
  <c r="N256" i="11"/>
  <c r="O256" i="11"/>
  <c r="P256" i="11"/>
  <c r="Q256" i="11"/>
  <c r="R256" i="11"/>
  <c r="S256" i="11"/>
  <c r="O5" i="11"/>
  <c r="P5" i="11"/>
  <c r="Q5" i="11"/>
  <c r="R5" i="11"/>
  <c r="S5" i="11"/>
  <c r="N5" i="11"/>
  <c r="I5" i="14"/>
  <c r="H5" i="14"/>
  <c r="G5" i="14"/>
  <c r="F5" i="14"/>
  <c r="E5" i="14"/>
  <c r="D5" i="14"/>
  <c r="C5" i="14"/>
  <c r="B5" i="14"/>
  <c r="I8" i="14" a="1"/>
  <c r="G16" i="12" a="1"/>
  <c r="G15" i="12" a="1"/>
  <c r="H8" i="14" a="1"/>
  <c r="G14" i="12" a="1"/>
  <c r="G8" i="14" a="1"/>
  <c r="G13" i="12" a="1"/>
  <c r="F8" i="14" a="1"/>
  <c r="G12" i="12" a="1"/>
  <c r="E8" i="14" a="1"/>
  <c r="D8" i="14" a="1"/>
  <c r="G11" i="12" a="1"/>
  <c r="C8" i="14" a="1"/>
  <c r="B8" i="14" a="1"/>
  <c r="AL175" i="8" l="1"/>
  <c r="AL167" i="8"/>
  <c r="AL29" i="8"/>
  <c r="AL21" i="8"/>
  <c r="AL13" i="8"/>
  <c r="AL164" i="8"/>
  <c r="AL115" i="8"/>
  <c r="AL91" i="8"/>
  <c r="AL83" i="8"/>
  <c r="AL75" i="8"/>
  <c r="AL67" i="8"/>
  <c r="AL59" i="8"/>
  <c r="AL51" i="8"/>
  <c r="AL43" i="8"/>
  <c r="AL35" i="8"/>
  <c r="AL26" i="8"/>
  <c r="AL18" i="8"/>
  <c r="AL96" i="8"/>
  <c r="AL88" i="8"/>
  <c r="AL80" i="8"/>
  <c r="AL72" i="8"/>
  <c r="AL64" i="8"/>
  <c r="AL56" i="8"/>
  <c r="AL48" i="8"/>
  <c r="AL40" i="8"/>
  <c r="AL32" i="8"/>
  <c r="AL198" i="8"/>
  <c r="AL190" i="8"/>
  <c r="AL182" i="8"/>
  <c r="AL223" i="8"/>
  <c r="AL119" i="8"/>
  <c r="AL12" i="8"/>
  <c r="AL247" i="8"/>
  <c r="AL215" i="8"/>
  <c r="AL87" i="8"/>
  <c r="AL235" i="8"/>
  <c r="AL203" i="8"/>
  <c r="AL179" i="8"/>
  <c r="AL155" i="8"/>
  <c r="AL131" i="8"/>
  <c r="AL107" i="8"/>
  <c r="AL11" i="8"/>
  <c r="AL239" i="8"/>
  <c r="AL251" i="8"/>
  <c r="AL219" i="8"/>
  <c r="AL195" i="8"/>
  <c r="AL171" i="8"/>
  <c r="AL139" i="8"/>
  <c r="AL99" i="8"/>
  <c r="AL10" i="8"/>
  <c r="AL231" i="8"/>
  <c r="AL157" i="8"/>
  <c r="AL243" i="8"/>
  <c r="AL227" i="8"/>
  <c r="AL211" i="8"/>
  <c r="AL187" i="8"/>
  <c r="AL147" i="8"/>
  <c r="AL123" i="8"/>
  <c r="AL5" i="8"/>
  <c r="AL249" i="8"/>
  <c r="AL241" i="8"/>
  <c r="AL233" i="8"/>
  <c r="AL225" i="8"/>
  <c r="AL217" i="8"/>
  <c r="AL161" i="8"/>
  <c r="AL255" i="8"/>
  <c r="AL207" i="8"/>
  <c r="AL256" i="8"/>
  <c r="AL248" i="8"/>
  <c r="AL240" i="8"/>
  <c r="AL232" i="8"/>
  <c r="AL224" i="8"/>
  <c r="AL216" i="8"/>
  <c r="AL208" i="8"/>
  <c r="AL200" i="8"/>
  <c r="AL192" i="8"/>
  <c r="AL184" i="8"/>
  <c r="AL176" i="8"/>
  <c r="AL168" i="8"/>
  <c r="AL160" i="8"/>
  <c r="AL144" i="8"/>
  <c r="AL136" i="8"/>
  <c r="AL120" i="8"/>
  <c r="AL112" i="8"/>
  <c r="AL104" i="8"/>
  <c r="AL24" i="8"/>
  <c r="I33" i="12"/>
  <c r="J33" i="12"/>
  <c r="H31" i="12"/>
  <c r="F29" i="12"/>
  <c r="J31" i="12"/>
  <c r="I8" i="14"/>
  <c r="I34" i="12"/>
  <c r="K31" i="12"/>
  <c r="H8" i="14"/>
  <c r="H33" i="12"/>
  <c r="K33" i="12"/>
  <c r="J34" i="12"/>
  <c r="J32" i="12"/>
  <c r="G33" i="12"/>
  <c r="G8" i="14"/>
  <c r="I32" i="12"/>
  <c r="F32" i="12"/>
  <c r="H32" i="12"/>
  <c r="K32" i="12"/>
  <c r="G32" i="12"/>
  <c r="F8" i="14"/>
  <c r="I31" i="12"/>
  <c r="H30" i="12"/>
  <c r="H34" i="12"/>
  <c r="F31" i="12"/>
  <c r="E8" i="14"/>
  <c r="G31" i="12"/>
  <c r="F30" i="12"/>
  <c r="G30" i="12"/>
  <c r="K30" i="12"/>
  <c r="G34" i="12"/>
  <c r="J30" i="12"/>
  <c r="G29" i="12"/>
  <c r="I30" i="12"/>
  <c r="D8" i="14"/>
  <c r="K29" i="12"/>
  <c r="J29" i="12"/>
  <c r="I29" i="12"/>
  <c r="F34" i="12"/>
  <c r="H29" i="12"/>
  <c r="F33" i="12"/>
  <c r="J28" i="12"/>
  <c r="E30" i="12"/>
  <c r="E28" i="12"/>
  <c r="C8" i="14"/>
  <c r="H28" i="12"/>
  <c r="G28" i="12"/>
  <c r="F28" i="12"/>
  <c r="I28" i="12"/>
  <c r="E29" i="12"/>
  <c r="E31" i="12"/>
  <c r="E33" i="12"/>
  <c r="E34" i="12"/>
  <c r="E32" i="12"/>
  <c r="K28" i="12"/>
  <c r="D31" i="12"/>
  <c r="D27" i="12"/>
  <c r="E27" i="12"/>
  <c r="G27" i="12"/>
  <c r="K27" i="12"/>
  <c r="B8" i="14"/>
  <c r="D32" i="12"/>
  <c r="F27" i="12"/>
  <c r="D33" i="12"/>
  <c r="D34" i="12"/>
  <c r="D28" i="12"/>
  <c r="J27" i="12"/>
  <c r="D29" i="12"/>
  <c r="I27" i="12"/>
  <c r="D30" i="12"/>
  <c r="H27" i="12"/>
  <c r="AL199" i="8"/>
  <c r="AL191" i="8"/>
  <c r="AL183" i="8"/>
  <c r="AL253" i="8"/>
  <c r="AL245" i="8"/>
  <c r="AL237" i="8"/>
  <c r="AL229" i="8"/>
  <c r="AL221" i="8"/>
  <c r="AL213" i="8"/>
  <c r="AL205" i="8"/>
  <c r="AL197" i="8"/>
  <c r="AL189" i="8"/>
  <c r="AL181" i="8"/>
  <c r="AL173" i="8"/>
  <c r="AL252" i="8"/>
  <c r="AL244" i="8"/>
  <c r="AL236" i="8"/>
  <c r="AL228" i="8"/>
  <c r="AL220" i="8"/>
  <c r="AL212" i="8"/>
  <c r="AL204" i="8"/>
  <c r="AL196" i="8"/>
  <c r="AL188" i="8"/>
  <c r="AL180" i="8"/>
  <c r="AL172" i="8"/>
  <c r="AL148" i="8"/>
  <c r="AL250" i="8"/>
  <c r="AL242" i="8"/>
  <c r="AL234" i="8"/>
  <c r="AL226" i="8"/>
  <c r="AL218" i="8"/>
  <c r="AL210" i="8"/>
  <c r="AL202" i="8"/>
  <c r="AL194" i="8"/>
  <c r="AL186" i="8"/>
  <c r="AL162" i="8"/>
  <c r="AL90" i="8"/>
  <c r="AL254" i="8"/>
  <c r="AL246" i="8"/>
  <c r="AL238" i="8"/>
  <c r="AL230" i="8"/>
  <c r="AL222" i="8"/>
  <c r="AL214" i="8"/>
  <c r="AL206" i="8"/>
  <c r="AL128" i="8"/>
  <c r="AL178" i="8"/>
  <c r="AL130" i="8"/>
  <c r="AL74" i="8"/>
  <c r="AL34" i="8"/>
  <c r="AL145" i="8"/>
  <c r="AL121" i="8"/>
  <c r="AL97" i="8"/>
  <c r="AL73" i="8"/>
  <c r="AL49" i="8"/>
  <c r="AL25" i="8"/>
  <c r="AL152" i="8"/>
  <c r="AL16" i="8"/>
  <c r="AL8" i="8"/>
  <c r="AL138" i="8"/>
  <c r="AL82" i="8"/>
  <c r="AL137" i="8"/>
  <c r="AL105" i="8"/>
  <c r="AL89" i="8"/>
  <c r="AL57" i="8"/>
  <c r="AL33" i="8"/>
  <c r="AL9" i="8"/>
  <c r="AL31" i="8"/>
  <c r="AL23" i="8"/>
  <c r="AL15" i="8"/>
  <c r="AL7" i="8"/>
  <c r="AL146" i="8"/>
  <c r="AL98" i="8"/>
  <c r="AL50" i="8"/>
  <c r="AL153" i="8"/>
  <c r="AL129" i="8"/>
  <c r="AL113" i="8"/>
  <c r="AL81" i="8"/>
  <c r="AL65" i="8"/>
  <c r="AL41" i="8"/>
  <c r="AL17" i="8"/>
  <c r="AL174" i="8"/>
  <c r="AL166" i="8"/>
  <c r="AL158" i="8"/>
  <c r="AL150" i="8"/>
  <c r="AL142" i="8"/>
  <c r="AL134" i="8"/>
  <c r="AL126" i="8"/>
  <c r="AL118" i="8"/>
  <c r="AL110" i="8"/>
  <c r="AL102" i="8"/>
  <c r="AL94" i="8"/>
  <c r="AL86" i="8"/>
  <c r="AL78" i="8"/>
  <c r="AL70" i="8"/>
  <c r="AL62" i="8"/>
  <c r="AL54" i="8"/>
  <c r="AL46" i="8"/>
  <c r="AL38" i="8"/>
  <c r="AL30" i="8"/>
  <c r="AL22" i="8"/>
  <c r="AL14" i="8"/>
  <c r="AL6" i="8"/>
  <c r="AL170" i="8"/>
  <c r="AL114" i="8"/>
  <c r="AL58" i="8"/>
  <c r="AL165" i="8"/>
  <c r="AL149" i="8"/>
  <c r="AL141" i="8"/>
  <c r="AL117" i="8"/>
  <c r="AL109" i="8"/>
  <c r="AL101" i="8"/>
  <c r="AL93" i="8"/>
  <c r="AL85" i="8"/>
  <c r="AL77" i="8"/>
  <c r="AL69" i="8"/>
  <c r="AL61" i="8"/>
  <c r="AL53" i="8"/>
  <c r="AL45" i="8"/>
  <c r="AL37" i="8"/>
  <c r="AL122" i="8"/>
  <c r="AL66" i="8"/>
  <c r="AL133" i="8"/>
  <c r="AL156" i="8"/>
  <c r="AL44" i="8"/>
  <c r="AL28" i="8"/>
  <c r="AL154" i="8"/>
  <c r="AL106" i="8"/>
  <c r="AL42" i="8"/>
  <c r="AL177" i="8"/>
  <c r="AL125" i="8"/>
  <c r="AL36" i="8"/>
  <c r="AL20" i="8"/>
  <c r="AL163" i="8"/>
  <c r="AL27" i="8"/>
  <c r="AL19" i="8"/>
  <c r="G16" i="12"/>
  <c r="H16" i="12" s="1"/>
  <c r="I16" i="12" s="1"/>
  <c r="G15" i="12"/>
  <c r="H15" i="12" s="1"/>
  <c r="I15" i="12" s="1"/>
  <c r="G14" i="12"/>
  <c r="H14" i="12" s="1"/>
  <c r="I14" i="12" s="1"/>
  <c r="G13" i="12"/>
  <c r="H13" i="12" s="1"/>
  <c r="I13" i="12" s="1"/>
  <c r="G12" i="12"/>
  <c r="H12" i="12" s="1"/>
  <c r="I12" i="12" s="1"/>
  <c r="G11" i="12"/>
  <c r="H11" i="12" s="1"/>
  <c r="I11" i="12" s="1"/>
  <c r="H10" i="12"/>
  <c r="I10" i="12" s="1"/>
  <c r="H9" i="12"/>
  <c r="I9" i="12" s="1"/>
  <c r="R7" i="14"/>
  <c r="AO7" i="8" l="1"/>
  <c r="AO8" i="8" s="1"/>
  <c r="S10" i="14"/>
  <c r="S9" i="14"/>
  <c r="E17" i="12"/>
  <c r="T259" i="11"/>
  <c r="H7" i="14" s="1"/>
  <c r="U259" i="11"/>
  <c r="I7" i="14" s="1"/>
  <c r="R259" i="11"/>
  <c r="F7" i="14" s="1"/>
  <c r="P259" i="11"/>
  <c r="D7" i="14" s="1"/>
  <c r="S259" i="11"/>
  <c r="G7" i="14" s="1"/>
  <c r="Q259" i="11"/>
  <c r="E7" i="14" s="1"/>
  <c r="O259" i="11"/>
  <c r="C7" i="14" s="1"/>
  <c r="N259" i="11"/>
  <c r="B7" i="14" s="1"/>
  <c r="F9" i="12" l="1"/>
  <c r="F11" i="12"/>
  <c r="F10" i="12"/>
  <c r="F12" i="12"/>
  <c r="F13" i="12"/>
  <c r="F14" i="12"/>
  <c r="F16" i="12"/>
  <c r="F15" i="12"/>
  <c r="U4" i="11"/>
  <c r="T4" i="11"/>
  <c r="S4" i="11"/>
  <c r="R4" i="11"/>
  <c r="Q4" i="11"/>
  <c r="P4" i="11"/>
  <c r="O4" i="11"/>
  <c r="N4" i="11"/>
  <c r="D257" i="11"/>
  <c r="C257" i="11"/>
  <c r="D256" i="11"/>
  <c r="C256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0" i="12" l="1" a="1"/>
  <c r="D20" i="12" s="1"/>
  <c r="D23" i="12" s="1"/>
  <c r="E23" i="12" s="1"/>
  <c r="AK1" i="8"/>
  <c r="AJ1" i="8"/>
  <c r="AE1" i="8"/>
  <c r="AF1" i="8"/>
  <c r="AG1" i="8"/>
  <c r="AH1" i="8"/>
  <c r="AI1" i="8"/>
  <c r="AD1" i="8"/>
  <c r="AL1" i="8" l="1"/>
  <c r="AP7" i="8" l="1"/>
  <c r="AP8" i="8"/>
  <c r="A256" i="8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A5" i="8" s="1"/>
  <c r="S4" i="8"/>
  <c r="AA4" i="8" s="1"/>
  <c r="AI4" i="8" s="1"/>
  <c r="R4" i="8"/>
  <c r="Z4" i="8" s="1"/>
  <c r="AH4" i="8" s="1"/>
  <c r="Q4" i="8"/>
  <c r="Y4" i="8" s="1"/>
  <c r="AG4" i="8" s="1"/>
  <c r="P4" i="8"/>
  <c r="X4" i="8" s="1"/>
  <c r="AF4" i="8" s="1"/>
  <c r="O4" i="8"/>
  <c r="W4" i="8" s="1"/>
  <c r="AE4" i="8" s="1"/>
  <c r="N4" i="8"/>
  <c r="V4" i="8" s="1"/>
  <c r="AD4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<sst xmlns="http://schemas.openxmlformats.org/spreadsheetml/2006/main" count="148" uniqueCount="59">
  <si>
    <t>PRECIOS</t>
  </si>
  <si>
    <t>RENDIMIENTOS DIARIOS</t>
  </si>
  <si>
    <t>Fecha</t>
  </si>
  <si>
    <t>Año</t>
  </si>
  <si>
    <t>Mes</t>
  </si>
  <si>
    <t>Títulos</t>
  </si>
  <si>
    <t>ID</t>
  </si>
  <si>
    <t>T.C.</t>
  </si>
  <si>
    <t>Monto</t>
  </si>
  <si>
    <t>%</t>
  </si>
  <si>
    <t>Volatilidad 
Anualizada</t>
  </si>
  <si>
    <t>AMZN (USD)</t>
  </si>
  <si>
    <t>PEÑOLES</t>
  </si>
  <si>
    <t>NAFTRAC</t>
  </si>
  <si>
    <t>AMZN</t>
  </si>
  <si>
    <t>SERIE DE PÉRDIDAS Y GANANCIAS</t>
  </si>
  <si>
    <t>TÍTULOS:</t>
  </si>
  <si>
    <t>PORTAFOLIO</t>
  </si>
  <si>
    <t>VaR Condicional:=</t>
  </si>
  <si>
    <t>LACOMER</t>
  </si>
  <si>
    <t>CEMEX</t>
  </si>
  <si>
    <t>VOLAR</t>
  </si>
  <si>
    <t>GAP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</si>
  <si>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</si>
  <si>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</si>
  <si>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</si>
  <si>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TESLA (USD)</t>
  </si>
  <si>
    <t>TESLA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</si>
  <si>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</si>
  <si>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</si>
  <si>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</si>
  <si>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</si>
  <si>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</si>
  <si>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</si>
  <si>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</si>
  <si>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</si>
  <si>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</si>
  <si>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</si>
  <si>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</si>
  <si>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</si>
  <si>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</si>
  <si>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TSLA</t>
  </si>
  <si>
    <t>Dinámica</t>
  </si>
  <si>
    <t>Media Rend</t>
  </si>
  <si>
    <t>Valor en Riesgo (VaR) por Simulaciones</t>
  </si>
  <si>
    <t>No. Simulaciones =</t>
  </si>
  <si>
    <t>Generación de Escenarios Aleatorios</t>
  </si>
  <si>
    <t>No. De Escenario</t>
  </si>
  <si>
    <t>PRECIOS SIMULADOS CON MODELO LOGNORMAL</t>
  </si>
  <si>
    <t>SERIES DE PÉRDIDAS Y GANANCIAS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</si>
  <si>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</si>
  <si>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</si>
  <si>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Valor del Portafolio =</t>
  </si>
  <si>
    <t>&lt;--- S</t>
  </si>
  <si>
    <r>
      <t>VaR</t>
    </r>
    <r>
      <rPr>
        <b/>
        <sz val="8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diario (Paramétrico)</t>
    </r>
  </si>
  <si>
    <r>
      <t>VaR = -F*S*</t>
    </r>
    <r>
      <rPr>
        <b/>
        <sz val="11"/>
        <color theme="1"/>
        <rFont val="Calibri"/>
        <family val="2"/>
      </rPr>
      <t>σ</t>
    </r>
    <r>
      <rPr>
        <b/>
        <sz val="12.85"/>
        <color theme="1"/>
        <rFont val="Calibri"/>
        <family val="2"/>
      </rPr>
      <t>*(t)</t>
    </r>
    <r>
      <rPr>
        <b/>
        <vertAlign val="superscript"/>
        <sz val="12.85"/>
        <color theme="1"/>
        <rFont val="Calibri"/>
        <family val="2"/>
      </rPr>
      <t>1/2</t>
    </r>
  </si>
  <si>
    <t>Precio Último
31/12/2024</t>
  </si>
  <si>
    <t>&lt;-- Precios deben de estar en pesos mexicanos</t>
  </si>
  <si>
    <t>&lt;-- Lo recomendable en la practica profesional es realizar 5,000 a 10,000 simualciones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</si>
</sst>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.85"/>
      <color theme="1"/>
      <name val="Calibri"/>
      <family val="2"/>
    </font>
    <font>
      <b/>
      <vertAlign val="superscript"/>
      <sz val="12.85"/>
      <color theme="1"/>
      <name val="Calibri"/>
      <family val="2"/>
    </font>
    <font>
      <sz val="11"/>
      <color rgb="FF000000"/>
      <name val="Calibri"/>
      <family val="2"/>
    </font>
    <font>
      <u val="singleAccounting"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14" fontId="19" fillId="0" borderId="0" xfId="0" applyNumberFormat="1" applyFont="1"/>
    <xf numFmtId="4" fontId="19" fillId="0" borderId="0" xfId="0" applyNumberFormat="1" applyFont="1"/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4" fontId="19" fillId="0" borderId="0" xfId="0" applyNumberFormat="1" applyFont="1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43" fontId="0" fillId="0" borderId="0" xfId="44" applyFont="1"/>
    <xf numFmtId="166" fontId="0" fillId="34" borderId="0" xfId="44" applyNumberFormat="1" applyFont="1" applyFill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4" fontId="0" fillId="37" borderId="0" xfId="43" applyNumberFormat="1" applyFont="1" applyFill="1" applyAlignment="1">
      <alignment horizontal="center"/>
    </xf>
    <xf numFmtId="0" fontId="17" fillId="38" borderId="10" xfId="0" applyFont="1" applyFill="1" applyBorder="1" applyAlignment="1">
      <alignment horizontal="left" indent="1"/>
    </xf>
    <xf numFmtId="165" fontId="17" fillId="35" borderId="17" xfId="45" applyNumberFormat="1" applyFont="1" applyFill="1" applyBorder="1"/>
    <xf numFmtId="165" fontId="17" fillId="0" borderId="0" xfId="0" applyNumberFormat="1" applyFont="1"/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0" fontId="17" fillId="38" borderId="10" xfId="0" applyFont="1" applyFill="1" applyBorder="1" applyAlignment="1">
      <alignment horizontal="center" vertical="center"/>
    </xf>
    <xf numFmtId="0" fontId="19" fillId="41" borderId="0" xfId="0" applyFont="1" applyFill="1" applyAlignment="1">
      <alignment horizontal="center"/>
    </xf>
    <xf numFmtId="166" fontId="28" fillId="0" borderId="0" xfId="44" applyNumberFormat="1" applyFont="1"/>
    <xf numFmtId="10" fontId="28" fillId="0" borderId="0" xfId="43" applyNumberFormat="1" applyFont="1" applyAlignment="1">
      <alignment horizontal="center"/>
    </xf>
    <xf numFmtId="10" fontId="15" fillId="35" borderId="0" xfId="43" applyNumberFormat="1" applyFont="1" applyFill="1" applyAlignment="1">
      <alignment horizontal="center"/>
    </xf>
    <xf numFmtId="44" fontId="0" fillId="37" borderId="0" xfId="0" applyNumberFormat="1" applyFill="1"/>
    <xf numFmtId="168" fontId="0" fillId="35" borderId="0" xfId="44" applyNumberFormat="1" applyFont="1" applyFill="1" applyAlignment="1">
      <alignment horizontal="center"/>
    </xf>
    <xf numFmtId="0" fontId="29" fillId="0" borderId="0" xfId="0" applyFont="1"/>
    <xf numFmtId="44" fontId="0" fillId="0" borderId="0" xfId="0" applyNumberFormat="1"/>
    <xf numFmtId="0" fontId="0" fillId="34" borderId="0" xfId="0" applyFill="1"/>
    <xf numFmtId="10" fontId="0" fillId="0" borderId="0" xfId="43" applyNumberFormat="1" applyFont="1" applyAlignment="1">
      <alignment horizontal="center"/>
    </xf>
    <xf numFmtId="166" fontId="19" fillId="0" borderId="0" xfId="44" applyNumberFormat="1" applyFont="1"/>
    <xf numFmtId="164" fontId="0" fillId="34" borderId="0" xfId="0" applyNumberFormat="1" applyFill="1" applyAlignment="1">
      <alignment horizontal="center"/>
    </xf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44" fontId="17" fillId="0" borderId="10" xfId="45" applyFont="1" applyBorder="1" applyAlignment="1">
      <alignment horizontal="center" vertical="center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10" fontId="17" fillId="0" borderId="10" xfId="43" applyNumberFormat="1" applyFont="1" applyBorder="1" applyAlignment="1">
      <alignment horizontal="center" vertical="center"/>
    </xf>
    <xf numFmtId="0" fontId="17" fillId="34" borderId="0" xfId="0" applyFont="1" applyFill="1" applyAlignment="1">
      <alignment horizontal="center"/>
    </xf>
    <xf numFmtId="0" fontId="14" fillId="43" borderId="18" xfId="0" applyFont="1" applyFill="1" applyBorder="1" applyAlignment="1">
      <alignment horizontal="center"/>
    </xf>
    <xf numFmtId="166" fontId="0" fillId="0" borderId="0" xfId="44" applyNumberFormat="1" applyFont="1"/>
    <xf numFmtId="10" fontId="19" fillId="0" borderId="0" xfId="43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17" fillId="39" borderId="14" xfId="0" applyFont="1" applyFill="1" applyBorder="1" applyAlignment="1">
      <alignment horizontal="center" wrapText="1"/>
    </xf>
    <xf numFmtId="0" fontId="17" fillId="41" borderId="12" xfId="0" applyFont="1" applyFill="1" applyBorder="1" applyAlignment="1">
      <alignment horizontal="center" wrapText="1"/>
    </xf>
    <xf numFmtId="0" fontId="17" fillId="41" borderId="13" xfId="0" applyFont="1" applyFill="1" applyBorder="1" applyAlignment="1">
      <alignment horizontal="center" wrapText="1"/>
    </xf>
    <xf numFmtId="0" fontId="17" fillId="41" borderId="14" xfId="0" applyFont="1" applyFill="1" applyBorder="1" applyAlignment="1">
      <alignment horizontal="center" wrapText="1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43" fontId="38" fillId="0" borderId="0" xfId="0" applyNumberFormat="1" applyFont="1"/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784860</xdr:colOff>
          <xdr:row>8</xdr:row>
          <xdr:rowOff>0</xdr:rowOff>
        </xdr:from>
        <xdr:to>
          <xdr:col>15</xdr:col>
          <xdr:colOff>746760</xdr:colOff>
          <xdr:row>10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por Simulaciones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3:X262"/>
  <sheetViews>
    <sheetView zoomScaleNormal="100" workbookViewId="0">
      <pane xSplit="4" ySplit="4" topLeftCell="E235" activePane="bottomRight" state="frozen"/>
      <selection pane="topRight" activeCell="D1" sqref="D1"/>
      <selection pane="bottomLeft" activeCell="A3" sqref="A3"/>
      <selection pane="bottomRight" activeCell="F5" sqref="F5:M257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5" width="10.6640625" customWidth="1"/>
    <col min="6" max="21" width="13.109375" customWidth="1"/>
    <col min="22" max="22" width="14.6640625" bestFit="1" customWidth="1"/>
    <col min="23" max="23" width="13.33203125" customWidth="1"/>
    <col min="24" max="31" width="10.6640625" customWidth="1"/>
  </cols>
  <sheetData>
    <row r="3" spans="1:24" x14ac:dyDescent="0.3">
      <c r="F3" s="84" t="s">
        <v>0</v>
      </c>
      <c r="G3" s="85"/>
      <c r="H3" s="85"/>
      <c r="I3" s="85"/>
      <c r="J3" s="85"/>
      <c r="K3" s="85"/>
      <c r="L3" s="85"/>
      <c r="M3" s="86"/>
      <c r="N3" s="87" t="s">
        <v>1</v>
      </c>
      <c r="O3" s="88"/>
      <c r="P3" s="88"/>
      <c r="Q3" s="88"/>
      <c r="R3" s="88"/>
      <c r="S3" s="88"/>
      <c r="T3" s="88"/>
      <c r="U3" s="89"/>
    </row>
    <row r="4" spans="1:24" x14ac:dyDescent="0.3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9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14</v>
      </c>
      <c r="M4" s="10" t="s">
        <v>41</v>
      </c>
      <c r="N4" s="4" t="str">
        <f>+F4</f>
        <v>NAFTRAC</v>
      </c>
      <c r="O4" s="4" t="str">
        <f t="shared" ref="O4:U4" si="0">+G4</f>
        <v>LACOMER</v>
      </c>
      <c r="P4" s="4" t="str">
        <f t="shared" si="0"/>
        <v>CEMEX</v>
      </c>
      <c r="Q4" s="4" t="str">
        <f t="shared" si="0"/>
        <v>PEÑOLES</v>
      </c>
      <c r="R4" s="4" t="str">
        <f t="shared" si="0"/>
        <v>VOLAR</v>
      </c>
      <c r="S4" s="4" t="str">
        <f t="shared" si="0"/>
        <v>GAP</v>
      </c>
      <c r="T4" s="4" t="str">
        <f t="shared" si="0"/>
        <v>AMZN</v>
      </c>
      <c r="U4" s="4" t="str">
        <f t="shared" si="0"/>
        <v>TSLA</v>
      </c>
    </row>
    <row r="5" spans="1:24" x14ac:dyDescent="0.3">
      <c r="A5" s="13">
        <f t="shared" ref="A5:A68" si="1">+A6-1</f>
        <v>1</v>
      </c>
      <c r="B5" s="5">
        <v>45657</v>
      </c>
      <c r="C5" s="8">
        <f t="shared" ref="C5:C68" si="2">+YEAR(B5)</f>
        <v>2024</v>
      </c>
      <c r="D5" s="8">
        <f t="shared" ref="D5:D68" si="3">+MONTH(B5)</f>
        <v>12</v>
      </c>
      <c r="E5" s="16">
        <v>20.819700000000001</v>
      </c>
      <c r="F5" s="6">
        <v>47.460735321044922</v>
      </c>
      <c r="G5" s="6">
        <v>32.366432189941413</v>
      </c>
      <c r="H5" s="6">
        <v>11.62109470367432</v>
      </c>
      <c r="I5" s="6">
        <v>265.39999389648438</v>
      </c>
      <c r="J5" s="6">
        <v>15.560000419616699</v>
      </c>
      <c r="K5" s="6">
        <v>487.20687866210938</v>
      </c>
      <c r="L5" s="6">
        <v>219.38999938964841</v>
      </c>
      <c r="M5" s="6">
        <v>403.83999633789063</v>
      </c>
      <c r="N5" s="12">
        <f>+F5/F6-1</f>
        <v>1.3077249912180955E-2</v>
      </c>
      <c r="O5" s="12">
        <f t="shared" ref="O5:S5" si="4">+G5/G6-1</f>
        <v>2.1712085975068129E-2</v>
      </c>
      <c r="P5" s="12">
        <f t="shared" si="4"/>
        <v>2.7193014251863712E-2</v>
      </c>
      <c r="Q5" s="12">
        <f t="shared" si="4"/>
        <v>3.0479543683091803E-2</v>
      </c>
      <c r="R5" s="12">
        <f t="shared" si="4"/>
        <v>5.1680154874740314E-3</v>
      </c>
      <c r="S5" s="12">
        <f t="shared" si="4"/>
        <v>0</v>
      </c>
      <c r="T5" s="12">
        <f>(L5*$E5)/(L6*$E6)-1</f>
        <v>1.457875968864375E-4</v>
      </c>
      <c r="U5" s="12">
        <f>(M5*$E5)/(M6*$E6)-1</f>
        <v>-2.3944800662487276E-2</v>
      </c>
    </row>
    <row r="6" spans="1:24" x14ac:dyDescent="0.3">
      <c r="A6" s="13">
        <f t="shared" si="1"/>
        <v>2</v>
      </c>
      <c r="B6" s="1">
        <v>45656</v>
      </c>
      <c r="C6" s="7">
        <f t="shared" si="2"/>
        <v>2024</v>
      </c>
      <c r="D6" s="7">
        <f t="shared" si="3"/>
        <v>12</v>
      </c>
      <c r="E6" s="77">
        <v>20.637</v>
      </c>
      <c r="F6" s="2">
        <v>46.848091125488281</v>
      </c>
      <c r="G6" s="2">
        <v>31.678623199462891</v>
      </c>
      <c r="H6" s="2">
        <v>11.31344795227051</v>
      </c>
      <c r="I6" s="2">
        <v>257.54998779296881</v>
      </c>
      <c r="J6" s="2">
        <v>15.47999954223633</v>
      </c>
      <c r="K6" s="2">
        <v>487.20687866210938</v>
      </c>
      <c r="L6" s="2">
        <v>221.30000305175781</v>
      </c>
      <c r="M6" s="2">
        <v>417.41000366210938</v>
      </c>
      <c r="N6" s="12">
        <f t="shared" ref="N6:N69" si="5">+F6/F7-1</f>
        <v>-6.9985041439256657E-3</v>
      </c>
      <c r="O6" s="12">
        <f t="shared" ref="O6:O69" si="6">+G6/G7-1</f>
        <v>-1.1952076047827775E-2</v>
      </c>
      <c r="P6" s="12">
        <f t="shared" ref="P6:P69" si="7">+H6/H7-1</f>
        <v>-6.9687081982143795E-3</v>
      </c>
      <c r="Q6" s="12">
        <f t="shared" ref="Q6:Q69" si="8">+I6/I7-1</f>
        <v>-5.5867224878375255E-2</v>
      </c>
      <c r="R6" s="12">
        <f t="shared" ref="R6:R69" si="9">+J6/J7-1</f>
        <v>-2.5773785017725315E-3</v>
      </c>
      <c r="S6" s="12">
        <f t="shared" ref="S6:S69" si="10">+K6/K7-1</f>
        <v>0</v>
      </c>
      <c r="T6" s="12">
        <f t="shared" ref="T6:T69" si="11">(L6*$E6)/(L7*$E7)-1</f>
        <v>4.8260176239893759E-3</v>
      </c>
      <c r="U6" s="12">
        <f t="shared" ref="U6:U69" si="12">(M6*$E6)/(M7*$E7)-1</f>
        <v>-1.758827127373308E-2</v>
      </c>
    </row>
    <row r="7" spans="1:24" x14ac:dyDescent="0.3">
      <c r="A7" s="13">
        <f t="shared" si="1"/>
        <v>3</v>
      </c>
      <c r="B7" s="1">
        <v>45653</v>
      </c>
      <c r="C7" s="7">
        <f t="shared" si="2"/>
        <v>2024</v>
      </c>
      <c r="D7" s="7">
        <f t="shared" si="3"/>
        <v>12</v>
      </c>
      <c r="E7" s="77">
        <v>20.312999999999999</v>
      </c>
      <c r="F7" s="2">
        <v>47.178268432617188</v>
      </c>
      <c r="G7" s="2">
        <v>32.06182861328125</v>
      </c>
      <c r="H7" s="2">
        <v>11.39284133911133</v>
      </c>
      <c r="I7" s="2">
        <v>272.79000854492188</v>
      </c>
      <c r="J7" s="2">
        <v>15.52000045776367</v>
      </c>
      <c r="K7" s="2">
        <v>487.20687866210938</v>
      </c>
      <c r="L7" s="2">
        <v>223.75</v>
      </c>
      <c r="M7" s="2">
        <v>431.66000366210938</v>
      </c>
      <c r="N7" s="12">
        <f t="shared" si="5"/>
        <v>-4.4160697993085307E-3</v>
      </c>
      <c r="O7" s="12">
        <f t="shared" si="6"/>
        <v>-3.9683339136238338E-3</v>
      </c>
      <c r="P7" s="12">
        <f t="shared" si="7"/>
        <v>2.620133661311197E-3</v>
      </c>
      <c r="Q7" s="12">
        <f t="shared" si="8"/>
        <v>-6.9603060209333378E-4</v>
      </c>
      <c r="R7" s="12">
        <f t="shared" si="9"/>
        <v>-4.4900381102690456E-3</v>
      </c>
      <c r="S7" s="12">
        <f t="shared" si="10"/>
        <v>0</v>
      </c>
      <c r="T7" s="12">
        <f t="shared" si="11"/>
        <v>-1.0784461280121338E-2</v>
      </c>
      <c r="U7" s="12">
        <f t="shared" si="12"/>
        <v>-4.5862399739333704E-2</v>
      </c>
    </row>
    <row r="8" spans="1:24" x14ac:dyDescent="0.3">
      <c r="A8" s="13">
        <f t="shared" si="1"/>
        <v>4</v>
      </c>
      <c r="B8" s="1">
        <v>45652</v>
      </c>
      <c r="C8" s="7">
        <f t="shared" si="2"/>
        <v>2024</v>
      </c>
      <c r="D8" s="7">
        <f t="shared" si="3"/>
        <v>12</v>
      </c>
      <c r="E8" s="77">
        <v>20.236000000000001</v>
      </c>
      <c r="F8" s="2">
        <v>47.387535095214837</v>
      </c>
      <c r="G8" s="2">
        <v>32.189567565917969</v>
      </c>
      <c r="H8" s="2">
        <v>11.36306858062744</v>
      </c>
      <c r="I8" s="2">
        <v>272.98001098632813</v>
      </c>
      <c r="J8" s="2">
        <v>15.590000152587891</v>
      </c>
      <c r="K8" s="2">
        <v>487.20687866210938</v>
      </c>
      <c r="L8" s="2">
        <v>227.05000305175781</v>
      </c>
      <c r="M8" s="2">
        <v>454.1300048828125</v>
      </c>
      <c r="N8" s="12">
        <f t="shared" si="5"/>
        <v>3.8282880873450331E-3</v>
      </c>
      <c r="O8" s="12">
        <f t="shared" si="6"/>
        <v>1.2224728550633834E-3</v>
      </c>
      <c r="P8" s="12">
        <f t="shared" si="7"/>
        <v>9.7001213669771769E-3</v>
      </c>
      <c r="Q8" s="12">
        <f t="shared" si="8"/>
        <v>-1.2087421284596722E-2</v>
      </c>
      <c r="R8" s="12">
        <f t="shared" si="9"/>
        <v>-3.8338317830587387E-3</v>
      </c>
      <c r="S8" s="12">
        <f t="shared" si="10"/>
        <v>0</v>
      </c>
      <c r="T8" s="12">
        <f t="shared" si="11"/>
        <v>-4.5009946598436601E-3</v>
      </c>
      <c r="U8" s="12">
        <f t="shared" si="12"/>
        <v>-1.3437249198626766E-2</v>
      </c>
    </row>
    <row r="9" spans="1:24" x14ac:dyDescent="0.3">
      <c r="A9" s="13">
        <f t="shared" si="1"/>
        <v>5</v>
      </c>
      <c r="B9" s="1">
        <v>45650</v>
      </c>
      <c r="C9" s="7">
        <f t="shared" si="2"/>
        <v>2024</v>
      </c>
      <c r="D9" s="7">
        <f t="shared" si="3"/>
        <v>12</v>
      </c>
      <c r="E9" s="77">
        <v>20.149999999999999</v>
      </c>
      <c r="F9" s="2">
        <v>47.206813812255859</v>
      </c>
      <c r="G9" s="2">
        <v>32.150264739990227</v>
      </c>
      <c r="H9" s="2">
        <v>11.253904342651371</v>
      </c>
      <c r="I9" s="2">
        <v>276.32000732421881</v>
      </c>
      <c r="J9" s="2">
        <v>15.64999961853027</v>
      </c>
      <c r="K9" s="2">
        <v>487.20687866210938</v>
      </c>
      <c r="L9" s="2">
        <v>229.05000305175781</v>
      </c>
      <c r="M9" s="2">
        <v>462.27999877929688</v>
      </c>
      <c r="N9" s="12">
        <f t="shared" si="5"/>
        <v>-3.0132806869913598E-3</v>
      </c>
      <c r="O9" s="12">
        <f t="shared" si="6"/>
        <v>-6.678754355210148E-3</v>
      </c>
      <c r="P9" s="12">
        <f t="shared" si="7"/>
        <v>1.3404804095193512E-2</v>
      </c>
      <c r="Q9" s="12">
        <f t="shared" si="8"/>
        <v>-7.1502649988562927E-3</v>
      </c>
      <c r="R9" s="12">
        <f t="shared" si="9"/>
        <v>-7.6094379042533911E-3</v>
      </c>
      <c r="S9" s="12">
        <f t="shared" si="10"/>
        <v>0</v>
      </c>
      <c r="T9" s="12">
        <f t="shared" si="11"/>
        <v>1.6825346250529893E-2</v>
      </c>
      <c r="U9" s="12">
        <f t="shared" si="12"/>
        <v>7.2618894728119887E-2</v>
      </c>
      <c r="V9" s="19"/>
      <c r="W9" s="29"/>
      <c r="X9" s="12"/>
    </row>
    <row r="10" spans="1:24" x14ac:dyDescent="0.3">
      <c r="A10" s="13">
        <f t="shared" si="1"/>
        <v>6</v>
      </c>
      <c r="B10" s="1">
        <v>45649</v>
      </c>
      <c r="C10" s="7">
        <f t="shared" si="2"/>
        <v>2024</v>
      </c>
      <c r="D10" s="7">
        <f t="shared" si="3"/>
        <v>12</v>
      </c>
      <c r="E10" s="77">
        <v>20.167899999999999</v>
      </c>
      <c r="F10" s="2">
        <v>47.349491119384773</v>
      </c>
      <c r="G10" s="2">
        <v>32.366432189941413</v>
      </c>
      <c r="H10" s="2">
        <v>11.105043411254879</v>
      </c>
      <c r="I10" s="2">
        <v>278.30999755859381</v>
      </c>
      <c r="J10" s="2">
        <v>15.77000045776367</v>
      </c>
      <c r="K10" s="2">
        <v>487.20687866210938</v>
      </c>
      <c r="L10" s="2">
        <v>225.05999755859381</v>
      </c>
      <c r="M10" s="2">
        <v>430.60000610351563</v>
      </c>
      <c r="N10" s="12">
        <f t="shared" si="5"/>
        <v>-3.4034338961105304E-3</v>
      </c>
      <c r="O10" s="12">
        <f t="shared" si="6"/>
        <v>-5.2631649467280939E-2</v>
      </c>
      <c r="P10" s="12">
        <f t="shared" si="7"/>
        <v>-1.0610096253355517E-2</v>
      </c>
      <c r="Q10" s="12">
        <f t="shared" si="8"/>
        <v>-6.780607238942471E-3</v>
      </c>
      <c r="R10" s="12">
        <f t="shared" si="9"/>
        <v>-1.0664938964543125E-2</v>
      </c>
      <c r="S10" s="12">
        <f t="shared" si="10"/>
        <v>0</v>
      </c>
      <c r="T10" s="12">
        <f t="shared" si="11"/>
        <v>6.4562029002546151E-3</v>
      </c>
      <c r="U10" s="12">
        <f t="shared" si="12"/>
        <v>2.8619351135855897E-2</v>
      </c>
      <c r="V10" s="19"/>
      <c r="W10" s="29"/>
      <c r="X10" s="12"/>
    </row>
    <row r="11" spans="1:24" x14ac:dyDescent="0.3">
      <c r="A11" s="13">
        <f t="shared" si="1"/>
        <v>7</v>
      </c>
      <c r="B11" s="1">
        <v>45646</v>
      </c>
      <c r="C11" s="7">
        <f t="shared" si="2"/>
        <v>2024</v>
      </c>
      <c r="D11" s="7">
        <f t="shared" si="3"/>
        <v>12</v>
      </c>
      <c r="E11" s="77">
        <v>20.050999999999998</v>
      </c>
      <c r="F11" s="2">
        <v>47.511192321777337</v>
      </c>
      <c r="G11" s="2">
        <v>34.164569854736328</v>
      </c>
      <c r="H11" s="2">
        <v>11.2241325378418</v>
      </c>
      <c r="I11" s="2">
        <v>280.20999145507813</v>
      </c>
      <c r="J11" s="2">
        <v>15.939999580383301</v>
      </c>
      <c r="K11" s="2">
        <v>487.20687866210938</v>
      </c>
      <c r="L11" s="2">
        <v>224.91999816894531</v>
      </c>
      <c r="M11" s="2">
        <v>421.05999755859381</v>
      </c>
      <c r="N11" s="12">
        <f t="shared" si="5"/>
        <v>3.0122320588013007E-3</v>
      </c>
      <c r="O11" s="12">
        <f t="shared" si="6"/>
        <v>3.1750742215791883E-2</v>
      </c>
      <c r="P11" s="12">
        <f t="shared" si="7"/>
        <v>1.7715388197505622E-3</v>
      </c>
      <c r="Q11" s="12">
        <f t="shared" si="8"/>
        <v>8.8568549237735272E-3</v>
      </c>
      <c r="R11" s="12">
        <f t="shared" si="9"/>
        <v>-2.5076501010428354E-2</v>
      </c>
      <c r="S11" s="12">
        <f t="shared" si="10"/>
        <v>-9.9187998957873669E-3</v>
      </c>
      <c r="T11" s="12">
        <f t="shared" si="11"/>
        <v>-4.5652431591116649E-3</v>
      </c>
      <c r="U11" s="12">
        <f t="shared" si="12"/>
        <v>-4.601363192927288E-2</v>
      </c>
      <c r="V11" s="21"/>
      <c r="W11" s="29"/>
      <c r="X11" s="12"/>
    </row>
    <row r="12" spans="1:24" x14ac:dyDescent="0.3">
      <c r="A12" s="13">
        <f t="shared" si="1"/>
        <v>8</v>
      </c>
      <c r="B12" s="1">
        <v>45645</v>
      </c>
      <c r="C12" s="7">
        <f t="shared" si="2"/>
        <v>2024</v>
      </c>
      <c r="D12" s="7">
        <f t="shared" si="3"/>
        <v>12</v>
      </c>
      <c r="E12" s="77">
        <v>20.29</v>
      </c>
      <c r="F12" s="2">
        <v>47.368507385253913</v>
      </c>
      <c r="G12" s="2">
        <v>33.113201141357422</v>
      </c>
      <c r="H12" s="2">
        <v>11.20428371429443</v>
      </c>
      <c r="I12" s="2">
        <v>277.75</v>
      </c>
      <c r="J12" s="2">
        <v>16.35000038146973</v>
      </c>
      <c r="K12" s="2">
        <v>492.08779907226563</v>
      </c>
      <c r="L12" s="2">
        <v>223.28999328613281</v>
      </c>
      <c r="M12" s="2">
        <v>436.17001342773438</v>
      </c>
      <c r="N12" s="12">
        <f t="shared" si="5"/>
        <v>-1.0727199403314902E-2</v>
      </c>
      <c r="O12" s="12">
        <f t="shared" si="6"/>
        <v>1.2924656232266685E-2</v>
      </c>
      <c r="P12" s="12">
        <f t="shared" si="7"/>
        <v>-5.2863521909277678E-3</v>
      </c>
      <c r="Q12" s="12">
        <f t="shared" si="8"/>
        <v>-5.369496521842565E-2</v>
      </c>
      <c r="R12" s="12">
        <f t="shared" si="9"/>
        <v>-1.0290561233855522E-2</v>
      </c>
      <c r="S12" s="12">
        <f t="shared" si="10"/>
        <v>0</v>
      </c>
      <c r="T12" s="12">
        <f t="shared" si="11"/>
        <v>9.5757305378481039E-3</v>
      </c>
      <c r="U12" s="12">
        <f t="shared" si="12"/>
        <v>-1.1919197397301295E-2</v>
      </c>
      <c r="V12" s="19"/>
      <c r="W12" s="29"/>
      <c r="X12" s="12"/>
    </row>
    <row r="13" spans="1:24" x14ac:dyDescent="0.3">
      <c r="A13" s="13">
        <f t="shared" si="1"/>
        <v>9</v>
      </c>
      <c r="B13" s="1">
        <v>45644</v>
      </c>
      <c r="C13" s="7">
        <f t="shared" si="2"/>
        <v>2024</v>
      </c>
      <c r="D13" s="7">
        <f t="shared" si="3"/>
        <v>12</v>
      </c>
      <c r="E13" s="77">
        <v>20.350000000000001</v>
      </c>
      <c r="F13" s="2">
        <v>47.882148742675781</v>
      </c>
      <c r="G13" s="2">
        <v>32.690685272216797</v>
      </c>
      <c r="H13" s="2">
        <v>11.263828277587891</v>
      </c>
      <c r="I13" s="2">
        <v>293.510009765625</v>
      </c>
      <c r="J13" s="2">
        <v>16.520000457763668</v>
      </c>
      <c r="K13" s="2">
        <v>492.08779907226563</v>
      </c>
      <c r="L13" s="2">
        <v>220.52000427246091</v>
      </c>
      <c r="M13" s="2">
        <v>440.1300048828125</v>
      </c>
      <c r="N13" s="12">
        <f t="shared" si="5"/>
        <v>-9.4449822131232875E-3</v>
      </c>
      <c r="O13" s="12">
        <f t="shared" si="6"/>
        <v>-2.3481120831985391E-2</v>
      </c>
      <c r="P13" s="12">
        <f t="shared" si="7"/>
        <v>8.8182151139393206E-4</v>
      </c>
      <c r="Q13" s="12">
        <f t="shared" si="8"/>
        <v>-2.5595881494698713E-2</v>
      </c>
      <c r="R13" s="12">
        <f t="shared" si="9"/>
        <v>-2.0746909547020187E-2</v>
      </c>
      <c r="S13" s="12">
        <f t="shared" si="10"/>
        <v>-2.3762409925833894E-2</v>
      </c>
      <c r="T13" s="12">
        <f t="shared" si="11"/>
        <v>-3.7330480528859344E-2</v>
      </c>
      <c r="U13" s="12">
        <f t="shared" si="12"/>
        <v>-7.4472013893826849E-2</v>
      </c>
      <c r="V13" s="19"/>
    </row>
    <row r="14" spans="1:24" x14ac:dyDescent="0.3">
      <c r="A14" s="13">
        <f t="shared" si="1"/>
        <v>10</v>
      </c>
      <c r="B14" s="1">
        <v>45643</v>
      </c>
      <c r="C14" s="7">
        <f t="shared" si="2"/>
        <v>2024</v>
      </c>
      <c r="D14" s="7">
        <f t="shared" si="3"/>
        <v>12</v>
      </c>
      <c r="E14" s="77">
        <v>20.167000000000002</v>
      </c>
      <c r="F14" s="2">
        <v>48.338706970214837</v>
      </c>
      <c r="G14" s="2">
        <v>33.476757049560547</v>
      </c>
      <c r="H14" s="2">
        <v>11.253904342651371</v>
      </c>
      <c r="I14" s="2">
        <v>301.22000122070313</v>
      </c>
      <c r="J14" s="2">
        <v>16.870000839233398</v>
      </c>
      <c r="K14" s="2">
        <v>504.06561279296881</v>
      </c>
      <c r="L14" s="2">
        <v>231.1499938964844</v>
      </c>
      <c r="M14" s="2">
        <v>479.8599853515625</v>
      </c>
      <c r="N14" s="12">
        <f t="shared" si="5"/>
        <v>-4.1151946422151031E-3</v>
      </c>
      <c r="O14" s="12">
        <f t="shared" si="6"/>
        <v>1.0679254631145385E-2</v>
      </c>
      <c r="P14" s="12">
        <f t="shared" si="7"/>
        <v>1.5219289604746278E-2</v>
      </c>
      <c r="Q14" s="12">
        <f t="shared" si="8"/>
        <v>-4.0639560861027602E-2</v>
      </c>
      <c r="R14" s="12">
        <f t="shared" si="9"/>
        <v>-3.5439731164115251E-3</v>
      </c>
      <c r="S14" s="12">
        <f t="shared" si="10"/>
        <v>-4.1412263953229944E-3</v>
      </c>
      <c r="T14" s="12">
        <f t="shared" si="11"/>
        <v>-5.4719322367638989E-3</v>
      </c>
      <c r="U14" s="12">
        <f t="shared" si="12"/>
        <v>3.8635989610335431E-2</v>
      </c>
      <c r="V14" s="21"/>
    </row>
    <row r="15" spans="1:24" x14ac:dyDescent="0.3">
      <c r="A15" s="13">
        <f t="shared" si="1"/>
        <v>11</v>
      </c>
      <c r="B15" s="1">
        <v>45642</v>
      </c>
      <c r="C15" s="7">
        <f t="shared" si="2"/>
        <v>2024</v>
      </c>
      <c r="D15" s="7">
        <f t="shared" si="3"/>
        <v>12</v>
      </c>
      <c r="E15" s="77">
        <v>20.123000000000001</v>
      </c>
      <c r="F15" s="2">
        <v>48.5384521484375</v>
      </c>
      <c r="G15" s="2">
        <v>33.123027801513672</v>
      </c>
      <c r="H15" s="2">
        <v>11.085195541381839</v>
      </c>
      <c r="I15" s="2">
        <v>313.98001098632813</v>
      </c>
      <c r="J15" s="2">
        <v>16.930000305175781</v>
      </c>
      <c r="K15" s="2">
        <v>506.1617431640625</v>
      </c>
      <c r="L15" s="2">
        <v>232.92999267578119</v>
      </c>
      <c r="M15" s="2">
        <v>463.01998901367188</v>
      </c>
      <c r="N15" s="12">
        <f t="shared" si="5"/>
        <v>-1.6194361408662927E-2</v>
      </c>
      <c r="O15" s="12">
        <f t="shared" si="6"/>
        <v>4.1704922006522427E-3</v>
      </c>
      <c r="P15" s="12">
        <f t="shared" si="7"/>
        <v>-9.751717840743912E-3</v>
      </c>
      <c r="Q15" s="12">
        <f t="shared" si="8"/>
        <v>-4.4782478472899179E-2</v>
      </c>
      <c r="R15" s="12">
        <f t="shared" si="9"/>
        <v>4.1518204205310827E-3</v>
      </c>
      <c r="S15" s="12">
        <f t="shared" si="10"/>
        <v>0</v>
      </c>
      <c r="T15" s="12">
        <f t="shared" si="11"/>
        <v>2.4119372037107567E-2</v>
      </c>
      <c r="U15" s="12">
        <f t="shared" si="12"/>
        <v>6.1486355547876625E-2</v>
      </c>
      <c r="V15" s="19"/>
    </row>
    <row r="16" spans="1:24" x14ac:dyDescent="0.3">
      <c r="A16" s="13">
        <f t="shared" si="1"/>
        <v>12</v>
      </c>
      <c r="B16" s="1">
        <v>45639</v>
      </c>
      <c r="C16" s="7">
        <f t="shared" si="2"/>
        <v>2024</v>
      </c>
      <c r="D16" s="7">
        <f t="shared" si="3"/>
        <v>12</v>
      </c>
      <c r="E16" s="77">
        <v>20.121600000000001</v>
      </c>
      <c r="F16" s="2">
        <v>49.337440490722663</v>
      </c>
      <c r="G16" s="2">
        <v>32.985462188720703</v>
      </c>
      <c r="H16" s="2">
        <v>11.19435977935791</v>
      </c>
      <c r="I16" s="2">
        <v>328.70001220703119</v>
      </c>
      <c r="J16" s="2">
        <v>16.860000610351559</v>
      </c>
      <c r="K16" s="2">
        <v>506.1617431640625</v>
      </c>
      <c r="L16" s="2">
        <v>227.46000671386719</v>
      </c>
      <c r="M16" s="2">
        <v>436.23001098632813</v>
      </c>
      <c r="N16" s="12">
        <f t="shared" si="5"/>
        <v>7.5756424899415808E-3</v>
      </c>
      <c r="O16" s="12">
        <f t="shared" si="6"/>
        <v>-1.6119725858841583E-2</v>
      </c>
      <c r="P16" s="12">
        <f t="shared" si="7"/>
        <v>1.438845439267511E-2</v>
      </c>
      <c r="Q16" s="12">
        <f t="shared" si="8"/>
        <v>-2.0268219949236332E-2</v>
      </c>
      <c r="R16" s="12">
        <f t="shared" si="9"/>
        <v>-1.8626291568098363E-2</v>
      </c>
      <c r="S16" s="12">
        <f t="shared" si="10"/>
        <v>0</v>
      </c>
      <c r="T16" s="12">
        <f t="shared" si="11"/>
        <v>-1.1590300882510896E-2</v>
      </c>
      <c r="U16" s="12">
        <f t="shared" si="12"/>
        <v>2.7571748758142611E-2</v>
      </c>
      <c r="V16" s="21"/>
    </row>
    <row r="17" spans="1:22" x14ac:dyDescent="0.3">
      <c r="A17" s="13">
        <f t="shared" si="1"/>
        <v>13</v>
      </c>
      <c r="B17" s="1">
        <v>45637</v>
      </c>
      <c r="C17" s="7">
        <f t="shared" si="2"/>
        <v>2024</v>
      </c>
      <c r="D17" s="7">
        <f t="shared" si="3"/>
        <v>12</v>
      </c>
      <c r="E17" s="77">
        <v>20.11</v>
      </c>
      <c r="F17" s="2">
        <v>48.966487884521477</v>
      </c>
      <c r="G17" s="2">
        <v>33.525890350341797</v>
      </c>
      <c r="H17" s="2">
        <v>11.035574913024901</v>
      </c>
      <c r="I17" s="2">
        <v>335.5</v>
      </c>
      <c r="J17" s="2">
        <v>17.180000305175781</v>
      </c>
      <c r="K17" s="2">
        <v>506.1617431640625</v>
      </c>
      <c r="L17" s="2">
        <v>230.25999450683591</v>
      </c>
      <c r="M17" s="2">
        <v>424.76998901367188</v>
      </c>
      <c r="N17" s="12">
        <f t="shared" si="5"/>
        <v>-2.5187501690151493E-3</v>
      </c>
      <c r="O17" s="12">
        <f t="shared" si="6"/>
        <v>1.4676840026204285E-3</v>
      </c>
      <c r="P17" s="12">
        <f t="shared" si="7"/>
        <v>-3.4722221642934037E-2</v>
      </c>
      <c r="Q17" s="12">
        <f t="shared" si="8"/>
        <v>7.7798693622896931E-3</v>
      </c>
      <c r="R17" s="12">
        <f t="shared" si="9"/>
        <v>1.2971770788863912E-2</v>
      </c>
      <c r="S17" s="12">
        <f t="shared" si="10"/>
        <v>-2.2928725241862735E-2</v>
      </c>
      <c r="T17" s="12">
        <f t="shared" si="11"/>
        <v>2.1316781414899344E-2</v>
      </c>
      <c r="U17" s="12">
        <f t="shared" si="12"/>
        <v>5.7357810736492709E-2</v>
      </c>
      <c r="V17" s="21"/>
    </row>
    <row r="18" spans="1:22" x14ac:dyDescent="0.3">
      <c r="A18" s="13">
        <f t="shared" si="1"/>
        <v>14</v>
      </c>
      <c r="B18" s="1">
        <v>45636</v>
      </c>
      <c r="C18" s="7">
        <f t="shared" si="2"/>
        <v>2024</v>
      </c>
      <c r="D18" s="7">
        <f t="shared" si="3"/>
        <v>12</v>
      </c>
      <c r="E18" s="77">
        <v>20.146999999999998</v>
      </c>
      <c r="F18" s="2">
        <v>49.090133666992188</v>
      </c>
      <c r="G18" s="2">
        <v>33.476757049560547</v>
      </c>
      <c r="H18" s="2">
        <v>11.43253803253174</v>
      </c>
      <c r="I18" s="2">
        <v>332.91000366210938</v>
      </c>
      <c r="J18" s="2">
        <v>16.95999908447266</v>
      </c>
      <c r="K18" s="2">
        <v>518.03973388671875</v>
      </c>
      <c r="L18" s="2">
        <v>225.03999328613281</v>
      </c>
      <c r="M18" s="2">
        <v>400.989990234375</v>
      </c>
      <c r="N18" s="12">
        <f t="shared" si="5"/>
        <v>-1.4888493800320313E-2</v>
      </c>
      <c r="O18" s="12">
        <f t="shared" si="6"/>
        <v>-1.4655330631883068E-3</v>
      </c>
      <c r="P18" s="12">
        <f t="shared" si="7"/>
        <v>-2.7848183592161235E-2</v>
      </c>
      <c r="Q18" s="12">
        <f t="shared" si="8"/>
        <v>-3.2335896399402486E-3</v>
      </c>
      <c r="R18" s="12">
        <f t="shared" si="9"/>
        <v>2.9567851869733985E-3</v>
      </c>
      <c r="S18" s="12">
        <f t="shared" si="10"/>
        <v>0</v>
      </c>
      <c r="T18" s="12">
        <f t="shared" si="11"/>
        <v>-8.4338573587772192E-3</v>
      </c>
      <c r="U18" s="12">
        <f t="shared" si="12"/>
        <v>2.4816617133801788E-2</v>
      </c>
    </row>
    <row r="19" spans="1:22" x14ac:dyDescent="0.3">
      <c r="A19" s="13">
        <f t="shared" si="1"/>
        <v>15</v>
      </c>
      <c r="B19" s="1">
        <v>45635</v>
      </c>
      <c r="C19" s="7">
        <f t="shared" si="2"/>
        <v>2024</v>
      </c>
      <c r="D19" s="7">
        <f t="shared" si="3"/>
        <v>12</v>
      </c>
      <c r="E19" s="77">
        <v>20.224</v>
      </c>
      <c r="F19" s="2">
        <v>49.832057952880859</v>
      </c>
      <c r="G19" s="2">
        <v>33.525890350341797</v>
      </c>
      <c r="H19" s="2">
        <v>11.76003360748291</v>
      </c>
      <c r="I19" s="2">
        <v>333.989990234375</v>
      </c>
      <c r="J19" s="2">
        <v>16.909999847412109</v>
      </c>
      <c r="K19" s="2">
        <v>518.03973388671875</v>
      </c>
      <c r="L19" s="2">
        <v>226.0899963378906</v>
      </c>
      <c r="M19" s="2">
        <v>389.79000854492188</v>
      </c>
      <c r="N19" s="12">
        <f t="shared" si="5"/>
        <v>1.9459132785368149E-2</v>
      </c>
      <c r="O19" s="12">
        <f t="shared" si="6"/>
        <v>1.8507549793942868E-2</v>
      </c>
      <c r="P19" s="12">
        <f t="shared" si="7"/>
        <v>8.5106786681889979E-3</v>
      </c>
      <c r="Q19" s="12">
        <f t="shared" si="8"/>
        <v>7.7595623680474901E-2</v>
      </c>
      <c r="R19" s="12">
        <f t="shared" si="9"/>
        <v>-8.7924749839365379E-3</v>
      </c>
      <c r="S19" s="12">
        <f t="shared" si="10"/>
        <v>-1.9232311506296451E-3</v>
      </c>
      <c r="T19" s="12">
        <f t="shared" si="11"/>
        <v>-2.3151588580391236E-3</v>
      </c>
      <c r="U19" s="12">
        <f t="shared" si="12"/>
        <v>3.3000331450607767E-3</v>
      </c>
    </row>
    <row r="20" spans="1:22" x14ac:dyDescent="0.3">
      <c r="A20" s="13">
        <f t="shared" si="1"/>
        <v>16</v>
      </c>
      <c r="B20" s="1">
        <v>45632</v>
      </c>
      <c r="C20" s="7">
        <f t="shared" si="2"/>
        <v>2024</v>
      </c>
      <c r="D20" s="7">
        <f t="shared" si="3"/>
        <v>12</v>
      </c>
      <c r="E20" s="77">
        <v>20.187000000000001</v>
      </c>
      <c r="F20" s="2">
        <v>48.880878448486328</v>
      </c>
      <c r="G20" s="2">
        <v>32.916683197021477</v>
      </c>
      <c r="H20" s="2">
        <v>11.660792350769039</v>
      </c>
      <c r="I20" s="2">
        <v>309.94000244140619</v>
      </c>
      <c r="J20" s="2">
        <v>17.059999465942379</v>
      </c>
      <c r="K20" s="2">
        <v>519.0379638671875</v>
      </c>
      <c r="L20" s="2">
        <v>227.0299987792969</v>
      </c>
      <c r="M20" s="2">
        <v>389.22000122070313</v>
      </c>
      <c r="N20" s="12">
        <f t="shared" si="5"/>
        <v>-8.4893141902826486E-3</v>
      </c>
      <c r="O20" s="12">
        <f t="shared" si="6"/>
        <v>-1.1799435704058281E-2</v>
      </c>
      <c r="P20" s="12">
        <f t="shared" si="7"/>
        <v>-4.2372270569793757E-3</v>
      </c>
      <c r="Q20" s="12">
        <f t="shared" si="8"/>
        <v>-5.135796557843908E-3</v>
      </c>
      <c r="R20" s="12">
        <f t="shared" si="9"/>
        <v>1.173623787591227E-3</v>
      </c>
      <c r="S20" s="12">
        <f t="shared" si="10"/>
        <v>-1.5151343189481192E-2</v>
      </c>
      <c r="T20" s="12">
        <f t="shared" si="11"/>
        <v>2.9738142692144809E-2</v>
      </c>
      <c r="U20" s="12">
        <f t="shared" si="12"/>
        <v>5.3763358696440333E-2</v>
      </c>
    </row>
    <row r="21" spans="1:22" x14ac:dyDescent="0.3">
      <c r="A21" s="13">
        <f t="shared" si="1"/>
        <v>17</v>
      </c>
      <c r="B21" s="1">
        <v>45631</v>
      </c>
      <c r="C21" s="7">
        <f t="shared" si="2"/>
        <v>2024</v>
      </c>
      <c r="D21" s="7">
        <f t="shared" si="3"/>
        <v>12</v>
      </c>
      <c r="E21" s="77">
        <v>20.18</v>
      </c>
      <c r="F21" s="2">
        <v>49.299396514892578</v>
      </c>
      <c r="G21" s="2">
        <v>33.309719085693359</v>
      </c>
      <c r="H21" s="2">
        <v>11.71041202545166</v>
      </c>
      <c r="I21" s="2">
        <v>311.54000854492188</v>
      </c>
      <c r="J21" s="2">
        <v>17.04000091552734</v>
      </c>
      <c r="K21" s="2">
        <v>527.0230712890625</v>
      </c>
      <c r="L21" s="2">
        <v>220.55000305175781</v>
      </c>
      <c r="M21" s="2">
        <v>369.489990234375</v>
      </c>
      <c r="N21" s="12">
        <f t="shared" si="5"/>
        <v>1.0528431934770932E-2</v>
      </c>
      <c r="O21" s="12">
        <f t="shared" si="6"/>
        <v>2.9769276871292272E-2</v>
      </c>
      <c r="P21" s="12">
        <f t="shared" si="7"/>
        <v>5.1107407656005854E-3</v>
      </c>
      <c r="Q21" s="12">
        <f t="shared" si="8"/>
        <v>2.5646118666409423E-2</v>
      </c>
      <c r="R21" s="12">
        <f t="shared" si="9"/>
        <v>2.9607353538091186E-2</v>
      </c>
      <c r="S21" s="12">
        <f t="shared" si="10"/>
        <v>1.5384438090771724E-2</v>
      </c>
      <c r="T21" s="12">
        <f t="shared" si="11"/>
        <v>6.1191069134129972E-3</v>
      </c>
      <c r="U21" s="12">
        <f t="shared" si="12"/>
        <v>2.7358566808104445E-2</v>
      </c>
    </row>
    <row r="22" spans="1:22" x14ac:dyDescent="0.3">
      <c r="A22" s="13">
        <f t="shared" si="1"/>
        <v>18</v>
      </c>
      <c r="B22" s="1">
        <v>45630</v>
      </c>
      <c r="C22" s="7">
        <f t="shared" si="2"/>
        <v>2024</v>
      </c>
      <c r="D22" s="7">
        <f t="shared" si="3"/>
        <v>12</v>
      </c>
      <c r="E22" s="77">
        <v>20.277000000000001</v>
      </c>
      <c r="F22" s="2">
        <v>48.785758972167969</v>
      </c>
      <c r="G22" s="2">
        <v>32.346778869628913</v>
      </c>
      <c r="H22" s="2">
        <v>11.6508674621582</v>
      </c>
      <c r="I22" s="2">
        <v>303.75</v>
      </c>
      <c r="J22" s="2">
        <v>16.54999923706055</v>
      </c>
      <c r="K22" s="2">
        <v>519.0379638671875</v>
      </c>
      <c r="L22" s="2">
        <v>218.1600036621094</v>
      </c>
      <c r="M22" s="2">
        <v>357.92999267578119</v>
      </c>
      <c r="N22" s="12">
        <f t="shared" si="5"/>
        <v>7.0685157172183377E-3</v>
      </c>
      <c r="O22" s="12">
        <f t="shared" si="6"/>
        <v>9.8159016773551322E-3</v>
      </c>
      <c r="P22" s="12">
        <f t="shared" si="7"/>
        <v>6.8610469250969253E-3</v>
      </c>
      <c r="Q22" s="12">
        <f t="shared" si="8"/>
        <v>7.2622445255878798E-3</v>
      </c>
      <c r="R22" s="12">
        <f t="shared" si="9"/>
        <v>3.8268486369845922E-2</v>
      </c>
      <c r="S22" s="12">
        <f t="shared" si="10"/>
        <v>1.1279971231043184E-2</v>
      </c>
      <c r="T22" s="12">
        <f t="shared" si="11"/>
        <v>2.0955888356036345E-2</v>
      </c>
      <c r="U22" s="12">
        <f t="shared" si="12"/>
        <v>1.7370788714054175E-2</v>
      </c>
    </row>
    <row r="23" spans="1:22" x14ac:dyDescent="0.3">
      <c r="A23" s="13">
        <f t="shared" si="1"/>
        <v>19</v>
      </c>
      <c r="B23" s="1">
        <v>45629</v>
      </c>
      <c r="C23" s="7">
        <f t="shared" si="2"/>
        <v>2024</v>
      </c>
      <c r="D23" s="7">
        <f t="shared" si="3"/>
        <v>12</v>
      </c>
      <c r="E23" s="77">
        <v>20.3</v>
      </c>
      <c r="F23" s="2">
        <v>48.443336486816413</v>
      </c>
      <c r="G23" s="2">
        <v>32.032352447509773</v>
      </c>
      <c r="H23" s="2">
        <v>11.571475028991699</v>
      </c>
      <c r="I23" s="2">
        <v>301.55999755859381</v>
      </c>
      <c r="J23" s="2">
        <v>15.939999580383301</v>
      </c>
      <c r="K23" s="2">
        <v>513.24853515625</v>
      </c>
      <c r="L23" s="2">
        <v>213.44000244140619</v>
      </c>
      <c r="M23" s="2">
        <v>351.42001342773438</v>
      </c>
      <c r="N23" s="12">
        <f t="shared" si="5"/>
        <v>8.7146204852361908E-3</v>
      </c>
      <c r="O23" s="12">
        <f t="shared" si="6"/>
        <v>-6.7032918026858068E-3</v>
      </c>
      <c r="P23" s="12">
        <f t="shared" si="7"/>
        <v>0</v>
      </c>
      <c r="Q23" s="12">
        <f t="shared" si="8"/>
        <v>5.2335323688372792E-3</v>
      </c>
      <c r="R23" s="12">
        <f t="shared" si="9"/>
        <v>1.6581586106328094E-2</v>
      </c>
      <c r="S23" s="12">
        <f t="shared" si="10"/>
        <v>-2.981141057240233E-2</v>
      </c>
      <c r="T23" s="12">
        <f t="shared" si="11"/>
        <v>9.1284464399683518E-3</v>
      </c>
      <c r="U23" s="12">
        <f t="shared" si="12"/>
        <v>-1.9597072026787399E-2</v>
      </c>
    </row>
    <row r="24" spans="1:22" x14ac:dyDescent="0.3">
      <c r="A24" s="13">
        <f t="shared" si="1"/>
        <v>20</v>
      </c>
      <c r="B24" s="1">
        <v>45628</v>
      </c>
      <c r="C24" s="7">
        <f t="shared" si="2"/>
        <v>2024</v>
      </c>
      <c r="D24" s="7">
        <f t="shared" si="3"/>
        <v>12</v>
      </c>
      <c r="E24" s="77">
        <v>20.376999999999999</v>
      </c>
      <c r="F24" s="2">
        <v>48.024818420410163</v>
      </c>
      <c r="G24" s="2">
        <v>32.248523712158203</v>
      </c>
      <c r="H24" s="2">
        <v>11.571475028991699</v>
      </c>
      <c r="I24" s="2">
        <v>299.989990234375</v>
      </c>
      <c r="J24" s="2">
        <v>15.680000305175779</v>
      </c>
      <c r="K24" s="2">
        <v>529.01934814453125</v>
      </c>
      <c r="L24" s="2">
        <v>210.71000671386719</v>
      </c>
      <c r="M24" s="2">
        <v>357.08999633789063</v>
      </c>
      <c r="N24" s="12">
        <f t="shared" si="5"/>
        <v>6.9804004879803205E-3</v>
      </c>
      <c r="O24" s="12">
        <f t="shared" si="6"/>
        <v>3.0562414637214097E-3</v>
      </c>
      <c r="P24" s="12">
        <f t="shared" si="7"/>
        <v>5.4249547449075397E-2</v>
      </c>
      <c r="Q24" s="12">
        <f t="shared" si="8"/>
        <v>1.8710876944047383E-2</v>
      </c>
      <c r="R24" s="12">
        <f t="shared" si="9"/>
        <v>1.0309268214748757E-2</v>
      </c>
      <c r="S24" s="12">
        <f t="shared" si="10"/>
        <v>6.854834931654441E-2</v>
      </c>
      <c r="T24" s="12">
        <f t="shared" si="11"/>
        <v>1.4361376843561313E-2</v>
      </c>
      <c r="U24" s="12">
        <f t="shared" si="12"/>
        <v>3.5376635723219474E-2</v>
      </c>
    </row>
    <row r="25" spans="1:22" x14ac:dyDescent="0.3">
      <c r="A25" s="13">
        <f t="shared" si="1"/>
        <v>21</v>
      </c>
      <c r="B25" s="1">
        <v>45625</v>
      </c>
      <c r="C25" s="7">
        <f t="shared" si="2"/>
        <v>2024</v>
      </c>
      <c r="D25" s="7">
        <f t="shared" si="3"/>
        <v>11</v>
      </c>
      <c r="E25" s="77">
        <v>20.361000000000001</v>
      </c>
      <c r="F25" s="2">
        <v>47.691909790039063</v>
      </c>
      <c r="G25" s="2">
        <v>32.150264739990227</v>
      </c>
      <c r="H25" s="2">
        <v>10.976030349731451</v>
      </c>
      <c r="I25" s="2">
        <v>294.48001098632813</v>
      </c>
      <c r="J25" s="2">
        <v>15.52000045776367</v>
      </c>
      <c r="K25" s="2">
        <v>495.082275390625</v>
      </c>
      <c r="L25" s="2">
        <v>207.88999938964841</v>
      </c>
      <c r="M25" s="2">
        <v>345.16000366210938</v>
      </c>
      <c r="N25" s="12">
        <f t="shared" si="5"/>
        <v>2.7869479142486053E-3</v>
      </c>
      <c r="O25" s="12">
        <f t="shared" si="6"/>
        <v>-1.83041205648804E-3</v>
      </c>
      <c r="P25" s="12">
        <f t="shared" si="7"/>
        <v>-1.0733469508020566E-2</v>
      </c>
      <c r="Q25" s="12">
        <f t="shared" si="8"/>
        <v>4.203823293075537E-2</v>
      </c>
      <c r="R25" s="12">
        <f t="shared" si="9"/>
        <v>-2.1437528768825431E-2</v>
      </c>
      <c r="S25" s="12">
        <f t="shared" si="10"/>
        <v>0</v>
      </c>
      <c r="T25" s="12">
        <f t="shared" si="11"/>
        <v>8.0241804353986534E-3</v>
      </c>
      <c r="U25" s="12">
        <f t="shared" si="12"/>
        <v>3.4369713479917241E-2</v>
      </c>
    </row>
    <row r="26" spans="1:22" x14ac:dyDescent="0.3">
      <c r="A26" s="13">
        <f t="shared" si="1"/>
        <v>22</v>
      </c>
      <c r="B26" s="1">
        <v>45624</v>
      </c>
      <c r="C26" s="7">
        <f t="shared" si="2"/>
        <v>2024</v>
      </c>
      <c r="D26" s="7">
        <f t="shared" si="3"/>
        <v>11</v>
      </c>
      <c r="E26" s="77">
        <v>20.41</v>
      </c>
      <c r="F26" s="2">
        <v>47.559364318847663</v>
      </c>
      <c r="G26" s="2">
        <v>32.209220886230469</v>
      </c>
      <c r="H26" s="2">
        <v>11.095119476318359</v>
      </c>
      <c r="I26" s="2">
        <v>282.60000610351563</v>
      </c>
      <c r="J26" s="2">
        <v>15.85999965667725</v>
      </c>
      <c r="K26" s="2">
        <v>495.082275390625</v>
      </c>
      <c r="L26" s="2">
        <v>205.74000549316409</v>
      </c>
      <c r="M26" s="2">
        <v>332.8900146484375</v>
      </c>
      <c r="N26" s="12">
        <f t="shared" si="5"/>
        <v>3.1973823564297454E-3</v>
      </c>
      <c r="O26" s="12">
        <f t="shared" si="6"/>
        <v>1.235339245144873E-2</v>
      </c>
      <c r="P26" s="12">
        <f t="shared" si="7"/>
        <v>-3.5650110914117183E-3</v>
      </c>
      <c r="Q26" s="12">
        <f t="shared" si="8"/>
        <v>1.3957212757707893E-2</v>
      </c>
      <c r="R26" s="12">
        <f t="shared" si="9"/>
        <v>4.4331662440362241E-3</v>
      </c>
      <c r="S26" s="12">
        <f t="shared" si="10"/>
        <v>-7.9999706488170785E-3</v>
      </c>
      <c r="T26" s="12">
        <f t="shared" si="11"/>
        <v>-1.8375346504983625E-2</v>
      </c>
      <c r="U26" s="12">
        <f t="shared" si="12"/>
        <v>-2.3918092451648332E-2</v>
      </c>
    </row>
    <row r="27" spans="1:22" x14ac:dyDescent="0.3">
      <c r="A27" s="13">
        <f t="shared" si="1"/>
        <v>23</v>
      </c>
      <c r="B27" s="1">
        <v>45623</v>
      </c>
      <c r="C27" s="7">
        <f t="shared" si="2"/>
        <v>2024</v>
      </c>
      <c r="D27" s="7">
        <f t="shared" si="3"/>
        <v>11</v>
      </c>
      <c r="E27" s="77">
        <v>20.58</v>
      </c>
      <c r="F27" s="2">
        <v>47.407783508300781</v>
      </c>
      <c r="G27" s="2">
        <v>31.816183090209961</v>
      </c>
      <c r="H27" s="2">
        <v>11.13481521606445</v>
      </c>
      <c r="I27" s="2">
        <v>278.70999145507813</v>
      </c>
      <c r="J27" s="2">
        <v>15.789999961853029</v>
      </c>
      <c r="K27" s="2">
        <v>499.07485961914063</v>
      </c>
      <c r="L27" s="2">
        <v>207.86000061035159</v>
      </c>
      <c r="M27" s="2">
        <v>338.23001098632813</v>
      </c>
      <c r="N27" s="12">
        <f t="shared" si="5"/>
        <v>-4.7731013082203955E-3</v>
      </c>
      <c r="O27" s="12">
        <f t="shared" si="6"/>
        <v>-2.9667464998244464E-2</v>
      </c>
      <c r="P27" s="12">
        <f t="shared" si="7"/>
        <v>-3.8560352886073512E-2</v>
      </c>
      <c r="Q27" s="12">
        <f t="shared" si="8"/>
        <v>-4.7308141908674273E-2</v>
      </c>
      <c r="R27" s="12">
        <f t="shared" si="9"/>
        <v>-6.9182175670648993E-3</v>
      </c>
      <c r="S27" s="12">
        <f t="shared" si="10"/>
        <v>-1.8453124592052061E-2</v>
      </c>
      <c r="T27" s="12">
        <f t="shared" si="11"/>
        <v>2.9518170459126747E-2</v>
      </c>
      <c r="U27" s="12">
        <f t="shared" si="12"/>
        <v>-3.2910133465900993E-3</v>
      </c>
    </row>
    <row r="28" spans="1:22" x14ac:dyDescent="0.3">
      <c r="A28" s="13">
        <f t="shared" si="1"/>
        <v>24</v>
      </c>
      <c r="B28" s="1">
        <v>45622</v>
      </c>
      <c r="C28" s="7">
        <f t="shared" si="2"/>
        <v>2024</v>
      </c>
      <c r="D28" s="7">
        <f t="shared" si="3"/>
        <v>11</v>
      </c>
      <c r="E28" s="77">
        <v>20.626000000000001</v>
      </c>
      <c r="F28" s="2">
        <v>47.635150909423828</v>
      </c>
      <c r="G28" s="2">
        <v>32.788948059082031</v>
      </c>
      <c r="H28" s="2">
        <v>11.58139801025391</v>
      </c>
      <c r="I28" s="2">
        <v>292.54998779296881</v>
      </c>
      <c r="J28" s="2">
        <v>15.89999961853027</v>
      </c>
      <c r="K28" s="2">
        <v>508.45748901367188</v>
      </c>
      <c r="L28" s="2">
        <v>201.44999694824219</v>
      </c>
      <c r="M28" s="2">
        <v>338.58999633789063</v>
      </c>
      <c r="N28" s="12">
        <f t="shared" si="5"/>
        <v>-6.9130469187093091E-3</v>
      </c>
      <c r="O28" s="12">
        <f t="shared" si="6"/>
        <v>-4.3016902523381972E-2</v>
      </c>
      <c r="P28" s="12">
        <f t="shared" si="7"/>
        <v>3.000882006166683E-2</v>
      </c>
      <c r="Q28" s="12">
        <f t="shared" si="8"/>
        <v>-4.3923013400247957E-2</v>
      </c>
      <c r="R28" s="12">
        <f t="shared" si="9"/>
        <v>-4.3832590687591377E-3</v>
      </c>
      <c r="S28" s="12">
        <f t="shared" si="10"/>
        <v>4.7338070979787705E-3</v>
      </c>
      <c r="T28" s="12">
        <f t="shared" si="11"/>
        <v>3.9402239382118731E-2</v>
      </c>
      <c r="U28" s="12">
        <f t="shared" si="12"/>
        <v>-2.3239359536822879E-2</v>
      </c>
    </row>
    <row r="29" spans="1:22" x14ac:dyDescent="0.3">
      <c r="A29" s="13">
        <f t="shared" si="1"/>
        <v>25</v>
      </c>
      <c r="B29" s="1">
        <v>45621</v>
      </c>
      <c r="C29" s="7">
        <f t="shared" si="2"/>
        <v>2024</v>
      </c>
      <c r="D29" s="7">
        <f t="shared" si="3"/>
        <v>11</v>
      </c>
      <c r="E29" s="77">
        <v>20.28</v>
      </c>
      <c r="F29" s="2">
        <v>47.966747283935547</v>
      </c>
      <c r="G29" s="2">
        <v>34.262828826904297</v>
      </c>
      <c r="H29" s="2">
        <v>11.243979454040529</v>
      </c>
      <c r="I29" s="2">
        <v>305.989990234375</v>
      </c>
      <c r="J29" s="2">
        <v>15.97000026702881</v>
      </c>
      <c r="K29" s="2">
        <v>506.0618896484375</v>
      </c>
      <c r="L29" s="2">
        <v>197.1199951171875</v>
      </c>
      <c r="M29" s="2">
        <v>352.55999755859381</v>
      </c>
      <c r="N29" s="12">
        <f t="shared" si="5"/>
        <v>2.5743292009476892E-3</v>
      </c>
      <c r="O29" s="12">
        <f t="shared" si="6"/>
        <v>7.5123188074157632E-3</v>
      </c>
      <c r="P29" s="12">
        <f t="shared" si="7"/>
        <v>2.3486823509966559E-2</v>
      </c>
      <c r="Q29" s="12">
        <f t="shared" si="8"/>
        <v>2.156709338431928E-2</v>
      </c>
      <c r="R29" s="12">
        <f t="shared" si="9"/>
        <v>-2.5625328752903576E-2</v>
      </c>
      <c r="S29" s="12">
        <f t="shared" si="10"/>
        <v>0.12917591636819425</v>
      </c>
      <c r="T29" s="12">
        <f t="shared" si="11"/>
        <v>-1.2244906357526508E-2</v>
      </c>
      <c r="U29" s="12">
        <f t="shared" si="12"/>
        <v>3.1883524481096215E-2</v>
      </c>
    </row>
    <row r="30" spans="1:22" x14ac:dyDescent="0.3">
      <c r="A30" s="13">
        <f t="shared" si="1"/>
        <v>26</v>
      </c>
      <c r="B30" s="1">
        <v>45618</v>
      </c>
      <c r="C30" s="7">
        <f t="shared" si="2"/>
        <v>2024</v>
      </c>
      <c r="D30" s="7">
        <f t="shared" si="3"/>
        <v>11</v>
      </c>
      <c r="E30" s="77">
        <v>20.401</v>
      </c>
      <c r="F30" s="2">
        <v>47.843582153320313</v>
      </c>
      <c r="G30" s="2">
        <v>34.007354736328118</v>
      </c>
      <c r="H30" s="2">
        <v>10.985954284667971</v>
      </c>
      <c r="I30" s="2">
        <v>299.52999877929688</v>
      </c>
      <c r="J30" s="2">
        <v>16.389999389648441</v>
      </c>
      <c r="K30" s="2">
        <v>448.16921997070313</v>
      </c>
      <c r="L30" s="2">
        <v>198.3800048828125</v>
      </c>
      <c r="M30" s="2">
        <v>339.6400146484375</v>
      </c>
      <c r="N30" s="12">
        <f t="shared" si="5"/>
        <v>1.7854468469526985E-3</v>
      </c>
      <c r="O30" s="12">
        <f t="shared" si="6"/>
        <v>-1.227167264430451E-2</v>
      </c>
      <c r="P30" s="12">
        <f t="shared" si="7"/>
        <v>3.6265082462658693E-3</v>
      </c>
      <c r="Q30" s="12">
        <f t="shared" si="8"/>
        <v>-1.4379714396032584E-2</v>
      </c>
      <c r="R30" s="12">
        <f t="shared" si="9"/>
        <v>0</v>
      </c>
      <c r="S30" s="12">
        <f t="shared" si="10"/>
        <v>7.416256463542692E-2</v>
      </c>
      <c r="T30" s="12">
        <f t="shared" si="11"/>
        <v>-2.2276449386757435E-2</v>
      </c>
      <c r="U30" s="12">
        <f t="shared" si="12"/>
        <v>-7.0849846040088593E-3</v>
      </c>
    </row>
    <row r="31" spans="1:22" x14ac:dyDescent="0.3">
      <c r="A31" s="13">
        <f t="shared" si="1"/>
        <v>27</v>
      </c>
      <c r="B31" s="1">
        <v>45617</v>
      </c>
      <c r="C31" s="7">
        <f t="shared" si="2"/>
        <v>2024</v>
      </c>
      <c r="D31" s="7">
        <f t="shared" si="3"/>
        <v>11</v>
      </c>
      <c r="E31" s="77">
        <v>20.402999999999999</v>
      </c>
      <c r="F31" s="2">
        <v>47.758312225341797</v>
      </c>
      <c r="G31" s="2">
        <v>34.429866790771477</v>
      </c>
      <c r="H31" s="2">
        <v>10.94625759124756</v>
      </c>
      <c r="I31" s="2">
        <v>303.89999389648438</v>
      </c>
      <c r="J31" s="2">
        <v>16.389999389648441</v>
      </c>
      <c r="K31" s="2">
        <v>417.22662353515619</v>
      </c>
      <c r="L31" s="2">
        <v>202.8800048828125</v>
      </c>
      <c r="M31" s="2">
        <v>342.02999877929688</v>
      </c>
      <c r="N31" s="12">
        <f t="shared" si="5"/>
        <v>-1.7822647080492082E-3</v>
      </c>
      <c r="O31" s="12">
        <f t="shared" si="6"/>
        <v>-7.3654772905394905E-3</v>
      </c>
      <c r="P31" s="12">
        <f t="shared" si="7"/>
        <v>1.192652122456872E-2</v>
      </c>
      <c r="Q31" s="12">
        <f t="shared" si="8"/>
        <v>-1.445759501546906E-3</v>
      </c>
      <c r="R31" s="12">
        <f t="shared" si="9"/>
        <v>-1.3838835016302342E-2</v>
      </c>
      <c r="S31" s="12">
        <f t="shared" si="10"/>
        <v>-3.5866569630501055E-2</v>
      </c>
      <c r="T31" s="12">
        <f t="shared" si="11"/>
        <v>-1.2100309595950431E-3</v>
      </c>
      <c r="U31" s="12">
        <f t="shared" si="12"/>
        <v>-4.2509927479557064E-3</v>
      </c>
    </row>
    <row r="32" spans="1:22" x14ac:dyDescent="0.3">
      <c r="A32" s="13">
        <f t="shared" si="1"/>
        <v>28</v>
      </c>
      <c r="B32" s="1">
        <v>45616</v>
      </c>
      <c r="C32" s="7">
        <f t="shared" si="2"/>
        <v>2024</v>
      </c>
      <c r="D32" s="7">
        <f t="shared" si="3"/>
        <v>11</v>
      </c>
      <c r="E32" s="77">
        <v>20.254999999999999</v>
      </c>
      <c r="F32" s="2">
        <v>47.843582153320313</v>
      </c>
      <c r="G32" s="2">
        <v>34.685340881347663</v>
      </c>
      <c r="H32" s="2">
        <v>10.817245483398439</v>
      </c>
      <c r="I32" s="2">
        <v>304.33999633789063</v>
      </c>
      <c r="J32" s="2">
        <v>16.620000839233398</v>
      </c>
      <c r="K32" s="2">
        <v>432.747802734375</v>
      </c>
      <c r="L32" s="2">
        <v>204.61000061035159</v>
      </c>
      <c r="M32" s="2">
        <v>346</v>
      </c>
      <c r="N32" s="12">
        <f t="shared" si="5"/>
        <v>-1.9761685248251837E-3</v>
      </c>
      <c r="O32" s="12">
        <f t="shared" si="6"/>
        <v>-2.2702089873469333E-2</v>
      </c>
      <c r="P32" s="12">
        <f t="shared" si="7"/>
        <v>-2.7653741744849025E-2</v>
      </c>
      <c r="Q32" s="12">
        <f t="shared" si="8"/>
        <v>-2.1639464331455471E-3</v>
      </c>
      <c r="R32" s="12">
        <f t="shared" si="9"/>
        <v>4.836754490802786E-3</v>
      </c>
      <c r="S32" s="12">
        <f t="shared" si="10"/>
        <v>0</v>
      </c>
      <c r="T32" s="12">
        <f t="shared" si="11"/>
        <v>1.7911956820660269E-2</v>
      </c>
      <c r="U32" s="12">
        <f t="shared" si="12"/>
        <v>8.7412424639383035E-2</v>
      </c>
    </row>
    <row r="33" spans="1:21" x14ac:dyDescent="0.3">
      <c r="A33" s="13">
        <f t="shared" si="1"/>
        <v>29</v>
      </c>
      <c r="B33" s="1">
        <v>45615</v>
      </c>
      <c r="C33" s="7">
        <f t="shared" si="2"/>
        <v>2024</v>
      </c>
      <c r="D33" s="7">
        <f t="shared" si="3"/>
        <v>11</v>
      </c>
      <c r="E33" s="77">
        <v>20.094999999999999</v>
      </c>
      <c r="F33" s="2">
        <v>47.938316345214837</v>
      </c>
      <c r="G33" s="2">
        <v>35.491062164306641</v>
      </c>
      <c r="H33" s="2">
        <v>11.12489032745361</v>
      </c>
      <c r="I33" s="2">
        <v>305</v>
      </c>
      <c r="J33" s="2">
        <v>16.54000091552734</v>
      </c>
      <c r="K33" s="2">
        <v>432.747802734375</v>
      </c>
      <c r="L33" s="2">
        <v>202.61000061035159</v>
      </c>
      <c r="M33" s="2">
        <v>320.72000122070313</v>
      </c>
      <c r="N33" s="12">
        <f t="shared" si="5"/>
        <v>-3.1522674725804611E-3</v>
      </c>
      <c r="O33" s="12">
        <f t="shared" si="6"/>
        <v>2.1204458462816156E-2</v>
      </c>
      <c r="P33" s="12">
        <f t="shared" si="7"/>
        <v>2.2810154018275464E-2</v>
      </c>
      <c r="Q33" s="12">
        <f t="shared" si="8"/>
        <v>7.8538812489727716E-2</v>
      </c>
      <c r="R33" s="12">
        <f t="shared" si="9"/>
        <v>-7.7983899323118555E-3</v>
      </c>
      <c r="S33" s="12">
        <f t="shared" si="10"/>
        <v>-3.440980894970036E-2</v>
      </c>
      <c r="T33" s="12">
        <f t="shared" si="11"/>
        <v>-5.1664159404009702E-2</v>
      </c>
      <c r="U33" s="12">
        <f t="shared" si="12"/>
        <v>2.0199151466107512E-2</v>
      </c>
    </row>
    <row r="34" spans="1:21" x14ac:dyDescent="0.3">
      <c r="A34" s="13">
        <f t="shared" si="1"/>
        <v>30</v>
      </c>
      <c r="B34" s="1">
        <v>45611</v>
      </c>
      <c r="C34" s="7">
        <f t="shared" si="2"/>
        <v>2024</v>
      </c>
      <c r="D34" s="7">
        <f t="shared" si="3"/>
        <v>11</v>
      </c>
      <c r="E34" s="77">
        <v>20.300999999999998</v>
      </c>
      <c r="F34" s="2">
        <v>48.089908599853523</v>
      </c>
      <c r="G34" s="2">
        <v>34.754119873046882</v>
      </c>
      <c r="H34" s="2">
        <v>10.87678909301758</v>
      </c>
      <c r="I34" s="2">
        <v>282.79000854492188</v>
      </c>
      <c r="J34" s="2">
        <v>16.670000076293949</v>
      </c>
      <c r="K34" s="2">
        <v>448.16921997070313</v>
      </c>
      <c r="L34" s="2">
        <v>211.47999572753909</v>
      </c>
      <c r="M34" s="2">
        <v>311.17999267578119</v>
      </c>
      <c r="N34" s="12">
        <f t="shared" si="5"/>
        <v>-2.3583677540592873E-3</v>
      </c>
      <c r="O34" s="12">
        <f t="shared" si="6"/>
        <v>0</v>
      </c>
      <c r="P34" s="12">
        <f t="shared" si="7"/>
        <v>-9.1156393220226395E-4</v>
      </c>
      <c r="Q34" s="12">
        <f t="shared" si="8"/>
        <v>-2.040316017838617E-2</v>
      </c>
      <c r="R34" s="12">
        <f t="shared" si="9"/>
        <v>4.5796770083295968E-2</v>
      </c>
      <c r="S34" s="12">
        <f t="shared" si="10"/>
        <v>0</v>
      </c>
      <c r="T34" s="12">
        <f t="shared" si="11"/>
        <v>-1.7127234672389968E-2</v>
      </c>
      <c r="U34" s="12">
        <f t="shared" si="12"/>
        <v>-6.2380369370832023E-2</v>
      </c>
    </row>
    <row r="35" spans="1:21" x14ac:dyDescent="0.3">
      <c r="A35" s="13">
        <f t="shared" si="1"/>
        <v>31</v>
      </c>
      <c r="B35" s="1">
        <v>45610</v>
      </c>
      <c r="C35" s="7">
        <f t="shared" si="2"/>
        <v>2024</v>
      </c>
      <c r="D35" s="7">
        <f t="shared" si="3"/>
        <v>11</v>
      </c>
      <c r="E35" s="77">
        <v>20.402000000000001</v>
      </c>
      <c r="F35" s="2">
        <v>48.203590393066413</v>
      </c>
      <c r="G35" s="2">
        <v>34.754119873046882</v>
      </c>
      <c r="H35" s="2">
        <v>10.8867130279541</v>
      </c>
      <c r="I35" s="2">
        <v>288.67999267578119</v>
      </c>
      <c r="J35" s="2">
        <v>15.939999580383301</v>
      </c>
      <c r="K35" s="2">
        <v>448.16921997070313</v>
      </c>
      <c r="L35" s="2">
        <v>214.1000061035156</v>
      </c>
      <c r="M35" s="2">
        <v>330.239990234375</v>
      </c>
      <c r="N35" s="12">
        <f t="shared" si="5"/>
        <v>-5.0841459098618369E-3</v>
      </c>
      <c r="O35" s="12">
        <f t="shared" si="6"/>
        <v>1.9829412066181273E-3</v>
      </c>
      <c r="P35" s="12">
        <f t="shared" si="7"/>
        <v>-2.4021432712467816E-2</v>
      </c>
      <c r="Q35" s="12">
        <f t="shared" si="8"/>
        <v>1.812789721364827E-2</v>
      </c>
      <c r="R35" s="12">
        <f t="shared" si="9"/>
        <v>5.6781827600955737E-3</v>
      </c>
      <c r="S35" s="12">
        <f t="shared" si="10"/>
        <v>0</v>
      </c>
      <c r="T35" s="12">
        <f t="shared" si="11"/>
        <v>2.0342176856823491E-2</v>
      </c>
      <c r="U35" s="12">
        <f t="shared" si="12"/>
        <v>9.1205179956288518E-4</v>
      </c>
    </row>
    <row r="36" spans="1:21" x14ac:dyDescent="0.3">
      <c r="A36" s="13">
        <f t="shared" si="1"/>
        <v>32</v>
      </c>
      <c r="B36" s="1">
        <v>45609</v>
      </c>
      <c r="C36" s="7">
        <f t="shared" si="2"/>
        <v>2024</v>
      </c>
      <c r="D36" s="7">
        <f t="shared" si="3"/>
        <v>11</v>
      </c>
      <c r="E36" s="77">
        <v>20.492000000000001</v>
      </c>
      <c r="F36" s="2">
        <v>48.449916839599609</v>
      </c>
      <c r="G36" s="2">
        <v>34.685340881347663</v>
      </c>
      <c r="H36" s="2">
        <v>11.15466403961182</v>
      </c>
      <c r="I36" s="2">
        <v>283.54000854492188</v>
      </c>
      <c r="J36" s="2">
        <v>15.85000038146973</v>
      </c>
      <c r="K36" s="2">
        <v>448.16921997070313</v>
      </c>
      <c r="L36" s="2">
        <v>208.9100036621094</v>
      </c>
      <c r="M36" s="2">
        <v>328.489990234375</v>
      </c>
      <c r="N36" s="12">
        <f t="shared" si="5"/>
        <v>-8.9146418478143197E-3</v>
      </c>
      <c r="O36" s="12">
        <f t="shared" si="6"/>
        <v>-2.2972606323964806E-2</v>
      </c>
      <c r="P36" s="12">
        <f t="shared" si="7"/>
        <v>-2.9360877606496749E-2</v>
      </c>
      <c r="Q36" s="12">
        <f t="shared" si="8"/>
        <v>-5.0212676433422976E-2</v>
      </c>
      <c r="R36" s="12">
        <f t="shared" si="9"/>
        <v>2.7219706285622536E-2</v>
      </c>
      <c r="S36" s="12">
        <f t="shared" si="10"/>
        <v>0</v>
      </c>
      <c r="T36" s="12">
        <f t="shared" si="11"/>
        <v>5.6401168091020359E-3</v>
      </c>
      <c r="U36" s="12">
        <f t="shared" si="12"/>
        <v>-6.5515783644718995E-2</v>
      </c>
    </row>
    <row r="37" spans="1:21" x14ac:dyDescent="0.3">
      <c r="A37" s="13">
        <f t="shared" si="1"/>
        <v>33</v>
      </c>
      <c r="B37" s="1">
        <v>45608</v>
      </c>
      <c r="C37" s="7">
        <f t="shared" si="2"/>
        <v>2024</v>
      </c>
      <c r="D37" s="7">
        <f t="shared" si="3"/>
        <v>11</v>
      </c>
      <c r="E37" s="77">
        <v>20.581</v>
      </c>
      <c r="F37" s="2">
        <v>48.885715484619141</v>
      </c>
      <c r="G37" s="2">
        <v>35.500888824462891</v>
      </c>
      <c r="H37" s="2">
        <v>11.492081642150881</v>
      </c>
      <c r="I37" s="2">
        <v>298.52999877929688</v>
      </c>
      <c r="J37" s="2">
        <v>15.430000305175779</v>
      </c>
      <c r="K37" s="2">
        <v>448.16921997070313</v>
      </c>
      <c r="L37" s="2">
        <v>206.8399963378906</v>
      </c>
      <c r="M37" s="2">
        <v>350</v>
      </c>
      <c r="N37" s="12">
        <f t="shared" si="5"/>
        <v>-5.780317671537305E-3</v>
      </c>
      <c r="O37" s="12">
        <f t="shared" si="6"/>
        <v>-5.7786838134462615E-3</v>
      </c>
      <c r="P37" s="12">
        <f t="shared" si="7"/>
        <v>-3.3388983510856951E-2</v>
      </c>
      <c r="Q37" s="12">
        <f t="shared" si="8"/>
        <v>-1.436214353337284E-2</v>
      </c>
      <c r="R37" s="12">
        <f t="shared" si="9"/>
        <v>1.3132026851662149E-2</v>
      </c>
      <c r="S37" s="12">
        <f t="shared" si="10"/>
        <v>1.5860040836087608E-2</v>
      </c>
      <c r="T37" s="12">
        <f t="shared" si="11"/>
        <v>5.6322348851240989E-3</v>
      </c>
      <c r="U37" s="12">
        <f t="shared" si="12"/>
        <v>0.10283138847080364</v>
      </c>
    </row>
    <row r="38" spans="1:21" x14ac:dyDescent="0.3">
      <c r="A38" s="13">
        <f t="shared" si="1"/>
        <v>34</v>
      </c>
      <c r="B38" s="1">
        <v>45607</v>
      </c>
      <c r="C38" s="7">
        <f t="shared" si="2"/>
        <v>2024</v>
      </c>
      <c r="D38" s="7">
        <f t="shared" si="3"/>
        <v>11</v>
      </c>
      <c r="E38" s="77">
        <v>20.334</v>
      </c>
      <c r="F38" s="2">
        <v>49.169933319091797</v>
      </c>
      <c r="G38" s="2">
        <v>35.707229614257813</v>
      </c>
      <c r="H38" s="2">
        <v>11.88904476165771</v>
      </c>
      <c r="I38" s="2">
        <v>302.8800048828125</v>
      </c>
      <c r="J38" s="2">
        <v>15.22999954223633</v>
      </c>
      <c r="K38" s="2">
        <v>441.17221069335938</v>
      </c>
      <c r="L38" s="2">
        <v>208.17999267578119</v>
      </c>
      <c r="M38" s="2">
        <v>321.22000122070313</v>
      </c>
      <c r="N38" s="12">
        <f t="shared" si="5"/>
        <v>-5.556939983628606E-3</v>
      </c>
      <c r="O38" s="12">
        <f t="shared" si="6"/>
        <v>-3.9132779710714272E-2</v>
      </c>
      <c r="P38" s="12">
        <f t="shared" si="7"/>
        <v>-9.9174502809139531E-3</v>
      </c>
      <c r="Q38" s="12">
        <f t="shared" si="8"/>
        <v>-1.6080245282702799E-2</v>
      </c>
      <c r="R38" s="12">
        <f t="shared" si="9"/>
        <v>7.9417530301564287E-3</v>
      </c>
      <c r="S38" s="12">
        <f t="shared" si="10"/>
        <v>0</v>
      </c>
      <c r="T38" s="12">
        <f t="shared" si="11"/>
        <v>-8.9867825189127171E-4</v>
      </c>
      <c r="U38" s="12">
        <f t="shared" si="12"/>
        <v>9.0613792848710739E-2</v>
      </c>
    </row>
    <row r="39" spans="1:21" x14ac:dyDescent="0.3">
      <c r="A39" s="13">
        <f t="shared" si="1"/>
        <v>35</v>
      </c>
      <c r="B39" s="1">
        <v>45604</v>
      </c>
      <c r="C39" s="7">
        <f t="shared" si="2"/>
        <v>2024</v>
      </c>
      <c r="D39" s="7">
        <f t="shared" si="3"/>
        <v>11</v>
      </c>
      <c r="E39" s="77">
        <v>20.171099999999999</v>
      </c>
      <c r="F39" s="2">
        <v>49.444694519042969</v>
      </c>
      <c r="G39" s="2">
        <v>37.161460876464837</v>
      </c>
      <c r="H39" s="2">
        <v>12.008134841918951</v>
      </c>
      <c r="I39" s="2">
        <v>307.82998657226563</v>
      </c>
      <c r="J39" s="2">
        <v>15.10999965667725</v>
      </c>
      <c r="K39" s="2">
        <v>441.17221069335938</v>
      </c>
      <c r="L39" s="2">
        <v>210.05000305175781</v>
      </c>
      <c r="M39" s="2">
        <v>296.91000366210938</v>
      </c>
      <c r="N39" s="12">
        <f t="shared" si="5"/>
        <v>8.8925496427909589E-3</v>
      </c>
      <c r="O39" s="12">
        <f t="shared" si="6"/>
        <v>3.9011012393382005E-2</v>
      </c>
      <c r="P39" s="12">
        <f t="shared" si="7"/>
        <v>4.7619111010198001E-2</v>
      </c>
      <c r="Q39" s="12">
        <f t="shared" si="8"/>
        <v>2.3770122248187864E-3</v>
      </c>
      <c r="R39" s="12">
        <f t="shared" si="9"/>
        <v>2.1636220125055949E-2</v>
      </c>
      <c r="S39" s="12">
        <f t="shared" si="10"/>
        <v>0</v>
      </c>
      <c r="T39" s="12">
        <f t="shared" si="11"/>
        <v>3.3564652269254314E-2</v>
      </c>
      <c r="U39" s="12">
        <f t="shared" si="12"/>
        <v>4.8595362754309646E-2</v>
      </c>
    </row>
    <row r="40" spans="1:21" x14ac:dyDescent="0.3">
      <c r="A40" s="13">
        <f t="shared" si="1"/>
        <v>36</v>
      </c>
      <c r="B40" s="1">
        <v>45603</v>
      </c>
      <c r="C40" s="7">
        <f t="shared" si="2"/>
        <v>2024</v>
      </c>
      <c r="D40" s="7">
        <f t="shared" si="3"/>
        <v>11</v>
      </c>
      <c r="E40" s="77">
        <v>19.795000000000002</v>
      </c>
      <c r="F40" s="2">
        <v>49.008880615234382</v>
      </c>
      <c r="G40" s="2">
        <v>35.766185760498047</v>
      </c>
      <c r="H40" s="2">
        <v>11.46230983734131</v>
      </c>
      <c r="I40" s="2">
        <v>307.10000610351563</v>
      </c>
      <c r="J40" s="2">
        <v>14.789999961853029</v>
      </c>
      <c r="K40" s="2">
        <v>441.17221069335938</v>
      </c>
      <c r="L40" s="2">
        <v>207.0899963378906</v>
      </c>
      <c r="M40" s="2">
        <v>288.52999877929688</v>
      </c>
      <c r="N40" s="12">
        <f t="shared" si="5"/>
        <v>1.6506119623852955E-2</v>
      </c>
      <c r="O40" s="12">
        <f t="shared" si="6"/>
        <v>1.4492720692061756E-2</v>
      </c>
      <c r="P40" s="12">
        <f t="shared" si="7"/>
        <v>8.7570628370465142E-2</v>
      </c>
      <c r="Q40" s="12">
        <f t="shared" si="8"/>
        <v>-6.4703978017076613E-3</v>
      </c>
      <c r="R40" s="12">
        <f t="shared" si="9"/>
        <v>-1.2683550479931194E-2</v>
      </c>
      <c r="S40" s="12">
        <f t="shared" si="10"/>
        <v>2.7883766186256764E-2</v>
      </c>
      <c r="T40" s="12">
        <f t="shared" si="11"/>
        <v>2.3311884668979488E-2</v>
      </c>
      <c r="U40" s="12">
        <f t="shared" si="12"/>
        <v>0.13122344981744249</v>
      </c>
    </row>
    <row r="41" spans="1:21" x14ac:dyDescent="0.3">
      <c r="A41" s="13">
        <f t="shared" si="1"/>
        <v>37</v>
      </c>
      <c r="B41" s="1">
        <v>45602</v>
      </c>
      <c r="C41" s="7">
        <f t="shared" si="2"/>
        <v>2024</v>
      </c>
      <c r="D41" s="7">
        <f t="shared" si="3"/>
        <v>11</v>
      </c>
      <c r="E41" s="77">
        <v>20.079999999999998</v>
      </c>
      <c r="F41" s="2">
        <v>48.213069915771477</v>
      </c>
      <c r="G41" s="2">
        <v>35.255241394042969</v>
      </c>
      <c r="H41" s="2">
        <v>10.539370536804199</v>
      </c>
      <c r="I41" s="2">
        <v>309.10000610351563</v>
      </c>
      <c r="J41" s="2">
        <v>14.97999954223633</v>
      </c>
      <c r="K41" s="2">
        <v>429.20437622070313</v>
      </c>
      <c r="L41" s="2">
        <v>199.5</v>
      </c>
      <c r="M41" s="2">
        <v>251.44000244140619</v>
      </c>
      <c r="N41" s="12">
        <f t="shared" si="5"/>
        <v>-5.8902995172627204E-4</v>
      </c>
      <c r="O41" s="12">
        <f t="shared" si="6"/>
        <v>-2.9483305751901945E-2</v>
      </c>
      <c r="P41" s="12">
        <f t="shared" si="7"/>
        <v>1.4326624684415368E-2</v>
      </c>
      <c r="Q41" s="12">
        <f t="shared" si="8"/>
        <v>-2.4921116392695231E-2</v>
      </c>
      <c r="R41" s="12">
        <f t="shared" si="9"/>
        <v>-3.3266927227666443E-3</v>
      </c>
      <c r="S41" s="12">
        <f t="shared" si="10"/>
        <v>-2.246075172170714E-2</v>
      </c>
      <c r="T41" s="12">
        <f t="shared" si="11"/>
        <v>1.8138955521604938E-2</v>
      </c>
      <c r="U41" s="12">
        <f t="shared" si="12"/>
        <v>3.4538435950732804E-2</v>
      </c>
    </row>
    <row r="42" spans="1:21" x14ac:dyDescent="0.3">
      <c r="A42" s="13">
        <f t="shared" si="1"/>
        <v>38</v>
      </c>
      <c r="B42" s="1">
        <v>45601</v>
      </c>
      <c r="C42" s="7">
        <f t="shared" si="2"/>
        <v>2024</v>
      </c>
      <c r="D42" s="7">
        <f t="shared" si="3"/>
        <v>11</v>
      </c>
      <c r="E42" s="77">
        <v>20.097000000000001</v>
      </c>
      <c r="F42" s="2">
        <v>48.241485595703118</v>
      </c>
      <c r="G42" s="2">
        <v>36.326259613037109</v>
      </c>
      <c r="H42" s="2">
        <v>10.39050960540771</v>
      </c>
      <c r="I42" s="2">
        <v>317</v>
      </c>
      <c r="J42" s="2">
        <v>15.02999973297119</v>
      </c>
      <c r="K42" s="2">
        <v>439.06613159179688</v>
      </c>
      <c r="L42" s="2">
        <v>195.7799987792969</v>
      </c>
      <c r="M42" s="2">
        <v>242.8399963378906</v>
      </c>
      <c r="N42" s="12">
        <f t="shared" si="5"/>
        <v>6.1252777219533705E-3</v>
      </c>
      <c r="O42" s="12">
        <f t="shared" si="6"/>
        <v>1.4544446875911499E-2</v>
      </c>
      <c r="P42" s="12">
        <f t="shared" si="7"/>
        <v>-6.6413617257795599E-3</v>
      </c>
      <c r="Q42" s="12">
        <f t="shared" si="8"/>
        <v>1.1293334528879484E-2</v>
      </c>
      <c r="R42" s="12">
        <f t="shared" si="9"/>
        <v>7.3726311068869066E-3</v>
      </c>
      <c r="S42" s="12">
        <f t="shared" si="10"/>
        <v>0</v>
      </c>
      <c r="T42" s="12">
        <f t="shared" si="11"/>
        <v>-1.0566998451526644E-2</v>
      </c>
      <c r="U42" s="12">
        <f t="shared" si="12"/>
        <v>-2.4369336774327066E-2</v>
      </c>
    </row>
    <row r="43" spans="1:21" x14ac:dyDescent="0.3">
      <c r="A43" s="13">
        <f t="shared" si="1"/>
        <v>39</v>
      </c>
      <c r="B43" s="1">
        <v>45600</v>
      </c>
      <c r="C43" s="7">
        <f t="shared" si="2"/>
        <v>2024</v>
      </c>
      <c r="D43" s="7">
        <f t="shared" si="3"/>
        <v>11</v>
      </c>
      <c r="E43" s="77">
        <v>20.091000000000001</v>
      </c>
      <c r="F43" s="2">
        <v>47.947792053222663</v>
      </c>
      <c r="G43" s="2">
        <v>35.805488586425781</v>
      </c>
      <c r="H43" s="2">
        <v>10.459978103637701</v>
      </c>
      <c r="I43" s="2">
        <v>313.45999145507813</v>
      </c>
      <c r="J43" s="2">
        <v>14.920000076293951</v>
      </c>
      <c r="K43" s="2">
        <v>439.06613159179688</v>
      </c>
      <c r="L43" s="2">
        <v>197.92999267578119</v>
      </c>
      <c r="M43" s="2">
        <v>248.97999572753909</v>
      </c>
      <c r="N43" s="12">
        <f t="shared" si="5"/>
        <v>0</v>
      </c>
      <c r="O43" s="12">
        <f t="shared" si="6"/>
        <v>1.6492829434262557E-3</v>
      </c>
      <c r="P43" s="12">
        <f t="shared" si="7"/>
        <v>4.7664672874840885E-3</v>
      </c>
      <c r="Q43" s="12">
        <f t="shared" si="8"/>
        <v>-5.4887876294543725E-3</v>
      </c>
      <c r="R43" s="12">
        <f t="shared" si="9"/>
        <v>0</v>
      </c>
      <c r="S43" s="12">
        <f t="shared" si="10"/>
        <v>0</v>
      </c>
      <c r="T43" s="12">
        <f t="shared" si="11"/>
        <v>5.2634987366091845E-2</v>
      </c>
      <c r="U43" s="12">
        <f t="shared" si="12"/>
        <v>-1.2135959334863666E-2</v>
      </c>
    </row>
    <row r="44" spans="1:21" x14ac:dyDescent="0.3">
      <c r="A44" s="13">
        <f t="shared" si="1"/>
        <v>40</v>
      </c>
      <c r="B44" s="1">
        <v>45597</v>
      </c>
      <c r="C44" s="7">
        <f t="shared" si="2"/>
        <v>2024</v>
      </c>
      <c r="D44" s="7">
        <f t="shared" si="3"/>
        <v>11</v>
      </c>
      <c r="E44" s="77">
        <v>20.266999999999999</v>
      </c>
      <c r="F44" s="2">
        <v>47.947792053222663</v>
      </c>
      <c r="G44" s="2">
        <v>35.746532440185547</v>
      </c>
      <c r="H44" s="2">
        <v>10.41035747528076</v>
      </c>
      <c r="I44" s="2">
        <v>315.19000244140619</v>
      </c>
      <c r="J44" s="2">
        <v>14.920000076293951</v>
      </c>
      <c r="K44" s="2">
        <v>439.06613159179688</v>
      </c>
      <c r="L44" s="2">
        <v>186.3999938964844</v>
      </c>
      <c r="M44" s="2">
        <v>249.8500061035156</v>
      </c>
      <c r="N44" s="12">
        <f t="shared" si="5"/>
        <v>-5.5021981179015356E-3</v>
      </c>
      <c r="O44" s="12">
        <f t="shared" si="6"/>
        <v>2.2038189189395041E-3</v>
      </c>
      <c r="P44" s="12">
        <f t="shared" si="7"/>
        <v>-1.0377390220714044E-2</v>
      </c>
      <c r="Q44" s="12">
        <f t="shared" si="8"/>
        <v>-1.6076649670221932E-2</v>
      </c>
      <c r="R44" s="12">
        <f t="shared" si="9"/>
        <v>6.7070616929454374E-4</v>
      </c>
      <c r="S44" s="12">
        <f t="shared" si="10"/>
        <v>0</v>
      </c>
      <c r="T44" s="12">
        <f t="shared" si="11"/>
        <v>-2.0520038921994277E-2</v>
      </c>
      <c r="U44" s="12">
        <f t="shared" si="12"/>
        <v>-1.7535641747677744E-2</v>
      </c>
    </row>
    <row r="45" spans="1:21" x14ac:dyDescent="0.3">
      <c r="A45" s="13">
        <f t="shared" si="1"/>
        <v>41</v>
      </c>
      <c r="B45" s="1">
        <v>45596</v>
      </c>
      <c r="C45" s="7">
        <f t="shared" si="2"/>
        <v>2024</v>
      </c>
      <c r="D45" s="7">
        <f t="shared" si="3"/>
        <v>10</v>
      </c>
      <c r="E45" s="77">
        <v>20.012</v>
      </c>
      <c r="F45" s="2">
        <v>48.213069915771477</v>
      </c>
      <c r="G45" s="2">
        <v>35.667926788330078</v>
      </c>
      <c r="H45" s="2">
        <v>10.519522666931151</v>
      </c>
      <c r="I45" s="2">
        <v>320.33999633789063</v>
      </c>
      <c r="J45" s="2">
        <v>14.909999847412109</v>
      </c>
      <c r="K45" s="2">
        <v>439.06613159179688</v>
      </c>
      <c r="L45" s="2">
        <v>192.72999572753909</v>
      </c>
      <c r="M45" s="2">
        <v>257.54998779296881</v>
      </c>
      <c r="N45" s="12">
        <f t="shared" si="5"/>
        <v>-4.3657778162556893E-3</v>
      </c>
      <c r="O45" s="12">
        <f t="shared" si="6"/>
        <v>1.6555470198813538E-3</v>
      </c>
      <c r="P45" s="12">
        <f t="shared" si="7"/>
        <v>1.8904228686937863E-3</v>
      </c>
      <c r="Q45" s="12">
        <f t="shared" si="8"/>
        <v>1.0153888970366509E-2</v>
      </c>
      <c r="R45" s="12">
        <f t="shared" si="9"/>
        <v>1.0162575623593462E-2</v>
      </c>
      <c r="S45" s="12">
        <f t="shared" si="10"/>
        <v>0</v>
      </c>
      <c r="T45" s="12">
        <f t="shared" si="11"/>
        <v>3.3882218092038396E-3</v>
      </c>
      <c r="U45" s="12">
        <f t="shared" si="12"/>
        <v>-1.4045074422878279E-2</v>
      </c>
    </row>
    <row r="46" spans="1:21" x14ac:dyDescent="0.3">
      <c r="A46" s="13">
        <f t="shared" si="1"/>
        <v>42</v>
      </c>
      <c r="B46" s="1">
        <v>45595</v>
      </c>
      <c r="C46" s="7">
        <f t="shared" si="2"/>
        <v>2024</v>
      </c>
      <c r="D46" s="7">
        <f t="shared" si="3"/>
        <v>10</v>
      </c>
      <c r="E46" s="77">
        <v>20.143000000000001</v>
      </c>
      <c r="F46" s="2">
        <v>48.424480438232422</v>
      </c>
      <c r="G46" s="2">
        <v>35.608974456787109</v>
      </c>
      <c r="H46" s="2">
        <v>10.499673843383791</v>
      </c>
      <c r="I46" s="2">
        <v>317.1199951171875</v>
      </c>
      <c r="J46" s="2">
        <v>14.760000228881839</v>
      </c>
      <c r="K46" s="2">
        <v>439.06613159179688</v>
      </c>
      <c r="L46" s="2">
        <v>190.83000183105469</v>
      </c>
      <c r="M46" s="2">
        <v>259.51998901367188</v>
      </c>
      <c r="N46" s="12">
        <f t="shared" si="5"/>
        <v>-1.1203366626120426E-2</v>
      </c>
      <c r="O46" s="12">
        <f t="shared" si="6"/>
        <v>-6.3065245804680981E-3</v>
      </c>
      <c r="P46" s="12">
        <f t="shared" si="7"/>
        <v>-3.6429874727286871E-2</v>
      </c>
      <c r="Q46" s="12">
        <f t="shared" si="8"/>
        <v>3.9771813079803042E-2</v>
      </c>
      <c r="R46" s="12">
        <f t="shared" si="9"/>
        <v>2.6425598846783638E-2</v>
      </c>
      <c r="S46" s="12">
        <f t="shared" si="10"/>
        <v>0</v>
      </c>
      <c r="T46" s="12">
        <f t="shared" si="11"/>
        <v>1.7751869565932443E-2</v>
      </c>
      <c r="U46" s="12">
        <f t="shared" si="12"/>
        <v>-6.7054671557780221E-3</v>
      </c>
    </row>
    <row r="47" spans="1:21" x14ac:dyDescent="0.3">
      <c r="A47" s="13">
        <f t="shared" si="1"/>
        <v>43</v>
      </c>
      <c r="B47" s="1">
        <v>45594</v>
      </c>
      <c r="C47" s="7">
        <f t="shared" si="2"/>
        <v>2024</v>
      </c>
      <c r="D47" s="7">
        <f t="shared" si="3"/>
        <v>10</v>
      </c>
      <c r="E47" s="77">
        <v>20.047999999999998</v>
      </c>
      <c r="F47" s="2">
        <v>48.97314453125</v>
      </c>
      <c r="G47" s="2">
        <v>35.834968566894531</v>
      </c>
      <c r="H47" s="2">
        <v>10.89663696289062</v>
      </c>
      <c r="I47" s="2">
        <v>304.989990234375</v>
      </c>
      <c r="J47" s="2">
        <v>14.38000011444092</v>
      </c>
      <c r="K47" s="2">
        <v>439.06613159179688</v>
      </c>
      <c r="L47" s="2">
        <v>188.38999938964841</v>
      </c>
      <c r="M47" s="2">
        <v>262.510009765625</v>
      </c>
      <c r="N47" s="12">
        <f t="shared" si="5"/>
        <v>1.3537524589217753E-3</v>
      </c>
      <c r="O47" s="12">
        <f t="shared" si="6"/>
        <v>0</v>
      </c>
      <c r="P47" s="12">
        <f t="shared" si="7"/>
        <v>-8.0402058987313119E-2</v>
      </c>
      <c r="Q47" s="12">
        <f t="shared" si="8"/>
        <v>1.305385208148202E-2</v>
      </c>
      <c r="R47" s="12">
        <f t="shared" si="9"/>
        <v>1.6254452446023526E-2</v>
      </c>
      <c r="S47" s="12">
        <f t="shared" si="10"/>
        <v>3.5011786873302864E-2</v>
      </c>
      <c r="T47" s="12">
        <f t="shared" si="11"/>
        <v>4.2336929698609804E-3</v>
      </c>
      <c r="U47" s="12">
        <f t="shared" si="12"/>
        <v>-2.3597578032759525E-2</v>
      </c>
    </row>
    <row r="48" spans="1:21" x14ac:dyDescent="0.3">
      <c r="A48" s="13">
        <f t="shared" si="1"/>
        <v>44</v>
      </c>
      <c r="B48" s="1">
        <v>45593</v>
      </c>
      <c r="C48" s="7">
        <f t="shared" si="2"/>
        <v>2024</v>
      </c>
      <c r="D48" s="7">
        <f t="shared" si="3"/>
        <v>10</v>
      </c>
      <c r="E48" s="77">
        <v>20.023</v>
      </c>
      <c r="F48" s="2">
        <v>48.906936645507813</v>
      </c>
      <c r="G48" s="2">
        <v>35.834968566894531</v>
      </c>
      <c r="H48" s="2">
        <v>11.849349021911619</v>
      </c>
      <c r="I48" s="2">
        <v>301.05999755859381</v>
      </c>
      <c r="J48" s="2">
        <v>14.14999961853027</v>
      </c>
      <c r="K48" s="2">
        <v>424.21365356445313</v>
      </c>
      <c r="L48" s="2">
        <v>187.83000183105469</v>
      </c>
      <c r="M48" s="2">
        <v>269.19000244140619</v>
      </c>
      <c r="N48" s="12">
        <f t="shared" si="5"/>
        <v>1.9370929267070736E-4</v>
      </c>
      <c r="O48" s="12">
        <f t="shared" si="6"/>
        <v>-1.1653100193473098E-2</v>
      </c>
      <c r="P48" s="12">
        <f t="shared" si="7"/>
        <v>-1.6721365374889885E-3</v>
      </c>
      <c r="Q48" s="12">
        <f t="shared" si="8"/>
        <v>-1.2820945163323438E-2</v>
      </c>
      <c r="R48" s="12">
        <f t="shared" si="9"/>
        <v>9.2724077405155203E-3</v>
      </c>
      <c r="S48" s="12">
        <f t="shared" si="10"/>
        <v>0</v>
      </c>
      <c r="T48" s="12">
        <f t="shared" si="11"/>
        <v>1.1467403387219743E-2</v>
      </c>
      <c r="U48" s="12">
        <f t="shared" si="12"/>
        <v>3.7219736909324785E-2</v>
      </c>
    </row>
    <row r="49" spans="1:21" x14ac:dyDescent="0.3">
      <c r="A49" s="13">
        <f t="shared" si="1"/>
        <v>45</v>
      </c>
      <c r="B49" s="1">
        <v>45590</v>
      </c>
      <c r="C49" s="7">
        <f t="shared" si="2"/>
        <v>2024</v>
      </c>
      <c r="D49" s="7">
        <f t="shared" si="3"/>
        <v>10</v>
      </c>
      <c r="E49" s="77">
        <v>19.95</v>
      </c>
      <c r="F49" s="2">
        <v>48.897464752197273</v>
      </c>
      <c r="G49" s="2">
        <v>36.257480621337891</v>
      </c>
      <c r="H49" s="2">
        <v>11.86919593811035</v>
      </c>
      <c r="I49" s="2">
        <v>304.97000122070313</v>
      </c>
      <c r="J49" s="2">
        <v>14.02000045776367</v>
      </c>
      <c r="K49" s="2">
        <v>424.21365356445313</v>
      </c>
      <c r="L49" s="2">
        <v>186.3800048828125</v>
      </c>
      <c r="M49" s="2">
        <v>260.48001098632813</v>
      </c>
      <c r="N49" s="12">
        <f t="shared" si="5"/>
        <v>-4.2382601677107834E-3</v>
      </c>
      <c r="O49" s="12">
        <f t="shared" si="6"/>
        <v>-8.0645338033835667E-3</v>
      </c>
      <c r="P49" s="12">
        <f t="shared" si="7"/>
        <v>2.1349213715432969E-2</v>
      </c>
      <c r="Q49" s="12">
        <f t="shared" si="8"/>
        <v>1.6973443560799328E-2</v>
      </c>
      <c r="R49" s="12">
        <f t="shared" si="9"/>
        <v>3.5791116520496047E-3</v>
      </c>
      <c r="S49" s="12">
        <f t="shared" si="10"/>
        <v>0</v>
      </c>
      <c r="T49" s="12">
        <f t="shared" si="11"/>
        <v>1.7096388948082852E-2</v>
      </c>
      <c r="U49" s="12">
        <f t="shared" si="12"/>
        <v>0.22892317585503896</v>
      </c>
    </row>
    <row r="50" spans="1:21" x14ac:dyDescent="0.3">
      <c r="A50" s="13">
        <f t="shared" si="1"/>
        <v>46</v>
      </c>
      <c r="B50" s="1">
        <v>45589</v>
      </c>
      <c r="C50" s="7">
        <f t="shared" si="2"/>
        <v>2024</v>
      </c>
      <c r="D50" s="7">
        <f t="shared" si="3"/>
        <v>10</v>
      </c>
      <c r="E50" s="77">
        <v>19.792000000000002</v>
      </c>
      <c r="F50" s="2">
        <v>49.105587005615227</v>
      </c>
      <c r="G50" s="2">
        <v>36.552257537841797</v>
      </c>
      <c r="H50" s="2">
        <v>11.62109470367432</v>
      </c>
      <c r="I50" s="2">
        <v>299.8800048828125</v>
      </c>
      <c r="J50" s="2">
        <v>13.97000026702881</v>
      </c>
      <c r="K50" s="2">
        <v>424.21365356445313</v>
      </c>
      <c r="L50" s="2">
        <v>184.71000671386719</v>
      </c>
      <c r="M50" s="2">
        <v>213.6499938964844</v>
      </c>
      <c r="N50" s="12">
        <f t="shared" si="5"/>
        <v>-3.0727026889092457E-3</v>
      </c>
      <c r="O50" s="12">
        <f t="shared" si="6"/>
        <v>-1.878231905754868E-3</v>
      </c>
      <c r="P50" s="12">
        <f t="shared" si="7"/>
        <v>4.2881028182060188E-3</v>
      </c>
      <c r="Q50" s="12">
        <f t="shared" si="8"/>
        <v>-5.7358196106588322E-3</v>
      </c>
      <c r="R50" s="12">
        <f t="shared" si="9"/>
        <v>-2.1023138129728891E-2</v>
      </c>
      <c r="S50" s="12">
        <f t="shared" si="10"/>
        <v>-2.2111789199976806E-2</v>
      </c>
      <c r="T50" s="12">
        <f t="shared" si="11"/>
        <v>-2.7974450015493368E-2</v>
      </c>
      <c r="U50" s="12">
        <f t="shared" si="12"/>
        <v>-2.1500206006621725E-2</v>
      </c>
    </row>
    <row r="51" spans="1:21" x14ac:dyDescent="0.3">
      <c r="A51" s="13">
        <f t="shared" si="1"/>
        <v>47</v>
      </c>
      <c r="B51" s="1">
        <v>45588</v>
      </c>
      <c r="C51" s="7">
        <f t="shared" si="2"/>
        <v>2024</v>
      </c>
      <c r="D51" s="7">
        <f t="shared" si="3"/>
        <v>10</v>
      </c>
      <c r="E51" s="77">
        <v>19.826000000000001</v>
      </c>
      <c r="F51" s="2">
        <v>49.256938934326172</v>
      </c>
      <c r="G51" s="2">
        <v>36.621040344238281</v>
      </c>
      <c r="H51" s="2">
        <v>11.571475028991699</v>
      </c>
      <c r="I51" s="2">
        <v>301.6099853515625</v>
      </c>
      <c r="J51" s="2">
        <v>14.27000045776367</v>
      </c>
      <c r="K51" s="2">
        <v>433.80587768554688</v>
      </c>
      <c r="L51" s="2">
        <v>189.69999694824219</v>
      </c>
      <c r="M51" s="2">
        <v>217.9700012207031</v>
      </c>
      <c r="N51" s="12">
        <f t="shared" si="5"/>
        <v>-1.1766885738953459E-2</v>
      </c>
      <c r="O51" s="12">
        <f t="shared" si="6"/>
        <v>-1.114350193120861E-2</v>
      </c>
      <c r="P51" s="12">
        <f t="shared" si="7"/>
        <v>-1.0186692536181874E-2</v>
      </c>
      <c r="Q51" s="12">
        <f t="shared" si="8"/>
        <v>-6.6371153154221041E-5</v>
      </c>
      <c r="R51" s="12">
        <f t="shared" si="9"/>
        <v>1.7831668462005013E-2</v>
      </c>
      <c r="S51" s="12">
        <f t="shared" si="10"/>
        <v>0</v>
      </c>
      <c r="T51" s="12">
        <f t="shared" si="11"/>
        <v>-2.80423558276921E-3</v>
      </c>
      <c r="U51" s="12">
        <f t="shared" si="12"/>
        <v>-1.011235021429524E-2</v>
      </c>
    </row>
    <row r="52" spans="1:21" x14ac:dyDescent="0.3">
      <c r="A52" s="13">
        <f t="shared" si="1"/>
        <v>48</v>
      </c>
      <c r="B52" s="1">
        <v>45587</v>
      </c>
      <c r="C52" s="7">
        <f t="shared" si="2"/>
        <v>2024</v>
      </c>
      <c r="D52" s="7">
        <f t="shared" si="3"/>
        <v>10</v>
      </c>
      <c r="E52" s="77">
        <v>19.948</v>
      </c>
      <c r="F52" s="2">
        <v>49.843441009521477</v>
      </c>
      <c r="G52" s="2">
        <v>37.033725738525391</v>
      </c>
      <c r="H52" s="2">
        <v>11.6905632019043</v>
      </c>
      <c r="I52" s="2">
        <v>301.6300048828125</v>
      </c>
      <c r="J52" s="2">
        <v>14.02000045776367</v>
      </c>
      <c r="K52" s="2">
        <v>433.80587768554688</v>
      </c>
      <c r="L52" s="2">
        <v>189.07000732421881</v>
      </c>
      <c r="M52" s="2">
        <v>218.8500061035156</v>
      </c>
      <c r="N52" s="12">
        <f t="shared" si="5"/>
        <v>-2.8388906110938805E-3</v>
      </c>
      <c r="O52" s="12">
        <f t="shared" si="6"/>
        <v>-3.7006519448588016E-3</v>
      </c>
      <c r="P52" s="12">
        <f t="shared" si="7"/>
        <v>-1.0084050171367154E-2</v>
      </c>
      <c r="Q52" s="12">
        <f t="shared" si="8"/>
        <v>2.7525182850773211E-2</v>
      </c>
      <c r="R52" s="12">
        <f t="shared" si="9"/>
        <v>-1.1980206317598663E-2</v>
      </c>
      <c r="S52" s="12">
        <f t="shared" si="10"/>
        <v>0</v>
      </c>
      <c r="T52" s="12">
        <f t="shared" si="11"/>
        <v>-5.2866040557630889E-4</v>
      </c>
      <c r="U52" s="12">
        <f t="shared" si="12"/>
        <v>-9.3259718773618383E-3</v>
      </c>
    </row>
    <row r="53" spans="1:21" x14ac:dyDescent="0.3">
      <c r="A53" s="13">
        <f t="shared" si="1"/>
        <v>49</v>
      </c>
      <c r="B53" s="1">
        <v>45586</v>
      </c>
      <c r="C53" s="7">
        <f t="shared" si="2"/>
        <v>2024</v>
      </c>
      <c r="D53" s="7">
        <f t="shared" si="3"/>
        <v>10</v>
      </c>
      <c r="E53" s="77">
        <v>19.966999999999999</v>
      </c>
      <c r="F53" s="2">
        <v>49.985343933105469</v>
      </c>
      <c r="G53" s="2">
        <v>37.171283721923828</v>
      </c>
      <c r="H53" s="2">
        <v>11.809652328491209</v>
      </c>
      <c r="I53" s="2">
        <v>293.54998779296881</v>
      </c>
      <c r="J53" s="2">
        <v>14.189999580383301</v>
      </c>
      <c r="K53" s="2">
        <v>433.80587768554688</v>
      </c>
      <c r="L53" s="2">
        <v>188.99000549316409</v>
      </c>
      <c r="M53" s="2">
        <v>220.69999694824219</v>
      </c>
      <c r="N53" s="12">
        <f t="shared" si="5"/>
        <v>9.7457102391798056E-3</v>
      </c>
      <c r="O53" s="12">
        <f t="shared" si="6"/>
        <v>1.3233517113913074E-3</v>
      </c>
      <c r="P53" s="12">
        <f t="shared" si="7"/>
        <v>1.0186774112603159E-2</v>
      </c>
      <c r="Q53" s="12">
        <f t="shared" si="8"/>
        <v>4.1141958090854525E-2</v>
      </c>
      <c r="R53" s="12">
        <f t="shared" si="9"/>
        <v>3.956043787136565E-2</v>
      </c>
      <c r="S53" s="12">
        <f t="shared" si="10"/>
        <v>0</v>
      </c>
      <c r="T53" s="12">
        <f t="shared" si="11"/>
        <v>1.377662436167415E-2</v>
      </c>
      <c r="U53" s="12">
        <f t="shared" si="12"/>
        <v>5.0796025821744362E-3</v>
      </c>
    </row>
    <row r="54" spans="1:21" x14ac:dyDescent="0.3">
      <c r="A54" s="13">
        <f t="shared" si="1"/>
        <v>50</v>
      </c>
      <c r="B54" s="1">
        <v>45583</v>
      </c>
      <c r="C54" s="7">
        <f t="shared" si="2"/>
        <v>2024</v>
      </c>
      <c r="D54" s="7">
        <f t="shared" si="3"/>
        <v>10</v>
      </c>
      <c r="E54" s="77">
        <v>19.849</v>
      </c>
      <c r="F54" s="2">
        <v>49.502902984619141</v>
      </c>
      <c r="G54" s="2">
        <v>37.122158050537109</v>
      </c>
      <c r="H54" s="2">
        <v>11.6905632019043</v>
      </c>
      <c r="I54" s="2">
        <v>281.95001220703119</v>
      </c>
      <c r="J54" s="2">
        <v>13.64999961853027</v>
      </c>
      <c r="K54" s="2">
        <v>433.80587768554688</v>
      </c>
      <c r="L54" s="2">
        <v>187.5299987792969</v>
      </c>
      <c r="M54" s="2">
        <v>220.88999938964841</v>
      </c>
      <c r="N54" s="12">
        <f t="shared" si="5"/>
        <v>7.6525225715884382E-4</v>
      </c>
      <c r="O54" s="12">
        <f t="shared" si="6"/>
        <v>-3.0287500267804579E-2</v>
      </c>
      <c r="P54" s="12">
        <f t="shared" si="7"/>
        <v>-5.0675759306492152E-3</v>
      </c>
      <c r="Q54" s="12">
        <f t="shared" si="8"/>
        <v>1.4756185040313063E-2</v>
      </c>
      <c r="R54" s="12">
        <f t="shared" si="9"/>
        <v>-1.7985612004386087E-2</v>
      </c>
      <c r="S54" s="12">
        <f t="shared" si="10"/>
        <v>-1.8938994220933814E-2</v>
      </c>
      <c r="T54" s="12">
        <f t="shared" si="11"/>
        <v>4.2339699276210396E-3</v>
      </c>
      <c r="U54" s="12">
        <f t="shared" si="12"/>
        <v>-1.1828602990349157E-3</v>
      </c>
    </row>
    <row r="55" spans="1:21" x14ac:dyDescent="0.3">
      <c r="A55" s="13">
        <f t="shared" si="1"/>
        <v>51</v>
      </c>
      <c r="B55" s="1">
        <v>45582</v>
      </c>
      <c r="C55" s="7">
        <f t="shared" si="2"/>
        <v>2024</v>
      </c>
      <c r="D55" s="7">
        <f t="shared" si="3"/>
        <v>10</v>
      </c>
      <c r="E55" s="77">
        <v>19.832999999999998</v>
      </c>
      <c r="F55" s="2">
        <v>49.465049743652337</v>
      </c>
      <c r="G55" s="2">
        <v>38.281612396240227</v>
      </c>
      <c r="H55" s="2">
        <v>11.75010776519775</v>
      </c>
      <c r="I55" s="2">
        <v>277.85000610351563</v>
      </c>
      <c r="J55" s="2">
        <v>13.89999961853027</v>
      </c>
      <c r="K55" s="2">
        <v>442.18032836914063</v>
      </c>
      <c r="L55" s="2">
        <v>186.88999938964841</v>
      </c>
      <c r="M55" s="2">
        <v>221.33000183105469</v>
      </c>
      <c r="N55" s="12">
        <f t="shared" si="5"/>
        <v>1.3405040013954039E-3</v>
      </c>
      <c r="O55" s="12">
        <f t="shared" si="6"/>
        <v>3.7549932238142736E-2</v>
      </c>
      <c r="P55" s="12">
        <f t="shared" si="7"/>
        <v>1.1965804243792455E-2</v>
      </c>
      <c r="Q55" s="12">
        <f t="shared" si="8"/>
        <v>1.2462243628650782E-2</v>
      </c>
      <c r="R55" s="12">
        <f t="shared" si="9"/>
        <v>5.9451199677960309E-2</v>
      </c>
      <c r="S55" s="12">
        <f t="shared" si="10"/>
        <v>5.9251140225264232E-2</v>
      </c>
      <c r="T55" s="12">
        <f t="shared" si="11"/>
        <v>-5.1151364787634934E-3</v>
      </c>
      <c r="U55" s="12">
        <f t="shared" si="12"/>
        <v>7.1523537451581021E-3</v>
      </c>
    </row>
    <row r="56" spans="1:21" x14ac:dyDescent="0.3">
      <c r="A56" s="13">
        <f t="shared" si="1"/>
        <v>52</v>
      </c>
      <c r="B56" s="1">
        <v>45581</v>
      </c>
      <c r="C56" s="7">
        <f t="shared" si="2"/>
        <v>2024</v>
      </c>
      <c r="D56" s="7">
        <f t="shared" si="3"/>
        <v>10</v>
      </c>
      <c r="E56" s="77">
        <v>19.850000000000001</v>
      </c>
      <c r="F56" s="2">
        <v>49.398830413818359</v>
      </c>
      <c r="G56" s="2">
        <v>36.896163940429688</v>
      </c>
      <c r="H56" s="2">
        <v>11.611170768737789</v>
      </c>
      <c r="I56" s="2">
        <v>274.42999267578119</v>
      </c>
      <c r="J56" s="2">
        <v>13.11999988555908</v>
      </c>
      <c r="K56" s="2">
        <v>417.4461669921875</v>
      </c>
      <c r="L56" s="2">
        <v>187.69000244140619</v>
      </c>
      <c r="M56" s="2">
        <v>219.57000732421881</v>
      </c>
      <c r="N56" s="12">
        <f t="shared" si="5"/>
        <v>4.2305367623896029E-3</v>
      </c>
      <c r="O56" s="12">
        <f t="shared" si="6"/>
        <v>-1.0018436051303259E-2</v>
      </c>
      <c r="P56" s="12">
        <f t="shared" si="7"/>
        <v>-8.5395870092963566E-4</v>
      </c>
      <c r="Q56" s="12">
        <f t="shared" si="8"/>
        <v>2.4221804042844353E-2</v>
      </c>
      <c r="R56" s="12">
        <f t="shared" si="9"/>
        <v>6.9274604407824958E-2</v>
      </c>
      <c r="S56" s="12">
        <f t="shared" si="10"/>
        <v>5.2619714238533177E-4</v>
      </c>
      <c r="T56" s="12">
        <f t="shared" si="11"/>
        <v>9.2398690606174672E-3</v>
      </c>
      <c r="U56" s="12">
        <f t="shared" si="12"/>
        <v>1.0319818174816531E-2</v>
      </c>
    </row>
    <row r="57" spans="1:21" x14ac:dyDescent="0.3">
      <c r="A57" s="13">
        <f t="shared" si="1"/>
        <v>53</v>
      </c>
      <c r="B57" s="1">
        <v>45580</v>
      </c>
      <c r="C57" s="7">
        <f t="shared" si="2"/>
        <v>2024</v>
      </c>
      <c r="D57" s="7">
        <f t="shared" si="3"/>
        <v>10</v>
      </c>
      <c r="E57" s="77">
        <v>19.684000000000001</v>
      </c>
      <c r="F57" s="2">
        <v>49.190727233886719</v>
      </c>
      <c r="G57" s="2">
        <v>37.269546508789063</v>
      </c>
      <c r="H57" s="2">
        <v>11.62109470367432</v>
      </c>
      <c r="I57" s="2">
        <v>267.94000244140619</v>
      </c>
      <c r="J57" s="2">
        <v>12.27000045776367</v>
      </c>
      <c r="K57" s="2">
        <v>417.22662353515619</v>
      </c>
      <c r="L57" s="2">
        <v>187.53999328613281</v>
      </c>
      <c r="M57" s="2">
        <v>219.1600036621094</v>
      </c>
      <c r="N57" s="12">
        <f t="shared" si="5"/>
        <v>-3.0674007111088919E-3</v>
      </c>
      <c r="O57" s="12">
        <f t="shared" si="6"/>
        <v>-7.0681185645458111E-3</v>
      </c>
      <c r="P57" s="12">
        <f t="shared" si="7"/>
        <v>-1.5966399312364765E-2</v>
      </c>
      <c r="Q57" s="12">
        <f t="shared" si="8"/>
        <v>-1.7923191626753932E-2</v>
      </c>
      <c r="R57" s="12">
        <f t="shared" si="9"/>
        <v>9.8766125926772474E-3</v>
      </c>
      <c r="S57" s="12">
        <f t="shared" si="10"/>
        <v>0</v>
      </c>
      <c r="T57" s="12">
        <f t="shared" si="11"/>
        <v>9.7387578519210205E-3</v>
      </c>
      <c r="U57" s="12">
        <f t="shared" si="12"/>
        <v>2.297862218902913E-2</v>
      </c>
    </row>
    <row r="58" spans="1:21" x14ac:dyDescent="0.3">
      <c r="A58" s="13">
        <f t="shared" si="1"/>
        <v>54</v>
      </c>
      <c r="B58" s="1">
        <v>45579</v>
      </c>
      <c r="C58" s="7">
        <f t="shared" si="2"/>
        <v>2024</v>
      </c>
      <c r="D58" s="7">
        <f t="shared" si="3"/>
        <v>10</v>
      </c>
      <c r="E58" s="77">
        <v>19.361999999999998</v>
      </c>
      <c r="F58" s="2">
        <v>49.342079162597663</v>
      </c>
      <c r="G58" s="2">
        <v>37.534847259521477</v>
      </c>
      <c r="H58" s="2">
        <v>11.809652328491209</v>
      </c>
      <c r="I58" s="2">
        <v>272.82998657226563</v>
      </c>
      <c r="J58" s="2">
        <v>12.14999961853027</v>
      </c>
      <c r="K58" s="2">
        <v>417.22662353515619</v>
      </c>
      <c r="L58" s="2">
        <v>188.82000732421881</v>
      </c>
      <c r="M58" s="2">
        <v>217.80000305175781</v>
      </c>
      <c r="N58" s="12">
        <f t="shared" si="5"/>
        <v>-5.7501940168913634E-4</v>
      </c>
      <c r="O58" s="12">
        <f t="shared" si="6"/>
        <v>3.151308159909938E-3</v>
      </c>
      <c r="P58" s="12">
        <f t="shared" si="7"/>
        <v>-9.1590622531062538E-3</v>
      </c>
      <c r="Q58" s="12">
        <f t="shared" si="8"/>
        <v>9.7708431363294768E-3</v>
      </c>
      <c r="R58" s="12">
        <f t="shared" si="9"/>
        <v>-1.6434229776743914E-3</v>
      </c>
      <c r="S58" s="12">
        <f t="shared" si="10"/>
        <v>6.3938163148035132E-2</v>
      </c>
      <c r="T58" s="12">
        <f t="shared" si="11"/>
        <v>1.7194887245034041E-2</v>
      </c>
      <c r="U58" s="12">
        <f t="shared" si="12"/>
        <v>-8.2803787159952846E-2</v>
      </c>
    </row>
    <row r="59" spans="1:21" x14ac:dyDescent="0.3">
      <c r="A59" s="13">
        <f t="shared" si="1"/>
        <v>55</v>
      </c>
      <c r="B59" s="1">
        <v>45576</v>
      </c>
      <c r="C59" s="7">
        <f t="shared" si="2"/>
        <v>2024</v>
      </c>
      <c r="D59" s="7">
        <f t="shared" si="3"/>
        <v>10</v>
      </c>
      <c r="E59" s="77">
        <v>19.256</v>
      </c>
      <c r="F59" s="2">
        <v>49.370468139648438</v>
      </c>
      <c r="G59" s="2">
        <v>37.416934967041023</v>
      </c>
      <c r="H59" s="2">
        <v>11.9188175201416</v>
      </c>
      <c r="I59" s="2">
        <v>270.19000244140619</v>
      </c>
      <c r="J59" s="2">
        <v>12.170000076293951</v>
      </c>
      <c r="K59" s="2">
        <v>392.153076171875</v>
      </c>
      <c r="L59" s="2">
        <v>186.6499938964844</v>
      </c>
      <c r="M59" s="2">
        <v>238.77000427246091</v>
      </c>
      <c r="N59" s="12">
        <f t="shared" si="5"/>
        <v>6.1695675611883605E-3</v>
      </c>
      <c r="O59" s="12">
        <f t="shared" si="6"/>
        <v>2.1052268084074122E-3</v>
      </c>
      <c r="P59" s="12">
        <f t="shared" si="7"/>
        <v>1.6934801222783902E-2</v>
      </c>
      <c r="Q59" s="12">
        <f t="shared" si="8"/>
        <v>9.1129876429736356E-3</v>
      </c>
      <c r="R59" s="12">
        <f t="shared" si="9"/>
        <v>3.2976060573495225E-3</v>
      </c>
      <c r="S59" s="12">
        <f t="shared" si="10"/>
        <v>0</v>
      </c>
      <c r="T59" s="12">
        <f t="shared" si="11"/>
        <v>-2.0613815134363778E-3</v>
      </c>
      <c r="U59" s="12">
        <f t="shared" si="12"/>
        <v>-1.9338563437554579E-2</v>
      </c>
    </row>
    <row r="60" spans="1:21" x14ac:dyDescent="0.3">
      <c r="A60" s="13">
        <f t="shared" si="1"/>
        <v>56</v>
      </c>
      <c r="B60" s="1">
        <v>45575</v>
      </c>
      <c r="C60" s="7">
        <f t="shared" si="2"/>
        <v>2024</v>
      </c>
      <c r="D60" s="7">
        <f t="shared" si="3"/>
        <v>10</v>
      </c>
      <c r="E60" s="77">
        <v>19.45</v>
      </c>
      <c r="F60" s="2">
        <v>49.067741394042969</v>
      </c>
      <c r="G60" s="2">
        <v>37.338329315185547</v>
      </c>
      <c r="H60" s="2">
        <v>11.72033596038818</v>
      </c>
      <c r="I60" s="2">
        <v>267.75</v>
      </c>
      <c r="J60" s="2">
        <v>12.13000011444092</v>
      </c>
      <c r="K60" s="2">
        <v>392.153076171875</v>
      </c>
      <c r="L60" s="2">
        <v>185.16999816894531</v>
      </c>
      <c r="M60" s="2">
        <v>241.05000305175781</v>
      </c>
      <c r="N60" s="12">
        <f t="shared" si="5"/>
        <v>2.5124355270667031E-3</v>
      </c>
      <c r="O60" s="12">
        <f t="shared" si="6"/>
        <v>5.5571616221452569E-3</v>
      </c>
      <c r="P60" s="12">
        <f t="shared" si="7"/>
        <v>8.4744541139558649E-4</v>
      </c>
      <c r="Q60" s="12">
        <f t="shared" si="8"/>
        <v>2.9174339756499856E-2</v>
      </c>
      <c r="R60" s="12">
        <f t="shared" si="9"/>
        <v>1.0833342870076645E-2</v>
      </c>
      <c r="S60" s="12">
        <f t="shared" si="10"/>
        <v>3.8193356162130598E-4</v>
      </c>
      <c r="T60" s="12">
        <f t="shared" si="11"/>
        <v>1.1328623867958187E-2</v>
      </c>
      <c r="U60" s="12">
        <f t="shared" si="12"/>
        <v>-1.6133792200774266E-2</v>
      </c>
    </row>
    <row r="61" spans="1:21" x14ac:dyDescent="0.3">
      <c r="A61" s="13">
        <f t="shared" si="1"/>
        <v>57</v>
      </c>
      <c r="B61" s="1">
        <v>45574</v>
      </c>
      <c r="C61" s="7">
        <f t="shared" si="2"/>
        <v>2024</v>
      </c>
      <c r="D61" s="7">
        <f t="shared" si="3"/>
        <v>10</v>
      </c>
      <c r="E61" s="77">
        <v>19.489999999999998</v>
      </c>
      <c r="F61" s="2">
        <v>48.944770812988281</v>
      </c>
      <c r="G61" s="2">
        <v>37.131980895996087</v>
      </c>
      <c r="H61" s="2">
        <v>11.71041202545166</v>
      </c>
      <c r="I61" s="2">
        <v>260.16000366210938</v>
      </c>
      <c r="J61" s="2">
        <v>12</v>
      </c>
      <c r="K61" s="2">
        <v>392.00335693359381</v>
      </c>
      <c r="L61" s="2">
        <v>182.7200012207031</v>
      </c>
      <c r="M61" s="2">
        <v>244.5</v>
      </c>
      <c r="N61" s="12">
        <f t="shared" si="5"/>
        <v>-5.0000566108524547E-3</v>
      </c>
      <c r="O61" s="12">
        <f t="shared" si="6"/>
        <v>-6.8331500677951684E-3</v>
      </c>
      <c r="P61" s="12">
        <f t="shared" si="7"/>
        <v>3.3274982301570999E-2</v>
      </c>
      <c r="Q61" s="12">
        <f t="shared" si="8"/>
        <v>-1.5515045606605216E-2</v>
      </c>
      <c r="R61" s="12">
        <f t="shared" si="9"/>
        <v>-2.4937434444797235E-3</v>
      </c>
      <c r="S61" s="12">
        <f t="shared" si="10"/>
        <v>0</v>
      </c>
      <c r="T61" s="12">
        <f t="shared" si="11"/>
        <v>1.8931935774073816E-2</v>
      </c>
      <c r="U61" s="12">
        <f t="shared" si="12"/>
        <v>2.3589430561596458E-2</v>
      </c>
    </row>
    <row r="62" spans="1:21" x14ac:dyDescent="0.3">
      <c r="A62" s="13">
        <f t="shared" si="1"/>
        <v>58</v>
      </c>
      <c r="B62" s="1">
        <v>45573</v>
      </c>
      <c r="C62" s="7">
        <f t="shared" si="2"/>
        <v>2024</v>
      </c>
      <c r="D62" s="7">
        <f t="shared" si="3"/>
        <v>10</v>
      </c>
      <c r="E62" s="77">
        <v>19.331</v>
      </c>
      <c r="F62" s="2">
        <v>49.190727233886719</v>
      </c>
      <c r="G62" s="2">
        <v>37.387454986572273</v>
      </c>
      <c r="H62" s="2">
        <v>11.333296775817869</v>
      </c>
      <c r="I62" s="2">
        <v>264.260009765625</v>
      </c>
      <c r="J62" s="2">
        <v>12.02999973297119</v>
      </c>
      <c r="K62" s="2">
        <v>392.00335693359381</v>
      </c>
      <c r="L62" s="2">
        <v>180.80000305175781</v>
      </c>
      <c r="M62" s="2">
        <v>240.83000183105469</v>
      </c>
      <c r="N62" s="12">
        <f t="shared" si="5"/>
        <v>-9.5235125229271578E-3</v>
      </c>
      <c r="O62" s="12">
        <f t="shared" si="6"/>
        <v>-1.3737777882879776E-2</v>
      </c>
      <c r="P62" s="12">
        <f t="shared" si="7"/>
        <v>-1.7482266360963061E-3</v>
      </c>
      <c r="Q62" s="12">
        <f t="shared" si="8"/>
        <v>-1.0854895406245513E-2</v>
      </c>
      <c r="R62" s="12">
        <f t="shared" si="9"/>
        <v>6.6945543918772721E-3</v>
      </c>
      <c r="S62" s="12">
        <f t="shared" si="10"/>
        <v>-5.3278400359668243E-2</v>
      </c>
      <c r="T62" s="12">
        <f t="shared" si="11"/>
        <v>-2.7546306096344897E-2</v>
      </c>
      <c r="U62" s="12">
        <f t="shared" si="12"/>
        <v>-3.3939708819023973E-2</v>
      </c>
    </row>
    <row r="63" spans="1:21" x14ac:dyDescent="0.3">
      <c r="A63" s="13">
        <f t="shared" si="1"/>
        <v>59</v>
      </c>
      <c r="B63" s="1">
        <v>45572</v>
      </c>
      <c r="C63" s="7">
        <f t="shared" si="2"/>
        <v>2024</v>
      </c>
      <c r="D63" s="7">
        <f t="shared" si="3"/>
        <v>10</v>
      </c>
      <c r="E63" s="77">
        <v>19.27</v>
      </c>
      <c r="F63" s="2">
        <v>49.663700103759773</v>
      </c>
      <c r="G63" s="2">
        <v>37.908229827880859</v>
      </c>
      <c r="H63" s="2">
        <v>11.35314464569092</v>
      </c>
      <c r="I63" s="2">
        <v>267.16000366210938</v>
      </c>
      <c r="J63" s="2">
        <v>11.94999980926514</v>
      </c>
      <c r="K63" s="2">
        <v>414.06402587890619</v>
      </c>
      <c r="L63" s="2">
        <v>186.50999450683591</v>
      </c>
      <c r="M63" s="2">
        <v>250.08000183105469</v>
      </c>
      <c r="N63" s="12">
        <f t="shared" si="5"/>
        <v>1.8230961647641042E-2</v>
      </c>
      <c r="O63" s="12">
        <f t="shared" si="6"/>
        <v>4.6875710869926923E-3</v>
      </c>
      <c r="P63" s="12">
        <f t="shared" si="7"/>
        <v>-1.8025820814944082E-2</v>
      </c>
      <c r="Q63" s="12">
        <f t="shared" si="8"/>
        <v>2.2230715220616926E-2</v>
      </c>
      <c r="R63" s="12">
        <f t="shared" si="9"/>
        <v>1.2711831873363666E-2</v>
      </c>
      <c r="S63" s="12">
        <f t="shared" si="10"/>
        <v>0</v>
      </c>
      <c r="T63" s="12">
        <f t="shared" si="11"/>
        <v>2.5697387540273287E-2</v>
      </c>
      <c r="U63" s="12">
        <f t="shared" si="12"/>
        <v>3.9843853688189546E-2</v>
      </c>
    </row>
    <row r="64" spans="1:21" x14ac:dyDescent="0.3">
      <c r="A64" s="13">
        <f t="shared" si="1"/>
        <v>60</v>
      </c>
      <c r="B64" s="1">
        <v>45569</v>
      </c>
      <c r="C64" s="7">
        <f t="shared" si="2"/>
        <v>2024</v>
      </c>
      <c r="D64" s="7">
        <f t="shared" si="3"/>
        <v>10</v>
      </c>
      <c r="E64" s="77">
        <v>19.257000000000001</v>
      </c>
      <c r="F64" s="2">
        <v>48.774494171142578</v>
      </c>
      <c r="G64" s="2">
        <v>37.731361389160163</v>
      </c>
      <c r="H64" s="2">
        <v>11.561551094055179</v>
      </c>
      <c r="I64" s="2">
        <v>261.35000610351563</v>
      </c>
      <c r="J64" s="2">
        <v>11.80000019073486</v>
      </c>
      <c r="K64" s="2">
        <v>414.06402587890619</v>
      </c>
      <c r="L64" s="2">
        <v>181.96000671386719</v>
      </c>
      <c r="M64" s="2">
        <v>240.6600036621094</v>
      </c>
      <c r="N64" s="12">
        <f t="shared" si="5"/>
        <v>-1.1503061911613321E-2</v>
      </c>
      <c r="O64" s="12">
        <f t="shared" si="6"/>
        <v>-1.538464907713788E-2</v>
      </c>
      <c r="P64" s="12">
        <f t="shared" si="7"/>
        <v>9.5320916166006242E-3</v>
      </c>
      <c r="Q64" s="12">
        <f t="shared" si="8"/>
        <v>-9.2121945827076113E-3</v>
      </c>
      <c r="R64" s="12">
        <f t="shared" si="9"/>
        <v>-4.6079199684524341E-2</v>
      </c>
      <c r="S64" s="12">
        <f t="shared" si="10"/>
        <v>0</v>
      </c>
      <c r="T64" s="12">
        <f t="shared" si="11"/>
        <v>-1.9381314973552999E-2</v>
      </c>
      <c r="U64" s="12">
        <f t="shared" si="12"/>
        <v>-3.7719149446687639E-2</v>
      </c>
    </row>
    <row r="65" spans="1:21" x14ac:dyDescent="0.3">
      <c r="A65" s="13">
        <f t="shared" si="1"/>
        <v>61</v>
      </c>
      <c r="B65" s="1">
        <v>45568</v>
      </c>
      <c r="C65" s="7">
        <f t="shared" si="2"/>
        <v>2024</v>
      </c>
      <c r="D65" s="7">
        <f t="shared" si="3"/>
        <v>10</v>
      </c>
      <c r="E65" s="77">
        <v>19.34</v>
      </c>
      <c r="F65" s="2">
        <v>49.342079162597663</v>
      </c>
      <c r="G65" s="2">
        <v>38.320915222167969</v>
      </c>
      <c r="H65" s="2">
        <v>11.45238590240479</v>
      </c>
      <c r="I65" s="2">
        <v>263.77999877929688</v>
      </c>
      <c r="J65" s="2">
        <v>12.36999988555908</v>
      </c>
      <c r="K65" s="2">
        <v>414.06402587890619</v>
      </c>
      <c r="L65" s="2">
        <v>184.75999450683591</v>
      </c>
      <c r="M65" s="2">
        <v>249.02000427246091</v>
      </c>
      <c r="N65" s="12">
        <f t="shared" si="5"/>
        <v>-6.8546503168570583E-3</v>
      </c>
      <c r="O65" s="12">
        <f t="shared" si="6"/>
        <v>-1.315786500744287E-2</v>
      </c>
      <c r="P65" s="12">
        <f t="shared" si="7"/>
        <v>-4.2323602147150474E-2</v>
      </c>
      <c r="Q65" s="12">
        <f t="shared" si="8"/>
        <v>1.0651336319145166E-2</v>
      </c>
      <c r="R65" s="12">
        <f t="shared" si="9"/>
        <v>-2.4193333785558213E-3</v>
      </c>
      <c r="S65" s="12">
        <f t="shared" si="10"/>
        <v>-2.4026456814096875E-5</v>
      </c>
      <c r="T65" s="12">
        <f t="shared" si="11"/>
        <v>-1.1492674108293133E-2</v>
      </c>
      <c r="U65" s="12">
        <f t="shared" si="12"/>
        <v>-5.1141556099470131E-2</v>
      </c>
    </row>
    <row r="66" spans="1:21" x14ac:dyDescent="0.3">
      <c r="A66" s="13">
        <f t="shared" si="1"/>
        <v>62</v>
      </c>
      <c r="B66" s="1">
        <v>45567</v>
      </c>
      <c r="C66" s="7">
        <f t="shared" si="2"/>
        <v>2024</v>
      </c>
      <c r="D66" s="7">
        <f t="shared" si="3"/>
        <v>10</v>
      </c>
      <c r="E66" s="77">
        <v>19.399999999999999</v>
      </c>
      <c r="F66" s="2">
        <v>49.682636260986328</v>
      </c>
      <c r="G66" s="2">
        <v>38.831859588623047</v>
      </c>
      <c r="H66" s="2">
        <v>11.958513259887701</v>
      </c>
      <c r="I66" s="2">
        <v>261</v>
      </c>
      <c r="J66" s="2">
        <v>12.39999961853027</v>
      </c>
      <c r="K66" s="2">
        <v>414.073974609375</v>
      </c>
      <c r="L66" s="2">
        <v>186.33000183105469</v>
      </c>
      <c r="M66" s="2">
        <v>261.6300048828125</v>
      </c>
      <c r="N66" s="12">
        <f t="shared" si="5"/>
        <v>-3.036893591529144E-3</v>
      </c>
      <c r="O66" s="12">
        <f t="shared" si="6"/>
        <v>-7.5849594974741752E-4</v>
      </c>
      <c r="P66" s="12">
        <f t="shared" si="7"/>
        <v>-1.7128940879169385E-2</v>
      </c>
      <c r="Q66" s="12">
        <f t="shared" si="8"/>
        <v>-3.729108442262774E-2</v>
      </c>
      <c r="R66" s="12">
        <f t="shared" si="9"/>
        <v>-3.8759691068654956E-2</v>
      </c>
      <c r="S66" s="12">
        <f t="shared" si="10"/>
        <v>0</v>
      </c>
      <c r="T66" s="12">
        <f t="shared" si="11"/>
        <v>-2.2728986086148817E-2</v>
      </c>
      <c r="U66" s="12">
        <f t="shared" si="12"/>
        <v>-9.6988097397687767E-3</v>
      </c>
    </row>
    <row r="67" spans="1:21" x14ac:dyDescent="0.3">
      <c r="A67" s="13">
        <f t="shared" si="1"/>
        <v>63</v>
      </c>
      <c r="B67" s="1">
        <v>45565</v>
      </c>
      <c r="C67" s="7">
        <f t="shared" si="2"/>
        <v>2024</v>
      </c>
      <c r="D67" s="7">
        <f t="shared" si="3"/>
        <v>9</v>
      </c>
      <c r="E67" s="77">
        <v>19.678000000000001</v>
      </c>
      <c r="F67" s="2">
        <v>49.833976745605469</v>
      </c>
      <c r="G67" s="2">
        <v>38.861335754394531</v>
      </c>
      <c r="H67" s="2">
        <v>12.16691970825195</v>
      </c>
      <c r="I67" s="2">
        <v>271.1099853515625</v>
      </c>
      <c r="J67" s="2">
        <v>12.89999961853027</v>
      </c>
      <c r="K67" s="2">
        <v>414.073974609375</v>
      </c>
      <c r="L67" s="2">
        <v>187.9700012207031</v>
      </c>
      <c r="M67" s="2">
        <v>260.45999145507813</v>
      </c>
      <c r="N67" s="12">
        <f t="shared" si="5"/>
        <v>-1.6809850146357053E-2</v>
      </c>
      <c r="O67" s="12">
        <f t="shared" si="6"/>
        <v>-9.0203351266221476E-3</v>
      </c>
      <c r="P67" s="12">
        <f t="shared" si="7"/>
        <v>-2.5437216602601453E-2</v>
      </c>
      <c r="Q67" s="12">
        <f t="shared" si="8"/>
        <v>-7.2652711847156382E-2</v>
      </c>
      <c r="R67" s="12">
        <f t="shared" si="9"/>
        <v>1.4948826106455204E-2</v>
      </c>
      <c r="S67" s="12">
        <f t="shared" si="10"/>
        <v>1.5911740920334427E-2</v>
      </c>
      <c r="T67" s="12">
        <f t="shared" si="11"/>
        <v>-1.7885426427592832E-2</v>
      </c>
      <c r="U67" s="12">
        <f t="shared" si="12"/>
        <v>2.3297579861264905E-2</v>
      </c>
    </row>
    <row r="68" spans="1:21" x14ac:dyDescent="0.3">
      <c r="A68" s="13">
        <f t="shared" si="1"/>
        <v>64</v>
      </c>
      <c r="B68" s="1">
        <v>45562</v>
      </c>
      <c r="C68" s="7">
        <f t="shared" si="2"/>
        <v>2024</v>
      </c>
      <c r="D68" s="7">
        <f t="shared" si="3"/>
        <v>9</v>
      </c>
      <c r="E68" s="77">
        <v>19.702000000000002</v>
      </c>
      <c r="F68" s="2">
        <v>50.686000823974609</v>
      </c>
      <c r="G68" s="2">
        <v>39.215068817138672</v>
      </c>
      <c r="H68" s="2">
        <v>12.48449039459229</v>
      </c>
      <c r="I68" s="2">
        <v>292.35000610351563</v>
      </c>
      <c r="J68" s="2">
        <v>12.710000038146971</v>
      </c>
      <c r="K68" s="2">
        <v>407.58853149414063</v>
      </c>
      <c r="L68" s="2">
        <v>191.1600036621094</v>
      </c>
      <c r="M68" s="2">
        <v>254.2200012207031</v>
      </c>
      <c r="N68" s="12">
        <f t="shared" si="5"/>
        <v>1.2641411838479888E-2</v>
      </c>
      <c r="O68" s="12">
        <f t="shared" si="6"/>
        <v>2.019429947302176E-2</v>
      </c>
      <c r="P68" s="12">
        <f t="shared" si="7"/>
        <v>5.5955195898886867E-3</v>
      </c>
      <c r="Q68" s="12">
        <f t="shared" si="8"/>
        <v>4.0650744760151625E-2</v>
      </c>
      <c r="R68" s="12">
        <f t="shared" si="9"/>
        <v>2.8317183753370223E-2</v>
      </c>
      <c r="S68" s="12">
        <f t="shared" si="10"/>
        <v>1.6295520141594855E-2</v>
      </c>
      <c r="T68" s="12">
        <f t="shared" si="11"/>
        <v>-2.508514803962747E-3</v>
      </c>
      <c r="U68" s="12">
        <f t="shared" si="12"/>
        <v>-6.3043450292843417E-3</v>
      </c>
    </row>
    <row r="69" spans="1:21" x14ac:dyDescent="0.3">
      <c r="A69" s="13">
        <f t="shared" ref="A69:A132" si="13">+A70-1</f>
        <v>65</v>
      </c>
      <c r="B69" s="1">
        <v>45561</v>
      </c>
      <c r="C69" s="7">
        <f t="shared" ref="C69:C132" si="14">+YEAR(B69)</f>
        <v>2024</v>
      </c>
      <c r="D69" s="7">
        <f t="shared" ref="D69:D132" si="15">+MONTH(B69)</f>
        <v>9</v>
      </c>
      <c r="E69" s="77">
        <v>19.611000000000001</v>
      </c>
      <c r="F69" s="2">
        <v>50.053256988525391</v>
      </c>
      <c r="G69" s="2">
        <v>38.438823699951172</v>
      </c>
      <c r="H69" s="2">
        <v>12.415021896362299</v>
      </c>
      <c r="I69" s="2">
        <v>280.92999267578119</v>
      </c>
      <c r="J69" s="2">
        <v>12.35999965667725</v>
      </c>
      <c r="K69" s="2">
        <v>401.05316162109381</v>
      </c>
      <c r="L69" s="2">
        <v>192.5299987792969</v>
      </c>
      <c r="M69" s="2">
        <v>257.01998901367188</v>
      </c>
      <c r="N69" s="12">
        <f t="shared" si="5"/>
        <v>-8.7899408333194096E-3</v>
      </c>
      <c r="O69" s="12">
        <f t="shared" si="6"/>
        <v>-2.5411060273493824E-2</v>
      </c>
      <c r="P69" s="12">
        <f t="shared" si="7"/>
        <v>-5.5643839703767295E-3</v>
      </c>
      <c r="Q69" s="12">
        <f t="shared" si="8"/>
        <v>-5.3916648595650818E-2</v>
      </c>
      <c r="R69" s="12">
        <f t="shared" si="9"/>
        <v>1.8961215174475798E-2</v>
      </c>
      <c r="S69" s="12">
        <f t="shared" si="10"/>
        <v>-1.2432148165630874E-4</v>
      </c>
      <c r="T69" s="12">
        <f t="shared" si="11"/>
        <v>-8.0302648741817917E-3</v>
      </c>
      <c r="U69" s="12">
        <f t="shared" si="12"/>
        <v>1.0145596187703498E-2</v>
      </c>
    </row>
    <row r="70" spans="1:21" x14ac:dyDescent="0.3">
      <c r="A70" s="13">
        <f t="shared" si="13"/>
        <v>66</v>
      </c>
      <c r="B70" s="1">
        <v>45560</v>
      </c>
      <c r="C70" s="7">
        <f t="shared" si="14"/>
        <v>2024</v>
      </c>
      <c r="D70" s="7">
        <f t="shared" si="15"/>
        <v>9</v>
      </c>
      <c r="E70" s="77">
        <v>19.623999999999999</v>
      </c>
      <c r="F70" s="2">
        <v>50.497123718261719</v>
      </c>
      <c r="G70" s="2">
        <v>39.441062927246087</v>
      </c>
      <c r="H70" s="2">
        <v>12.48449039459229</v>
      </c>
      <c r="I70" s="2">
        <v>296.94000244140619</v>
      </c>
      <c r="J70" s="2">
        <v>12.13000011444092</v>
      </c>
      <c r="K70" s="2">
        <v>401.10302734375</v>
      </c>
      <c r="L70" s="2">
        <v>193.96000671386719</v>
      </c>
      <c r="M70" s="2">
        <v>254.27000427246091</v>
      </c>
      <c r="N70" s="12">
        <f t="shared" ref="N70:N133" si="16">+F70/F71-1</f>
        <v>2.3741173217002975E-2</v>
      </c>
      <c r="O70" s="12">
        <f t="shared" ref="O70:O133" si="17">+G70/G71-1</f>
        <v>1.1847711372362069E-2</v>
      </c>
      <c r="P70" s="12">
        <f t="shared" ref="P70:P133" si="18">+H70/H71-1</f>
        <v>3.9905191425200215E-3</v>
      </c>
      <c r="Q70" s="12">
        <f t="shared" ref="Q70:Q133" si="19">+I70/I71-1</f>
        <v>7.6649802697983827E-2</v>
      </c>
      <c r="R70" s="12">
        <f t="shared" ref="R70:R133" si="20">+J70/J71-1</f>
        <v>-1.7813786253715769E-2</v>
      </c>
      <c r="S70" s="12">
        <f t="shared" ref="S70:S133" si="21">+K70/K71-1</f>
        <v>1.3743606324520874E-2</v>
      </c>
      <c r="T70" s="12">
        <f t="shared" ref="T70:T133" si="22">(L70*$E70)/(L71*$E71)-1</f>
        <v>1.6890995801976061E-2</v>
      </c>
      <c r="U70" s="12">
        <f t="shared" ref="U70:U133" si="23">(M70*$E70)/(M71*$E71)-1</f>
        <v>3.3832914916144707E-2</v>
      </c>
    </row>
    <row r="71" spans="1:21" x14ac:dyDescent="0.3">
      <c r="A71" s="13">
        <f t="shared" si="13"/>
        <v>67</v>
      </c>
      <c r="B71" s="1">
        <v>45559</v>
      </c>
      <c r="C71" s="7">
        <f t="shared" si="14"/>
        <v>2024</v>
      </c>
      <c r="D71" s="7">
        <f t="shared" si="15"/>
        <v>9</v>
      </c>
      <c r="E71" s="77">
        <v>19.306000000000001</v>
      </c>
      <c r="F71" s="2">
        <v>49.326065063476563</v>
      </c>
      <c r="G71" s="2">
        <v>38.979248046875</v>
      </c>
      <c r="H71" s="2">
        <v>12.43486881256104</v>
      </c>
      <c r="I71" s="2">
        <v>275.79998779296881</v>
      </c>
      <c r="J71" s="2">
        <v>12.35000038146973</v>
      </c>
      <c r="K71" s="2">
        <v>395.6651611328125</v>
      </c>
      <c r="L71" s="2">
        <v>193.8800048828125</v>
      </c>
      <c r="M71" s="2">
        <v>250</v>
      </c>
      <c r="N71" s="12">
        <f t="shared" si="16"/>
        <v>1.3420373970762789E-3</v>
      </c>
      <c r="O71" s="12">
        <f t="shared" si="17"/>
        <v>-1.0072856384608642E-3</v>
      </c>
      <c r="P71" s="12">
        <f t="shared" si="18"/>
        <v>-9.486181741580002E-3</v>
      </c>
      <c r="Q71" s="12">
        <f t="shared" si="19"/>
        <v>-2.1347618372509203E-3</v>
      </c>
      <c r="R71" s="12">
        <f t="shared" si="20"/>
        <v>-9.6230860456647527E-3</v>
      </c>
      <c r="S71" s="12">
        <f t="shared" si="21"/>
        <v>8.0071266373697991E-3</v>
      </c>
      <c r="T71" s="12">
        <f t="shared" si="22"/>
        <v>6.2187607108392662E-3</v>
      </c>
      <c r="U71" s="12">
        <f t="shared" si="23"/>
        <v>4.3426845946992643E-2</v>
      </c>
    </row>
    <row r="72" spans="1:21" x14ac:dyDescent="0.3">
      <c r="A72" s="13">
        <f t="shared" si="13"/>
        <v>68</v>
      </c>
      <c r="B72" s="1">
        <v>45558</v>
      </c>
      <c r="C72" s="7">
        <f t="shared" si="14"/>
        <v>2024</v>
      </c>
      <c r="D72" s="7">
        <f t="shared" si="15"/>
        <v>9</v>
      </c>
      <c r="E72" s="77">
        <v>19.414999999999999</v>
      </c>
      <c r="F72" s="2">
        <v>49.259956359863281</v>
      </c>
      <c r="G72" s="2">
        <v>39.018550872802727</v>
      </c>
      <c r="H72" s="2">
        <v>12.553957939147949</v>
      </c>
      <c r="I72" s="2">
        <v>276.3900146484375</v>
      </c>
      <c r="J72" s="2">
        <v>12.47000026702881</v>
      </c>
      <c r="K72" s="2">
        <v>392.52218627929688</v>
      </c>
      <c r="L72" s="2">
        <v>191.6000061035156</v>
      </c>
      <c r="M72" s="2">
        <v>238.25</v>
      </c>
      <c r="N72" s="12">
        <f t="shared" si="16"/>
        <v>-1.0997492952711241E-2</v>
      </c>
      <c r="O72" s="12">
        <f t="shared" si="17"/>
        <v>1.1461973708164486E-2</v>
      </c>
      <c r="P72" s="12">
        <f t="shared" si="18"/>
        <v>2.5952897808341424E-2</v>
      </c>
      <c r="Q72" s="12">
        <f t="shared" si="19"/>
        <v>5.1432342155379063E-2</v>
      </c>
      <c r="R72" s="12">
        <f t="shared" si="20"/>
        <v>-1.500786592996195E-2</v>
      </c>
      <c r="S72" s="12">
        <f t="shared" si="21"/>
        <v>0</v>
      </c>
      <c r="T72" s="12">
        <f t="shared" si="22"/>
        <v>9.6836141418694677E-3</v>
      </c>
      <c r="U72" s="12">
        <f t="shared" si="23"/>
        <v>-2.2691603198664589E-2</v>
      </c>
    </row>
    <row r="73" spans="1:21" x14ac:dyDescent="0.3">
      <c r="A73" s="13">
        <f t="shared" si="13"/>
        <v>69</v>
      </c>
      <c r="B73" s="1">
        <v>45555</v>
      </c>
      <c r="C73" s="7">
        <f t="shared" si="14"/>
        <v>2024</v>
      </c>
      <c r="D73" s="7">
        <f t="shared" si="15"/>
        <v>9</v>
      </c>
      <c r="E73" s="77">
        <v>19.404</v>
      </c>
      <c r="F73" s="2">
        <v>49.807716369628913</v>
      </c>
      <c r="G73" s="2">
        <v>38.576389312744141</v>
      </c>
      <c r="H73" s="2">
        <v>12.23638820648193</v>
      </c>
      <c r="I73" s="2">
        <v>262.8699951171875</v>
      </c>
      <c r="J73" s="2">
        <v>12.659999847412109</v>
      </c>
      <c r="K73" s="2">
        <v>392.52218627929688</v>
      </c>
      <c r="L73" s="2">
        <v>189.8699951171875</v>
      </c>
      <c r="M73" s="2">
        <v>243.91999816894531</v>
      </c>
      <c r="N73" s="12">
        <f t="shared" si="16"/>
        <v>4.3802809739896809E-3</v>
      </c>
      <c r="O73" s="12">
        <f t="shared" si="17"/>
        <v>-1.2078497435622171E-2</v>
      </c>
      <c r="P73" s="12">
        <f t="shared" si="18"/>
        <v>2.921542073290917E-2</v>
      </c>
      <c r="Q73" s="12">
        <f t="shared" si="19"/>
        <v>2.5593997975416727E-2</v>
      </c>
      <c r="R73" s="12">
        <f t="shared" si="20"/>
        <v>-2.1638310823105744E-2</v>
      </c>
      <c r="S73" s="12">
        <f t="shared" si="21"/>
        <v>2.0492900716184481E-2</v>
      </c>
      <c r="T73" s="12">
        <f t="shared" si="22"/>
        <v>2.3940011099035319E-2</v>
      </c>
      <c r="U73" s="12">
        <f t="shared" si="23"/>
        <v>7.9376712226415735E-2</v>
      </c>
    </row>
    <row r="74" spans="1:21" x14ac:dyDescent="0.3">
      <c r="A74" s="13">
        <f t="shared" si="13"/>
        <v>70</v>
      </c>
      <c r="B74" s="1">
        <v>45554</v>
      </c>
      <c r="C74" s="7">
        <f t="shared" si="14"/>
        <v>2024</v>
      </c>
      <c r="D74" s="7">
        <f t="shared" si="15"/>
        <v>9</v>
      </c>
      <c r="E74" s="77">
        <v>19.3</v>
      </c>
      <c r="F74" s="2">
        <v>49.590496063232422</v>
      </c>
      <c r="G74" s="2">
        <v>39.048030853271477</v>
      </c>
      <c r="H74" s="2">
        <v>11.88904476165771</v>
      </c>
      <c r="I74" s="2">
        <v>256.30999755859381</v>
      </c>
      <c r="J74" s="2">
        <v>12.939999580383301</v>
      </c>
      <c r="K74" s="2">
        <v>384.63980102539063</v>
      </c>
      <c r="L74" s="2">
        <v>186.42999267578119</v>
      </c>
      <c r="M74" s="2">
        <v>227.19999694824219</v>
      </c>
      <c r="N74" s="12">
        <f t="shared" si="16"/>
        <v>6.5171961175554127E-3</v>
      </c>
      <c r="O74" s="12">
        <f t="shared" si="17"/>
        <v>-6.2515763641779465E-3</v>
      </c>
      <c r="P74" s="12">
        <f t="shared" si="18"/>
        <v>1.9574348296633293E-2</v>
      </c>
      <c r="Q74" s="12">
        <f t="shared" si="19"/>
        <v>-6.2037380512457441E-3</v>
      </c>
      <c r="R74" s="12">
        <f t="shared" si="20"/>
        <v>0</v>
      </c>
      <c r="S74" s="12">
        <f t="shared" si="21"/>
        <v>-1.1563967469126579E-2</v>
      </c>
      <c r="T74" s="12">
        <f t="shared" si="22"/>
        <v>-1.5285449572149945E-3</v>
      </c>
      <c r="U74" s="12">
        <f t="shared" si="23"/>
        <v>-2.0612515847953095E-3</v>
      </c>
    </row>
    <row r="75" spans="1:21" x14ac:dyDescent="0.3">
      <c r="A75" s="13">
        <f t="shared" si="13"/>
        <v>71</v>
      </c>
      <c r="B75" s="1">
        <v>45553</v>
      </c>
      <c r="C75" s="7">
        <f t="shared" si="14"/>
        <v>2024</v>
      </c>
      <c r="D75" s="7">
        <f t="shared" si="15"/>
        <v>9</v>
      </c>
      <c r="E75" s="77">
        <v>19.283000000000001</v>
      </c>
      <c r="F75" s="2">
        <v>49.269397735595703</v>
      </c>
      <c r="G75" s="2">
        <v>39.293678283691413</v>
      </c>
      <c r="H75" s="2">
        <v>11.660792350769039</v>
      </c>
      <c r="I75" s="2">
        <v>257.91000366210938</v>
      </c>
      <c r="J75" s="2">
        <v>12.939999580383301</v>
      </c>
      <c r="K75" s="2">
        <v>389.13980102539063</v>
      </c>
      <c r="L75" s="2">
        <v>186.8800048828125</v>
      </c>
      <c r="M75" s="2">
        <v>227.8699951171875</v>
      </c>
      <c r="N75" s="12">
        <f t="shared" si="16"/>
        <v>5.3959258027898027E-3</v>
      </c>
      <c r="O75" s="12">
        <f t="shared" si="17"/>
        <v>4.0593398558226079E-2</v>
      </c>
      <c r="P75" s="12">
        <f t="shared" si="18"/>
        <v>1.3805137948980972E-2</v>
      </c>
      <c r="Q75" s="12">
        <f t="shared" si="19"/>
        <v>3.5159582501392839E-2</v>
      </c>
      <c r="R75" s="12">
        <f t="shared" si="20"/>
        <v>3.7690401226148085E-2</v>
      </c>
      <c r="S75" s="12">
        <f t="shared" si="21"/>
        <v>-4.8756040979931026E-2</v>
      </c>
      <c r="T75" s="12">
        <f t="shared" si="22"/>
        <v>1.2116373228501898E-2</v>
      </c>
      <c r="U75" s="12">
        <f t="shared" si="23"/>
        <v>-6.0942026417820649E-4</v>
      </c>
    </row>
    <row r="76" spans="1:21" x14ac:dyDescent="0.3">
      <c r="A76" s="13">
        <f t="shared" si="13"/>
        <v>72</v>
      </c>
      <c r="B76" s="1">
        <v>45552</v>
      </c>
      <c r="C76" s="7">
        <f t="shared" si="14"/>
        <v>2024</v>
      </c>
      <c r="D76" s="7">
        <f t="shared" si="15"/>
        <v>9</v>
      </c>
      <c r="E76" s="77">
        <v>19.091999999999999</v>
      </c>
      <c r="F76" s="2">
        <v>49.004970550537109</v>
      </c>
      <c r="G76" s="2">
        <v>37.760837554931641</v>
      </c>
      <c r="H76" s="2">
        <v>11.502005577087401</v>
      </c>
      <c r="I76" s="2">
        <v>249.1499938964844</v>
      </c>
      <c r="J76" s="2">
        <v>12.47000026702881</v>
      </c>
      <c r="K76" s="2">
        <v>409.08517456054688</v>
      </c>
      <c r="L76" s="2">
        <v>186.49000549316409</v>
      </c>
      <c r="M76" s="2">
        <v>230.28999328613281</v>
      </c>
      <c r="N76" s="12">
        <f t="shared" si="16"/>
        <v>-1.5392312377824346E-3</v>
      </c>
      <c r="O76" s="12">
        <f t="shared" si="17"/>
        <v>-2.1639559110155471E-2</v>
      </c>
      <c r="P76" s="12">
        <f t="shared" si="18"/>
        <v>-6.0035087774243934E-3</v>
      </c>
      <c r="Q76" s="12">
        <f t="shared" si="19"/>
        <v>3.4332401386720557E-2</v>
      </c>
      <c r="R76" s="12">
        <f t="shared" si="20"/>
        <v>-2.1960763370289405E-2</v>
      </c>
      <c r="S76" s="12">
        <f t="shared" si="21"/>
        <v>2.7543107105874265E-2</v>
      </c>
      <c r="T76" s="12">
        <f t="shared" si="22"/>
        <v>-7.6650091248032792E-3</v>
      </c>
      <c r="U76" s="12">
        <f t="shared" si="23"/>
        <v>-2.8729472373306697E-3</v>
      </c>
    </row>
    <row r="77" spans="1:21" x14ac:dyDescent="0.3">
      <c r="A77" s="13">
        <f t="shared" si="13"/>
        <v>73</v>
      </c>
      <c r="B77" s="1">
        <v>45548</v>
      </c>
      <c r="C77" s="7">
        <f t="shared" si="14"/>
        <v>2024</v>
      </c>
      <c r="D77" s="7">
        <f t="shared" si="15"/>
        <v>9</v>
      </c>
      <c r="E77" s="77">
        <v>19.187000000000001</v>
      </c>
      <c r="F77" s="2">
        <v>49.080516815185547</v>
      </c>
      <c r="G77" s="2">
        <v>38.596038818359382</v>
      </c>
      <c r="H77" s="2">
        <v>11.571475028991699</v>
      </c>
      <c r="I77" s="2">
        <v>240.8800048828125</v>
      </c>
      <c r="J77" s="2">
        <v>12.75</v>
      </c>
      <c r="K77" s="2">
        <v>398.11972045898438</v>
      </c>
      <c r="L77" s="2">
        <v>187</v>
      </c>
      <c r="M77" s="2">
        <v>229.80999755859381</v>
      </c>
      <c r="N77" s="12">
        <f t="shared" si="16"/>
        <v>1.5039209791020136E-2</v>
      </c>
      <c r="O77" s="12">
        <f t="shared" si="17"/>
        <v>2.5052165839753782E-2</v>
      </c>
      <c r="P77" s="12">
        <f t="shared" si="18"/>
        <v>2.2807112191593815E-2</v>
      </c>
      <c r="Q77" s="12">
        <f t="shared" si="19"/>
        <v>2.0461774067402239E-2</v>
      </c>
      <c r="R77" s="12">
        <f t="shared" si="20"/>
        <v>7.1090168777756535E-3</v>
      </c>
      <c r="S77" s="12">
        <f t="shared" si="21"/>
        <v>0</v>
      </c>
      <c r="T77" s="12">
        <f t="shared" si="22"/>
        <v>-3.3378701327666516E-3</v>
      </c>
      <c r="U77" s="12">
        <f t="shared" si="23"/>
        <v>-9.3133412897111745E-3</v>
      </c>
    </row>
    <row r="78" spans="1:21" x14ac:dyDescent="0.3">
      <c r="A78" s="13">
        <f t="shared" si="13"/>
        <v>74</v>
      </c>
      <c r="B78" s="1">
        <v>45547</v>
      </c>
      <c r="C78" s="7">
        <f t="shared" si="14"/>
        <v>2024</v>
      </c>
      <c r="D78" s="7">
        <f t="shared" si="15"/>
        <v>9</v>
      </c>
      <c r="E78" s="77">
        <v>19.510000000000002</v>
      </c>
      <c r="F78" s="2">
        <v>48.353321075439453</v>
      </c>
      <c r="G78" s="2">
        <v>37.652755737304688</v>
      </c>
      <c r="H78" s="2">
        <v>11.31344795227051</v>
      </c>
      <c r="I78" s="2">
        <v>236.05000305175781</v>
      </c>
      <c r="J78" s="2">
        <v>12.659999847412109</v>
      </c>
      <c r="K78" s="2">
        <v>398.11972045898438</v>
      </c>
      <c r="L78" s="2">
        <v>184.52000427246091</v>
      </c>
      <c r="M78" s="2">
        <v>228.1300048828125</v>
      </c>
      <c r="N78" s="12">
        <f t="shared" si="16"/>
        <v>6.0913791000072326E-3</v>
      </c>
      <c r="O78" s="12">
        <f t="shared" si="17"/>
        <v>-5.2158882578723365E-4</v>
      </c>
      <c r="P78" s="12">
        <f t="shared" si="18"/>
        <v>1.4234755264239674E-2</v>
      </c>
      <c r="Q78" s="12">
        <f t="shared" si="19"/>
        <v>-8.1098945727812177E-3</v>
      </c>
      <c r="R78" s="12">
        <f t="shared" si="20"/>
        <v>2.0145044566792114E-2</v>
      </c>
      <c r="S78" s="12">
        <f t="shared" si="21"/>
        <v>0</v>
      </c>
      <c r="T78" s="12">
        <f t="shared" si="22"/>
        <v>1.3344941294529455E-2</v>
      </c>
      <c r="U78" s="12">
        <f t="shared" si="23"/>
        <v>-5.4040649734993229E-3</v>
      </c>
    </row>
    <row r="79" spans="1:21" x14ac:dyDescent="0.3">
      <c r="A79" s="13">
        <f t="shared" si="13"/>
        <v>75</v>
      </c>
      <c r="B79" s="1">
        <v>45546</v>
      </c>
      <c r="C79" s="7">
        <f t="shared" si="14"/>
        <v>2024</v>
      </c>
      <c r="D79" s="7">
        <f t="shared" si="15"/>
        <v>9</v>
      </c>
      <c r="E79" s="77">
        <v>19.786000000000001</v>
      </c>
      <c r="F79" s="2">
        <v>48.060565948486328</v>
      </c>
      <c r="G79" s="2">
        <v>37.672405242919922</v>
      </c>
      <c r="H79" s="2">
        <v>11.15466403961182</v>
      </c>
      <c r="I79" s="2">
        <v>237.97999572753909</v>
      </c>
      <c r="J79" s="2">
        <v>12.409999847412109</v>
      </c>
      <c r="K79" s="2">
        <v>398.11972045898438</v>
      </c>
      <c r="L79" s="2">
        <v>179.55000305175781</v>
      </c>
      <c r="M79" s="2">
        <v>226.16999816894531</v>
      </c>
      <c r="N79" s="12">
        <f t="shared" si="16"/>
        <v>-4.3044263554654627E-3</v>
      </c>
      <c r="O79" s="12">
        <f t="shared" si="17"/>
        <v>7.8480943816548576E-2</v>
      </c>
      <c r="P79" s="12">
        <f t="shared" si="18"/>
        <v>-3.5460482357632106E-3</v>
      </c>
      <c r="Q79" s="12">
        <f t="shared" si="19"/>
        <v>2.1066581923988581E-2</v>
      </c>
      <c r="R79" s="12">
        <f t="shared" si="20"/>
        <v>2.3083242401444437E-2</v>
      </c>
      <c r="S79" s="12">
        <f t="shared" si="21"/>
        <v>0</v>
      </c>
      <c r="T79" s="12">
        <f t="shared" si="22"/>
        <v>7.9445554769537186E-3</v>
      </c>
      <c r="U79" s="12">
        <f t="shared" si="23"/>
        <v>2.9720848954971402E-2</v>
      </c>
    </row>
    <row r="80" spans="1:21" x14ac:dyDescent="0.3">
      <c r="A80" s="13">
        <f t="shared" si="13"/>
        <v>76</v>
      </c>
      <c r="B80" s="1">
        <v>45545</v>
      </c>
      <c r="C80" s="7">
        <f t="shared" si="14"/>
        <v>2024</v>
      </c>
      <c r="D80" s="7">
        <f t="shared" si="15"/>
        <v>9</v>
      </c>
      <c r="E80" s="77">
        <v>20.0945</v>
      </c>
      <c r="F80" s="2">
        <v>48.268333435058587</v>
      </c>
      <c r="G80" s="2">
        <v>34.930988311767578</v>
      </c>
      <c r="H80" s="2">
        <v>11.19435977935791</v>
      </c>
      <c r="I80" s="2">
        <v>233.07000732421881</v>
      </c>
      <c r="J80" s="2">
        <v>12.13000011444092</v>
      </c>
      <c r="K80" s="2">
        <v>398.11972045898438</v>
      </c>
      <c r="L80" s="2">
        <v>175.3999938964844</v>
      </c>
      <c r="M80" s="2">
        <v>216.27000427246091</v>
      </c>
      <c r="N80" s="12">
        <f t="shared" si="16"/>
        <v>3.913568174831461E-4</v>
      </c>
      <c r="O80" s="12">
        <f t="shared" si="17"/>
        <v>4.3133829792008971E-2</v>
      </c>
      <c r="P80" s="12">
        <f t="shared" si="18"/>
        <v>-9.657623788188352E-3</v>
      </c>
      <c r="Q80" s="12">
        <f t="shared" si="19"/>
        <v>1.2951501733052373E-2</v>
      </c>
      <c r="R80" s="12">
        <f t="shared" si="20"/>
        <v>2.6226770526266874E-2</v>
      </c>
      <c r="S80" s="12">
        <f t="shared" si="21"/>
        <v>-4.9625308403878909E-3</v>
      </c>
      <c r="T80" s="12">
        <f t="shared" si="22"/>
        <v>3.4387052317896849E-2</v>
      </c>
      <c r="U80" s="12">
        <f t="shared" si="23"/>
        <v>3.7310823717297881E-2</v>
      </c>
    </row>
    <row r="81" spans="1:21" x14ac:dyDescent="0.3">
      <c r="A81" s="13">
        <f t="shared" si="13"/>
        <v>77</v>
      </c>
      <c r="B81" s="1">
        <v>45544</v>
      </c>
      <c r="C81" s="7">
        <f t="shared" si="14"/>
        <v>2024</v>
      </c>
      <c r="D81" s="7">
        <f t="shared" si="15"/>
        <v>9</v>
      </c>
      <c r="E81" s="77">
        <v>19.881</v>
      </c>
      <c r="F81" s="2">
        <v>48.24945068359375</v>
      </c>
      <c r="G81" s="2">
        <v>33.486583709716797</v>
      </c>
      <c r="H81" s="2">
        <v>11.303524971008301</v>
      </c>
      <c r="I81" s="2">
        <v>230.0899963378906</v>
      </c>
      <c r="J81" s="2">
        <v>11.819999694824221</v>
      </c>
      <c r="K81" s="2">
        <v>400.10525512695313</v>
      </c>
      <c r="L81" s="2">
        <v>171.38999938964841</v>
      </c>
      <c r="M81" s="2">
        <v>210.72999572753909</v>
      </c>
      <c r="N81" s="12">
        <f t="shared" si="16"/>
        <v>-1.103380763162054E-2</v>
      </c>
      <c r="O81" s="12">
        <f t="shared" si="17"/>
        <v>-6.4139407767357381E-3</v>
      </c>
      <c r="P81" s="12">
        <f t="shared" si="18"/>
        <v>-2.3156084882183459E-2</v>
      </c>
      <c r="Q81" s="12">
        <f t="shared" si="19"/>
        <v>-1.2065253895381156E-2</v>
      </c>
      <c r="R81" s="12">
        <f t="shared" si="20"/>
        <v>1.0256400642336239E-2</v>
      </c>
      <c r="S81" s="12">
        <f t="shared" si="21"/>
        <v>-7.0683529818630686E-2</v>
      </c>
      <c r="T81" s="12">
        <f t="shared" si="22"/>
        <v>-4.0785242096688434E-2</v>
      </c>
      <c r="U81" s="12">
        <f t="shared" si="23"/>
        <v>-8.8493956615981695E-2</v>
      </c>
    </row>
    <row r="82" spans="1:21" x14ac:dyDescent="0.3">
      <c r="A82" s="13">
        <f t="shared" si="13"/>
        <v>78</v>
      </c>
      <c r="B82" s="1">
        <v>45541</v>
      </c>
      <c r="C82" s="7">
        <f t="shared" si="14"/>
        <v>2024</v>
      </c>
      <c r="D82" s="7">
        <f t="shared" si="15"/>
        <v>9</v>
      </c>
      <c r="E82" s="77">
        <v>19.969000000000001</v>
      </c>
      <c r="F82" s="2">
        <v>48.787765502929688</v>
      </c>
      <c r="G82" s="2">
        <v>33.702751159667969</v>
      </c>
      <c r="H82" s="2">
        <v>11.571475028991699</v>
      </c>
      <c r="I82" s="2">
        <v>232.8999938964844</v>
      </c>
      <c r="J82" s="2">
        <v>11.69999980926514</v>
      </c>
      <c r="K82" s="2">
        <v>430.53713989257813</v>
      </c>
      <c r="L82" s="2">
        <v>177.88999938964841</v>
      </c>
      <c r="M82" s="2">
        <v>230.16999816894531</v>
      </c>
      <c r="N82" s="12">
        <f t="shared" si="16"/>
        <v>-3.8681079152880216E-4</v>
      </c>
      <c r="O82" s="12">
        <f t="shared" si="17"/>
        <v>2.5411001259048271E-2</v>
      </c>
      <c r="P82" s="12">
        <f t="shared" si="18"/>
        <v>1.6564964685392924E-2</v>
      </c>
      <c r="Q82" s="12">
        <f t="shared" si="19"/>
        <v>1.2564668747742536E-2</v>
      </c>
      <c r="R82" s="12">
        <f t="shared" si="20"/>
        <v>4.9327373053970502E-2</v>
      </c>
      <c r="S82" s="12">
        <f t="shared" si="21"/>
        <v>-5.164849857554088E-2</v>
      </c>
      <c r="T82" s="12">
        <f t="shared" si="22"/>
        <v>3.1889034979461828E-2</v>
      </c>
      <c r="U82" s="12">
        <f t="shared" si="23"/>
        <v>5.4745048232596627E-2</v>
      </c>
    </row>
    <row r="83" spans="1:21" x14ac:dyDescent="0.3">
      <c r="A83" s="13">
        <f t="shared" si="13"/>
        <v>79</v>
      </c>
      <c r="B83" s="1">
        <v>45540</v>
      </c>
      <c r="C83" s="7">
        <f t="shared" si="14"/>
        <v>2024</v>
      </c>
      <c r="D83" s="7">
        <f t="shared" si="15"/>
        <v>9</v>
      </c>
      <c r="E83" s="77">
        <v>19.861000000000001</v>
      </c>
      <c r="F83" s="2">
        <v>48.806644439697273</v>
      </c>
      <c r="G83" s="2">
        <v>32.8675537109375</v>
      </c>
      <c r="H83" s="2">
        <v>11.382917404174799</v>
      </c>
      <c r="I83" s="2">
        <v>230.00999450683591</v>
      </c>
      <c r="J83" s="2">
        <v>11.14999961853027</v>
      </c>
      <c r="K83" s="2">
        <v>453.98477172851563</v>
      </c>
      <c r="L83" s="2">
        <v>173.33000183105469</v>
      </c>
      <c r="M83" s="2">
        <v>219.4100036621094</v>
      </c>
      <c r="N83" s="12">
        <f t="shared" si="16"/>
        <v>3.3003504784476778E-3</v>
      </c>
      <c r="O83" s="12">
        <f t="shared" si="17"/>
        <v>-1.3856094486335846E-2</v>
      </c>
      <c r="P83" s="12">
        <f t="shared" si="18"/>
        <v>-2.7966105766823346E-2</v>
      </c>
      <c r="Q83" s="12">
        <f t="shared" si="19"/>
        <v>-2.1608753712145545E-2</v>
      </c>
      <c r="R83" s="12">
        <f t="shared" si="20"/>
        <v>-4.4643028202114854E-3</v>
      </c>
      <c r="S83" s="12">
        <f t="shared" si="21"/>
        <v>0</v>
      </c>
      <c r="T83" s="12">
        <f t="shared" si="22"/>
        <v>-1.9726195540631375E-2</v>
      </c>
      <c r="U83" s="12">
        <f t="shared" si="23"/>
        <v>3.8486431535202481E-2</v>
      </c>
    </row>
    <row r="84" spans="1:21" x14ac:dyDescent="0.3">
      <c r="A84" s="13">
        <f t="shared" si="13"/>
        <v>80</v>
      </c>
      <c r="B84" s="1">
        <v>45539</v>
      </c>
      <c r="C84" s="7">
        <f t="shared" si="14"/>
        <v>2024</v>
      </c>
      <c r="D84" s="7">
        <f t="shared" si="15"/>
        <v>9</v>
      </c>
      <c r="E84" s="77">
        <v>19.925000000000001</v>
      </c>
      <c r="F84" s="2">
        <v>48.646095275878913</v>
      </c>
      <c r="G84" s="2">
        <v>33.329368591308587</v>
      </c>
      <c r="H84" s="2">
        <v>11.71041202545166</v>
      </c>
      <c r="I84" s="2">
        <v>235.0899963378906</v>
      </c>
      <c r="J84" s="2">
        <v>11.19999980926514</v>
      </c>
      <c r="K84" s="2">
        <v>453.98477172851563</v>
      </c>
      <c r="L84" s="2">
        <v>176.25</v>
      </c>
      <c r="M84" s="2">
        <v>210.6000061035156</v>
      </c>
      <c r="N84" s="12">
        <f t="shared" si="16"/>
        <v>-6.3659119983180412E-3</v>
      </c>
      <c r="O84" s="12">
        <f t="shared" si="17"/>
        <v>1.2537271505060232E-2</v>
      </c>
      <c r="P84" s="12">
        <f t="shared" si="18"/>
        <v>-1.5846550613954569E-2</v>
      </c>
      <c r="Q84" s="12">
        <f t="shared" si="19"/>
        <v>-1.210238630095839E-2</v>
      </c>
      <c r="R84" s="12">
        <f t="shared" si="20"/>
        <v>-8.9208107473692788E-4</v>
      </c>
      <c r="S84" s="12">
        <f t="shared" si="21"/>
        <v>0</v>
      </c>
      <c r="T84" s="12">
        <f t="shared" si="22"/>
        <v>-5.5478003085825955E-3</v>
      </c>
      <c r="U84" s="12">
        <f t="shared" si="23"/>
        <v>-9.3632519935343828E-3</v>
      </c>
    </row>
    <row r="85" spans="1:21" x14ac:dyDescent="0.3">
      <c r="A85" s="13">
        <f t="shared" si="13"/>
        <v>81</v>
      </c>
      <c r="B85" s="1">
        <v>45538</v>
      </c>
      <c r="C85" s="7">
        <f t="shared" si="14"/>
        <v>2024</v>
      </c>
      <c r="D85" s="7">
        <f t="shared" si="15"/>
        <v>9</v>
      </c>
      <c r="E85" s="77">
        <v>19.7836</v>
      </c>
      <c r="F85" s="2">
        <v>48.957756042480469</v>
      </c>
      <c r="G85" s="2">
        <v>32.916683197021477</v>
      </c>
      <c r="H85" s="2">
        <v>11.898969650268549</v>
      </c>
      <c r="I85" s="2">
        <v>237.9700012207031</v>
      </c>
      <c r="J85" s="2">
        <v>11.210000038146971</v>
      </c>
      <c r="K85" s="2">
        <v>453.98477172851563</v>
      </c>
      <c r="L85" s="2">
        <v>178.5</v>
      </c>
      <c r="M85" s="2">
        <v>214.11000061035159</v>
      </c>
      <c r="N85" s="12">
        <f t="shared" si="16"/>
        <v>-5.3720370271199691E-3</v>
      </c>
      <c r="O85" s="12">
        <f t="shared" si="17"/>
        <v>-1.383569983587396E-2</v>
      </c>
      <c r="P85" s="12">
        <f t="shared" si="18"/>
        <v>5.0293458386723167E-3</v>
      </c>
      <c r="Q85" s="12">
        <f t="shared" si="19"/>
        <v>3.627011126218882E-3</v>
      </c>
      <c r="R85" s="12">
        <f t="shared" si="20"/>
        <v>-1.6666630415887229E-2</v>
      </c>
      <c r="S85" s="12">
        <f t="shared" si="21"/>
        <v>0</v>
      </c>
      <c r="T85" s="12">
        <f t="shared" si="22"/>
        <v>3.5580582322860543E-2</v>
      </c>
      <c r="U85" s="12">
        <f t="shared" si="23"/>
        <v>3.6470237613227541E-2</v>
      </c>
    </row>
    <row r="86" spans="1:21" x14ac:dyDescent="0.3">
      <c r="A86" s="13">
        <f t="shared" si="13"/>
        <v>82</v>
      </c>
      <c r="B86" s="1">
        <v>45537</v>
      </c>
      <c r="C86" s="7">
        <f t="shared" si="14"/>
        <v>2024</v>
      </c>
      <c r="D86" s="7">
        <f t="shared" si="15"/>
        <v>9</v>
      </c>
      <c r="E86" s="77">
        <v>19.812000000000001</v>
      </c>
      <c r="F86" s="2">
        <v>49.222179412841797</v>
      </c>
      <c r="G86" s="2">
        <v>33.378498077392578</v>
      </c>
      <c r="H86" s="2">
        <v>11.839425086975099</v>
      </c>
      <c r="I86" s="2">
        <v>237.11000061035159</v>
      </c>
      <c r="J86" s="2">
        <v>11.39999961853027</v>
      </c>
      <c r="K86" s="2">
        <v>453.98477172851563</v>
      </c>
      <c r="L86" s="2">
        <v>172.1199951171875</v>
      </c>
      <c r="M86" s="2">
        <v>206.2799987792969</v>
      </c>
      <c r="N86" s="12">
        <f t="shared" si="16"/>
        <v>1.3810460886114262E-2</v>
      </c>
      <c r="O86" s="12">
        <f t="shared" si="17"/>
        <v>-1.3646996810744549E-2</v>
      </c>
      <c r="P86" s="12">
        <f t="shared" si="18"/>
        <v>1.6183998782007603E-2</v>
      </c>
      <c r="Q86" s="12">
        <f t="shared" si="19"/>
        <v>-1.175339537162523E-2</v>
      </c>
      <c r="R86" s="12">
        <f t="shared" si="20"/>
        <v>5.2909581247833071E-3</v>
      </c>
      <c r="S86" s="12">
        <f t="shared" si="21"/>
        <v>3.0643813391197927E-3</v>
      </c>
      <c r="T86" s="12">
        <f t="shared" si="22"/>
        <v>1.2943322893022913E-2</v>
      </c>
      <c r="U86" s="12">
        <f t="shared" si="23"/>
        <v>7.7643043610926554E-3</v>
      </c>
    </row>
    <row r="87" spans="1:21" x14ac:dyDescent="0.3">
      <c r="A87" s="13">
        <f t="shared" si="13"/>
        <v>83</v>
      </c>
      <c r="B87" s="1">
        <v>45534</v>
      </c>
      <c r="C87" s="7">
        <f t="shared" si="14"/>
        <v>2024</v>
      </c>
      <c r="D87" s="7">
        <f t="shared" si="15"/>
        <v>8</v>
      </c>
      <c r="E87" s="77">
        <v>19.71</v>
      </c>
      <c r="F87" s="2">
        <v>48.551658630371087</v>
      </c>
      <c r="G87" s="2">
        <v>33.840316772460938</v>
      </c>
      <c r="H87" s="2">
        <v>11.6508674621582</v>
      </c>
      <c r="I87" s="2">
        <v>239.92999267578119</v>
      </c>
      <c r="J87" s="2">
        <v>11.340000152587891</v>
      </c>
      <c r="K87" s="2">
        <v>452.59783935546881</v>
      </c>
      <c r="L87" s="2">
        <v>170.80000305175781</v>
      </c>
      <c r="M87" s="2">
        <v>205.75</v>
      </c>
      <c r="N87" s="12">
        <f t="shared" si="16"/>
        <v>-1.9412996042593722E-3</v>
      </c>
      <c r="O87" s="12">
        <f t="shared" si="17"/>
        <v>-6.0605300070240009E-3</v>
      </c>
      <c r="P87" s="12">
        <f t="shared" si="18"/>
        <v>-5.9271763595144522E-3</v>
      </c>
      <c r="Q87" s="12">
        <f t="shared" si="19"/>
        <v>-3.4370380742004603E-2</v>
      </c>
      <c r="R87" s="12">
        <f t="shared" si="20"/>
        <v>1.0695176711511545E-2</v>
      </c>
      <c r="S87" s="12">
        <f t="shared" si="21"/>
        <v>0</v>
      </c>
      <c r="T87" s="12">
        <f t="shared" si="22"/>
        <v>-1.9618601643824007E-2</v>
      </c>
      <c r="U87" s="12">
        <f t="shared" si="23"/>
        <v>-2.2736204281803563E-2</v>
      </c>
    </row>
    <row r="88" spans="1:21" x14ac:dyDescent="0.3">
      <c r="A88" s="13">
        <f t="shared" si="13"/>
        <v>84</v>
      </c>
      <c r="B88" s="1">
        <v>45533</v>
      </c>
      <c r="C88" s="7">
        <f t="shared" si="14"/>
        <v>2024</v>
      </c>
      <c r="D88" s="7">
        <f t="shared" si="15"/>
        <v>8</v>
      </c>
      <c r="E88" s="77">
        <v>19.835000000000001</v>
      </c>
      <c r="F88" s="2">
        <v>48.646095275878913</v>
      </c>
      <c r="G88" s="2">
        <v>34.046657562255859</v>
      </c>
      <c r="H88" s="2">
        <v>11.72033596038818</v>
      </c>
      <c r="I88" s="2">
        <v>248.4700012207031</v>
      </c>
      <c r="J88" s="2">
        <v>11.22000026702881</v>
      </c>
      <c r="K88" s="2">
        <v>452.59783935546881</v>
      </c>
      <c r="L88" s="2">
        <v>173.1199951171875</v>
      </c>
      <c r="M88" s="2">
        <v>209.21000671386719</v>
      </c>
      <c r="N88" s="12">
        <f t="shared" si="16"/>
        <v>-1.2082968321349585E-2</v>
      </c>
      <c r="O88" s="12">
        <f t="shared" si="17"/>
        <v>1.941742693565196E-2</v>
      </c>
      <c r="P88" s="12">
        <f t="shared" si="18"/>
        <v>-3.1173039604903807E-2</v>
      </c>
      <c r="Q88" s="12">
        <f t="shared" si="19"/>
        <v>-8.4600149573765826E-3</v>
      </c>
      <c r="R88" s="12">
        <f t="shared" si="20"/>
        <v>1.7857551878817102E-3</v>
      </c>
      <c r="S88" s="12">
        <f t="shared" si="21"/>
        <v>2.531583436021223E-2</v>
      </c>
      <c r="T88" s="12">
        <f t="shared" si="22"/>
        <v>-3.8280765046256882E-3</v>
      </c>
      <c r="U88" s="12">
        <f t="shared" si="23"/>
        <v>-9.0789448178552057E-3</v>
      </c>
    </row>
    <row r="89" spans="1:21" x14ac:dyDescent="0.3">
      <c r="A89" s="13">
        <f t="shared" si="13"/>
        <v>85</v>
      </c>
      <c r="B89" s="1">
        <v>45532</v>
      </c>
      <c r="C89" s="7">
        <f t="shared" si="14"/>
        <v>2024</v>
      </c>
      <c r="D89" s="7">
        <f t="shared" si="15"/>
        <v>8</v>
      </c>
      <c r="E89" s="77">
        <v>19.641200000000001</v>
      </c>
      <c r="F89" s="2">
        <v>49.241073608398438</v>
      </c>
      <c r="G89" s="2">
        <v>33.398151397705078</v>
      </c>
      <c r="H89" s="2">
        <v>12.09745025634766</v>
      </c>
      <c r="I89" s="2">
        <v>250.5899963378906</v>
      </c>
      <c r="J89" s="2">
        <v>11.19999980926514</v>
      </c>
      <c r="K89" s="2">
        <v>441.4228515625</v>
      </c>
      <c r="L89" s="2">
        <v>175.5</v>
      </c>
      <c r="M89" s="2">
        <v>213.21000671386719</v>
      </c>
      <c r="N89" s="12">
        <f t="shared" si="16"/>
        <v>-3.6309486501732158E-3</v>
      </c>
      <c r="O89" s="12">
        <f t="shared" si="17"/>
        <v>1.9802048241131631E-2</v>
      </c>
      <c r="P89" s="12">
        <f t="shared" si="18"/>
        <v>-2.4019254488688357E-2</v>
      </c>
      <c r="Q89" s="12">
        <f t="shared" si="19"/>
        <v>-8.8205479065128767E-3</v>
      </c>
      <c r="R89" s="12">
        <f t="shared" si="20"/>
        <v>-4.4444613986541759E-3</v>
      </c>
      <c r="S89" s="12">
        <f t="shared" si="21"/>
        <v>-6.0700590741521121E-2</v>
      </c>
      <c r="T89" s="12">
        <f t="shared" si="22"/>
        <v>-1.4159503188482692E-2</v>
      </c>
      <c r="U89" s="12">
        <f t="shared" si="23"/>
        <v>-3.760232649991524E-2</v>
      </c>
    </row>
    <row r="90" spans="1:21" x14ac:dyDescent="0.3">
      <c r="A90" s="13">
        <f t="shared" si="13"/>
        <v>86</v>
      </c>
      <c r="B90" s="1">
        <v>45531</v>
      </c>
      <c r="C90" s="7">
        <f t="shared" si="14"/>
        <v>2024</v>
      </c>
      <c r="D90" s="7">
        <f t="shared" si="15"/>
        <v>8</v>
      </c>
      <c r="E90" s="77">
        <v>19.75</v>
      </c>
      <c r="F90" s="2">
        <v>49.420516967773438</v>
      </c>
      <c r="G90" s="2">
        <v>32.749641418457031</v>
      </c>
      <c r="H90" s="2">
        <v>12.39517307281494</v>
      </c>
      <c r="I90" s="2">
        <v>252.82000732421881</v>
      </c>
      <c r="J90" s="2">
        <v>11.25</v>
      </c>
      <c r="K90" s="2">
        <v>469.94903564453119</v>
      </c>
      <c r="L90" s="2">
        <v>177.03999328613281</v>
      </c>
      <c r="M90" s="2">
        <v>220.32000732421881</v>
      </c>
      <c r="N90" s="12">
        <f t="shared" si="16"/>
        <v>2.1066584096898211E-3</v>
      </c>
      <c r="O90" s="12">
        <f t="shared" si="17"/>
        <v>-1.4980224475407145E-3</v>
      </c>
      <c r="P90" s="12">
        <f t="shared" si="18"/>
        <v>8.8852482074175398E-3</v>
      </c>
      <c r="Q90" s="12">
        <f t="shared" si="19"/>
        <v>8.0542434126051887E-3</v>
      </c>
      <c r="R90" s="12">
        <f t="shared" si="20"/>
        <v>4.9440272366531035E-2</v>
      </c>
      <c r="S90" s="12">
        <f t="shared" si="21"/>
        <v>0</v>
      </c>
      <c r="T90" s="12">
        <f t="shared" si="22"/>
        <v>2.3564826130495931E-2</v>
      </c>
      <c r="U90" s="12">
        <f t="shared" si="23"/>
        <v>6.4998916603026258E-2</v>
      </c>
    </row>
    <row r="91" spans="1:21" x14ac:dyDescent="0.3">
      <c r="A91" s="13">
        <f t="shared" si="13"/>
        <v>87</v>
      </c>
      <c r="B91" s="1">
        <v>45530</v>
      </c>
      <c r="C91" s="7">
        <f t="shared" si="14"/>
        <v>2024</v>
      </c>
      <c r="D91" s="7">
        <f t="shared" si="15"/>
        <v>8</v>
      </c>
      <c r="E91" s="77">
        <v>19.395</v>
      </c>
      <c r="F91" s="2">
        <v>49.316623687744141</v>
      </c>
      <c r="G91" s="2">
        <v>32.798774719238281</v>
      </c>
      <c r="H91" s="2">
        <v>12.286008834838871</v>
      </c>
      <c r="I91" s="2">
        <v>250.80000305175781</v>
      </c>
      <c r="J91" s="2">
        <v>10.72000026702881</v>
      </c>
      <c r="K91" s="2">
        <v>469.94903564453119</v>
      </c>
      <c r="L91" s="2">
        <v>176.1300048828125</v>
      </c>
      <c r="M91" s="2">
        <v>210.6600036621094</v>
      </c>
      <c r="N91" s="12">
        <f t="shared" si="16"/>
        <v>-1.0610028013969819E-2</v>
      </c>
      <c r="O91" s="12">
        <f t="shared" si="17"/>
        <v>-3.5820279059545213E-3</v>
      </c>
      <c r="P91" s="12">
        <f t="shared" si="18"/>
        <v>-6.4205302719873014E-3</v>
      </c>
      <c r="Q91" s="12">
        <f t="shared" si="19"/>
        <v>-3.1622794283306499E-2</v>
      </c>
      <c r="R91" s="12">
        <f t="shared" si="20"/>
        <v>-9.318989407370859E-4</v>
      </c>
      <c r="S91" s="12">
        <f t="shared" si="21"/>
        <v>0</v>
      </c>
      <c r="T91" s="12">
        <f t="shared" si="22"/>
        <v>-6.6818176696317177E-3</v>
      </c>
      <c r="U91" s="12">
        <f t="shared" si="23"/>
        <v>-4.1604926946134047E-2</v>
      </c>
    </row>
    <row r="92" spans="1:21" x14ac:dyDescent="0.3">
      <c r="A92" s="13">
        <f t="shared" si="13"/>
        <v>88</v>
      </c>
      <c r="B92" s="1">
        <v>45527</v>
      </c>
      <c r="C92" s="7">
        <f t="shared" si="14"/>
        <v>2024</v>
      </c>
      <c r="D92" s="7">
        <f t="shared" si="15"/>
        <v>8</v>
      </c>
      <c r="E92" s="77">
        <v>19.094000000000001</v>
      </c>
      <c r="F92" s="2">
        <v>49.845485687255859</v>
      </c>
      <c r="G92" s="2">
        <v>32.916683197021477</v>
      </c>
      <c r="H92" s="2">
        <v>12.365401268005369</v>
      </c>
      <c r="I92" s="2">
        <v>258.989990234375</v>
      </c>
      <c r="J92" s="2">
        <v>10.72999954223633</v>
      </c>
      <c r="K92" s="2">
        <v>469.94903564453119</v>
      </c>
      <c r="L92" s="2">
        <v>180.11000061035159</v>
      </c>
      <c r="M92" s="2">
        <v>223.27000427246091</v>
      </c>
      <c r="N92" s="12">
        <f t="shared" si="16"/>
        <v>5.6879149495903114E-4</v>
      </c>
      <c r="O92" s="12">
        <f t="shared" si="17"/>
        <v>-7.701461450374314E-3</v>
      </c>
      <c r="P92" s="12">
        <f t="shared" si="18"/>
        <v>2.4135582926243515E-3</v>
      </c>
      <c r="Q92" s="12">
        <f t="shared" si="19"/>
        <v>2.387821055150563E-2</v>
      </c>
      <c r="R92" s="12">
        <f t="shared" si="20"/>
        <v>1.3219961060550789E-2</v>
      </c>
      <c r="S92" s="12">
        <f t="shared" si="21"/>
        <v>3.8382616188065821E-2</v>
      </c>
      <c r="T92" s="12">
        <f t="shared" si="22"/>
        <v>-1.4895873193515485E-2</v>
      </c>
      <c r="U92" s="12">
        <f t="shared" si="23"/>
        <v>-1.2020951370973032E-2</v>
      </c>
    </row>
    <row r="93" spans="1:21" x14ac:dyDescent="0.3">
      <c r="A93" s="13">
        <f t="shared" si="13"/>
        <v>89</v>
      </c>
      <c r="B93" s="1">
        <v>45526</v>
      </c>
      <c r="C93" s="7">
        <f t="shared" si="14"/>
        <v>2024</v>
      </c>
      <c r="D93" s="7">
        <f t="shared" si="15"/>
        <v>8</v>
      </c>
      <c r="E93" s="77">
        <v>19.515999999999998</v>
      </c>
      <c r="F93" s="2">
        <v>49.817150115966797</v>
      </c>
      <c r="G93" s="2">
        <v>33.172157287597663</v>
      </c>
      <c r="H93" s="2">
        <v>12.335628509521481</v>
      </c>
      <c r="I93" s="2">
        <v>252.94999694824219</v>
      </c>
      <c r="J93" s="2">
        <v>10.590000152587891</v>
      </c>
      <c r="K93" s="2">
        <v>452.57791137695313</v>
      </c>
      <c r="L93" s="2">
        <v>178.8800048828125</v>
      </c>
      <c r="M93" s="2">
        <v>221.1000061035156</v>
      </c>
      <c r="N93" s="12">
        <f t="shared" si="16"/>
        <v>-2.6471048259925078E-3</v>
      </c>
      <c r="O93" s="12">
        <f t="shared" si="17"/>
        <v>-6.1818476468439298E-3</v>
      </c>
      <c r="P93" s="12">
        <f t="shared" si="18"/>
        <v>8.0514139183440747E-4</v>
      </c>
      <c r="Q93" s="12">
        <f t="shared" si="19"/>
        <v>-2.9562475720210646E-3</v>
      </c>
      <c r="R93" s="12">
        <f t="shared" si="20"/>
        <v>1.8921909499640677E-3</v>
      </c>
      <c r="S93" s="12">
        <f t="shared" si="21"/>
        <v>0</v>
      </c>
      <c r="T93" s="12">
        <f t="shared" si="22"/>
        <v>1.6516542320539118E-2</v>
      </c>
      <c r="U93" s="12">
        <f t="shared" si="23"/>
        <v>5.3994169613327259E-3</v>
      </c>
    </row>
    <row r="94" spans="1:21" x14ac:dyDescent="0.3">
      <c r="A94" s="13">
        <f t="shared" si="13"/>
        <v>90</v>
      </c>
      <c r="B94" s="1">
        <v>45525</v>
      </c>
      <c r="C94" s="7">
        <f t="shared" si="14"/>
        <v>2024</v>
      </c>
      <c r="D94" s="7">
        <f t="shared" si="15"/>
        <v>8</v>
      </c>
      <c r="E94" s="77">
        <v>19.27</v>
      </c>
      <c r="F94" s="2">
        <v>49.949371337890618</v>
      </c>
      <c r="G94" s="2">
        <v>33.378498077392578</v>
      </c>
      <c r="H94" s="2">
        <v>12.325704574584959</v>
      </c>
      <c r="I94" s="2">
        <v>253.69999694824219</v>
      </c>
      <c r="J94" s="2">
        <v>10.569999694824221</v>
      </c>
      <c r="K94" s="2">
        <v>452.57791137695313</v>
      </c>
      <c r="L94" s="2">
        <v>178.2200012207031</v>
      </c>
      <c r="M94" s="2">
        <v>222.7200012207031</v>
      </c>
      <c r="N94" s="12">
        <f t="shared" si="16"/>
        <v>-1.8921221593160009E-4</v>
      </c>
      <c r="O94" s="12">
        <f t="shared" si="17"/>
        <v>-3.2277294471473317E-3</v>
      </c>
      <c r="P94" s="12">
        <f t="shared" si="18"/>
        <v>0</v>
      </c>
      <c r="Q94" s="12">
        <f t="shared" si="19"/>
        <v>1.8752753450736126E-2</v>
      </c>
      <c r="R94" s="12">
        <f t="shared" si="20"/>
        <v>2.8462744857464806E-3</v>
      </c>
      <c r="S94" s="12">
        <f t="shared" si="21"/>
        <v>3.5177081094659446E-3</v>
      </c>
      <c r="T94" s="12">
        <f t="shared" si="22"/>
        <v>2.1823141419388348E-2</v>
      </c>
      <c r="U94" s="12">
        <f t="shared" si="23"/>
        <v>4.6174227188554573E-2</v>
      </c>
    </row>
    <row r="95" spans="1:21" x14ac:dyDescent="0.3">
      <c r="A95" s="13">
        <f t="shared" si="13"/>
        <v>91</v>
      </c>
      <c r="B95" s="1">
        <v>45524</v>
      </c>
      <c r="C95" s="7">
        <f t="shared" si="14"/>
        <v>2024</v>
      </c>
      <c r="D95" s="7">
        <f t="shared" si="15"/>
        <v>8</v>
      </c>
      <c r="E95" s="77">
        <v>18.981999999999999</v>
      </c>
      <c r="F95" s="2">
        <v>49.958824157714837</v>
      </c>
      <c r="G95" s="2">
        <v>33.486583709716797</v>
      </c>
      <c r="H95" s="2">
        <v>12.325704574584959</v>
      </c>
      <c r="I95" s="2">
        <v>249.0299987792969</v>
      </c>
      <c r="J95" s="2">
        <v>10.539999961853029</v>
      </c>
      <c r="K95" s="2">
        <v>450.991455078125</v>
      </c>
      <c r="L95" s="2">
        <v>177.05999755859381</v>
      </c>
      <c r="M95" s="2">
        <v>216.1199951171875</v>
      </c>
      <c r="N95" s="12">
        <f t="shared" si="16"/>
        <v>-3.3909227068998904E-3</v>
      </c>
      <c r="O95" s="12">
        <f t="shared" si="17"/>
        <v>2.3530150610320266E-3</v>
      </c>
      <c r="P95" s="12">
        <f t="shared" si="18"/>
        <v>-1.9731668602259389E-2</v>
      </c>
      <c r="Q95" s="12">
        <f t="shared" si="19"/>
        <v>-2.3603231524914947E-2</v>
      </c>
      <c r="R95" s="12">
        <f t="shared" si="20"/>
        <v>-2.8381962003160011E-3</v>
      </c>
      <c r="S95" s="12">
        <f t="shared" si="21"/>
        <v>6.6816067191273198E-3</v>
      </c>
      <c r="T95" s="12">
        <f t="shared" si="22"/>
        <v>1.4437725414155667E-2</v>
      </c>
      <c r="U95" s="12">
        <f t="shared" si="23"/>
        <v>2.6882110347146604E-2</v>
      </c>
    </row>
    <row r="96" spans="1:21" x14ac:dyDescent="0.3">
      <c r="A96" s="13">
        <f t="shared" si="13"/>
        <v>92</v>
      </c>
      <c r="B96" s="1">
        <v>45523</v>
      </c>
      <c r="C96" s="7">
        <f t="shared" si="14"/>
        <v>2024</v>
      </c>
      <c r="D96" s="7">
        <f t="shared" si="15"/>
        <v>8</v>
      </c>
      <c r="E96" s="77">
        <v>18.655999999999999</v>
      </c>
      <c r="F96" s="2">
        <v>50.128807067871087</v>
      </c>
      <c r="G96" s="2">
        <v>33.407974243164063</v>
      </c>
      <c r="H96" s="2">
        <v>12.573806762695311</v>
      </c>
      <c r="I96" s="2">
        <v>255.05000305175781</v>
      </c>
      <c r="J96" s="2">
        <v>10.569999694824221</v>
      </c>
      <c r="K96" s="2">
        <v>447.99810791015619</v>
      </c>
      <c r="L96" s="2">
        <v>177.5899963378906</v>
      </c>
      <c r="M96" s="2">
        <v>214.13999938964841</v>
      </c>
      <c r="N96" s="12">
        <f t="shared" si="16"/>
        <v>1.0662396662751705E-2</v>
      </c>
      <c r="O96" s="12">
        <f t="shared" si="17"/>
        <v>-5.8793643895849179E-4</v>
      </c>
      <c r="P96" s="12">
        <f t="shared" si="18"/>
        <v>5.3200366366904284E-2</v>
      </c>
      <c r="Q96" s="12">
        <f t="shared" si="19"/>
        <v>8.3020602049872494E-3</v>
      </c>
      <c r="R96" s="12">
        <f t="shared" si="20"/>
        <v>-1.8886173253531702E-3</v>
      </c>
      <c r="S96" s="12">
        <f t="shared" si="21"/>
        <v>7.5191469016032908E-2</v>
      </c>
      <c r="T96" s="12">
        <f t="shared" si="22"/>
        <v>4.537768831918676E-2</v>
      </c>
      <c r="U96" s="12">
        <f t="shared" si="23"/>
        <v>6.4732492364401484E-2</v>
      </c>
    </row>
    <row r="97" spans="1:21" x14ac:dyDescent="0.3">
      <c r="A97" s="13">
        <f t="shared" si="13"/>
        <v>93</v>
      </c>
      <c r="B97" s="1">
        <v>45520</v>
      </c>
      <c r="C97" s="7">
        <f t="shared" si="14"/>
        <v>2024</v>
      </c>
      <c r="D97" s="7">
        <f t="shared" si="15"/>
        <v>8</v>
      </c>
      <c r="E97" s="77">
        <v>18.632000000000001</v>
      </c>
      <c r="F97" s="2">
        <v>49.599952697753913</v>
      </c>
      <c r="G97" s="2">
        <v>33.427627563476563</v>
      </c>
      <c r="H97" s="2">
        <v>11.93866539001465</v>
      </c>
      <c r="I97" s="2">
        <v>252.94999694824219</v>
      </c>
      <c r="J97" s="2">
        <v>10.590000152587891</v>
      </c>
      <c r="K97" s="2">
        <v>416.668212890625</v>
      </c>
      <c r="L97" s="2">
        <v>170.1000061035156</v>
      </c>
      <c r="M97" s="2">
        <v>201.3800048828125</v>
      </c>
      <c r="N97" s="12">
        <f t="shared" si="16"/>
        <v>-5.7057193937493089E-4</v>
      </c>
      <c r="O97" s="12">
        <f t="shared" si="17"/>
        <v>1.0995613868606702E-2</v>
      </c>
      <c r="P97" s="12">
        <f t="shared" si="18"/>
        <v>-8.306326001147335E-4</v>
      </c>
      <c r="Q97" s="12">
        <f t="shared" si="19"/>
        <v>9.7804269390906473E-3</v>
      </c>
      <c r="R97" s="12">
        <f t="shared" si="20"/>
        <v>-4.6992658948773469E-3</v>
      </c>
      <c r="S97" s="12">
        <f t="shared" si="21"/>
        <v>5.5382217873742867E-3</v>
      </c>
      <c r="T97" s="12">
        <f t="shared" si="22"/>
        <v>-1.0424105566116948E-3</v>
      </c>
      <c r="U97" s="12">
        <f t="shared" si="23"/>
        <v>-3.1305318300576257E-2</v>
      </c>
    </row>
    <row r="98" spans="1:21" x14ac:dyDescent="0.3">
      <c r="A98" s="13">
        <f t="shared" si="13"/>
        <v>94</v>
      </c>
      <c r="B98" s="1">
        <v>45519</v>
      </c>
      <c r="C98" s="7">
        <f t="shared" si="14"/>
        <v>2024</v>
      </c>
      <c r="D98" s="7">
        <f t="shared" si="15"/>
        <v>8</v>
      </c>
      <c r="E98" s="77">
        <v>18.6372</v>
      </c>
      <c r="F98" s="2">
        <v>49.628269195556641</v>
      </c>
      <c r="G98" s="2">
        <v>33.064067840576172</v>
      </c>
      <c r="H98" s="2">
        <v>11.94859027862549</v>
      </c>
      <c r="I98" s="2">
        <v>250.5</v>
      </c>
      <c r="J98" s="2">
        <v>10.64000034332275</v>
      </c>
      <c r="K98" s="2">
        <v>414.37332153320313</v>
      </c>
      <c r="L98" s="2">
        <v>170.22999572753909</v>
      </c>
      <c r="M98" s="2">
        <v>207.83000183105469</v>
      </c>
      <c r="N98" s="12">
        <f t="shared" si="16"/>
        <v>1.1549376287495194E-2</v>
      </c>
      <c r="O98" s="12">
        <f t="shared" si="17"/>
        <v>1.9696896079479442E-2</v>
      </c>
      <c r="P98" s="12">
        <f t="shared" si="18"/>
        <v>1.0915282605938659E-2</v>
      </c>
      <c r="Q98" s="12">
        <f t="shared" si="19"/>
        <v>3.3927692183088665E-2</v>
      </c>
      <c r="R98" s="12">
        <f t="shared" si="20"/>
        <v>4.5186642864155413E-2</v>
      </c>
      <c r="S98" s="12">
        <f t="shared" si="21"/>
        <v>0</v>
      </c>
      <c r="T98" s="12">
        <f t="shared" si="22"/>
        <v>1.2803309533681695E-2</v>
      </c>
      <c r="U98" s="12">
        <f t="shared" si="23"/>
        <v>4.4355113109450395E-2</v>
      </c>
    </row>
    <row r="99" spans="1:21" x14ac:dyDescent="0.3">
      <c r="A99" s="13">
        <f t="shared" si="13"/>
        <v>95</v>
      </c>
      <c r="B99" s="1">
        <v>45518</v>
      </c>
      <c r="C99" s="7">
        <f t="shared" si="14"/>
        <v>2024</v>
      </c>
      <c r="D99" s="7">
        <f t="shared" si="15"/>
        <v>8</v>
      </c>
      <c r="E99" s="77">
        <v>18.78</v>
      </c>
      <c r="F99" s="2">
        <v>49.061637878417969</v>
      </c>
      <c r="G99" s="2">
        <v>32.425388336181641</v>
      </c>
      <c r="H99" s="2">
        <v>11.819576263427731</v>
      </c>
      <c r="I99" s="2">
        <v>242.2799987792969</v>
      </c>
      <c r="J99" s="2">
        <v>10.180000305175779</v>
      </c>
      <c r="K99" s="2">
        <v>414.37332153320313</v>
      </c>
      <c r="L99" s="2">
        <v>166.80000305175781</v>
      </c>
      <c r="M99" s="2">
        <v>197.49000549316409</v>
      </c>
      <c r="N99" s="12">
        <f t="shared" si="16"/>
        <v>-1.5375336376726167E-3</v>
      </c>
      <c r="O99" s="12">
        <f t="shared" si="17"/>
        <v>-1.7272178319321152E-2</v>
      </c>
      <c r="P99" s="12">
        <f t="shared" si="18"/>
        <v>-5.0126194569407589E-3</v>
      </c>
      <c r="Q99" s="12">
        <f t="shared" si="19"/>
        <v>-3.8238884457760802E-3</v>
      </c>
      <c r="R99" s="12">
        <f t="shared" si="20"/>
        <v>-2.1153780906155495E-2</v>
      </c>
      <c r="S99" s="12">
        <f t="shared" si="21"/>
        <v>0</v>
      </c>
      <c r="T99" s="12">
        <f t="shared" si="22"/>
        <v>-1.225189778066893E-2</v>
      </c>
      <c r="U99" s="12">
        <f t="shared" si="23"/>
        <v>-2.3829472242558936E-2</v>
      </c>
    </row>
    <row r="100" spans="1:21" x14ac:dyDescent="0.3">
      <c r="A100" s="13">
        <f t="shared" si="13"/>
        <v>96</v>
      </c>
      <c r="B100" s="1">
        <v>45517</v>
      </c>
      <c r="C100" s="7">
        <f t="shared" si="14"/>
        <v>2024</v>
      </c>
      <c r="D100" s="7">
        <f t="shared" si="15"/>
        <v>8</v>
      </c>
      <c r="E100" s="77">
        <v>18.997</v>
      </c>
      <c r="F100" s="2">
        <v>49.137187957763672</v>
      </c>
      <c r="G100" s="2">
        <v>32.995288848876953</v>
      </c>
      <c r="H100" s="2">
        <v>11.87912178039551</v>
      </c>
      <c r="I100" s="2">
        <v>243.21000671386719</v>
      </c>
      <c r="J100" s="2">
        <v>10.39999961853027</v>
      </c>
      <c r="K100" s="2">
        <v>414.37332153320313</v>
      </c>
      <c r="L100" s="2">
        <v>166.94000244140619</v>
      </c>
      <c r="M100" s="2">
        <v>200</v>
      </c>
      <c r="N100" s="12">
        <f t="shared" si="16"/>
        <v>3.6650355283340819E-3</v>
      </c>
      <c r="O100" s="12">
        <f t="shared" si="17"/>
        <v>2.6873521605643713E-3</v>
      </c>
      <c r="P100" s="12">
        <f t="shared" si="18"/>
        <v>-6.6389088481837444E-3</v>
      </c>
      <c r="Q100" s="12">
        <f t="shared" si="19"/>
        <v>-1.3786926272533639E-2</v>
      </c>
      <c r="R100" s="12">
        <f t="shared" si="20"/>
        <v>-1.9194297137465899E-3</v>
      </c>
      <c r="S100" s="12">
        <f t="shared" si="21"/>
        <v>0</v>
      </c>
      <c r="T100" s="12">
        <f t="shared" si="22"/>
        <v>3.6003266115023358E-3</v>
      </c>
      <c r="U100" s="12">
        <f t="shared" si="23"/>
        <v>2.5618206181794445E-3</v>
      </c>
    </row>
    <row r="101" spans="1:21" x14ac:dyDescent="0.3">
      <c r="A101" s="13">
        <f t="shared" si="13"/>
        <v>97</v>
      </c>
      <c r="B101" s="1">
        <v>45516</v>
      </c>
      <c r="C101" s="7">
        <f t="shared" si="14"/>
        <v>2024</v>
      </c>
      <c r="D101" s="7">
        <f t="shared" si="15"/>
        <v>8</v>
      </c>
      <c r="E101" s="77">
        <v>19.059000000000001</v>
      </c>
      <c r="F101" s="2">
        <v>48.957756042480469</v>
      </c>
      <c r="G101" s="2">
        <v>32.906856536865227</v>
      </c>
      <c r="H101" s="2">
        <v>11.958513259887701</v>
      </c>
      <c r="I101" s="2">
        <v>246.61000061035159</v>
      </c>
      <c r="J101" s="2">
        <v>10.420000076293951</v>
      </c>
      <c r="K101" s="2">
        <v>414.37332153320313</v>
      </c>
      <c r="L101" s="2">
        <v>165.80000305175781</v>
      </c>
      <c r="M101" s="2">
        <v>198.8399963378906</v>
      </c>
      <c r="N101" s="12">
        <f t="shared" si="16"/>
        <v>4.8459574624011292E-3</v>
      </c>
      <c r="O101" s="12">
        <f t="shared" si="17"/>
        <v>6.0078236053726641E-3</v>
      </c>
      <c r="P101" s="12">
        <f t="shared" si="18"/>
        <v>6.683278525118963E-3</v>
      </c>
      <c r="Q101" s="12">
        <f t="shared" si="19"/>
        <v>-1.9830250144095007E-3</v>
      </c>
      <c r="R101" s="12">
        <f t="shared" si="20"/>
        <v>6.7632552892988862E-3</v>
      </c>
      <c r="S101" s="12">
        <f t="shared" si="21"/>
        <v>7.2293102726517233E-4</v>
      </c>
      <c r="T101" s="12">
        <f t="shared" si="22"/>
        <v>3.1331672372618913E-2</v>
      </c>
      <c r="U101" s="12">
        <f t="shared" si="23"/>
        <v>4.9866151053311158E-2</v>
      </c>
    </row>
    <row r="102" spans="1:21" x14ac:dyDescent="0.3">
      <c r="A102" s="13">
        <f t="shared" si="13"/>
        <v>98</v>
      </c>
      <c r="B102" s="1">
        <v>45513</v>
      </c>
      <c r="C102" s="7">
        <f t="shared" si="14"/>
        <v>2024</v>
      </c>
      <c r="D102" s="7">
        <f t="shared" si="15"/>
        <v>8</v>
      </c>
      <c r="E102" s="77">
        <v>18.824000000000002</v>
      </c>
      <c r="F102" s="2">
        <v>48.721652984619141</v>
      </c>
      <c r="G102" s="2">
        <v>32.710338592529297</v>
      </c>
      <c r="H102" s="2">
        <v>11.87912178039551</v>
      </c>
      <c r="I102" s="2">
        <v>247.1000061035156</v>
      </c>
      <c r="J102" s="2">
        <v>10.35000038146973</v>
      </c>
      <c r="K102" s="2">
        <v>414.073974609375</v>
      </c>
      <c r="L102" s="2">
        <v>162.77000427246091</v>
      </c>
      <c r="M102" s="2">
        <v>191.75999450683591</v>
      </c>
      <c r="N102" s="12">
        <f t="shared" si="16"/>
        <v>-1.9343833475178318E-3</v>
      </c>
      <c r="O102" s="12">
        <f t="shared" si="17"/>
        <v>-3.0032428260562405E-4</v>
      </c>
      <c r="P102" s="12">
        <f t="shared" si="18"/>
        <v>8.3626914046375234E-4</v>
      </c>
      <c r="Q102" s="12">
        <f t="shared" si="19"/>
        <v>-2.2044532812737772E-2</v>
      </c>
      <c r="R102" s="12">
        <f t="shared" si="20"/>
        <v>-2.9080625739186683E-2</v>
      </c>
      <c r="S102" s="12">
        <f t="shared" si="21"/>
        <v>-2.2241163212526116E-2</v>
      </c>
      <c r="T102" s="12">
        <f t="shared" si="22"/>
        <v>3.2687949131842142E-3</v>
      </c>
      <c r="U102" s="12">
        <f t="shared" si="23"/>
        <v>-4.6082718868697081E-2</v>
      </c>
    </row>
    <row r="103" spans="1:21" x14ac:dyDescent="0.3">
      <c r="A103" s="13">
        <f t="shared" si="13"/>
        <v>99</v>
      </c>
      <c r="B103" s="1">
        <v>45512</v>
      </c>
      <c r="C103" s="7">
        <f t="shared" si="14"/>
        <v>2024</v>
      </c>
      <c r="D103" s="7">
        <f t="shared" si="15"/>
        <v>8</v>
      </c>
      <c r="E103" s="77">
        <v>18.86</v>
      </c>
      <c r="F103" s="2">
        <v>48.816082000732422</v>
      </c>
      <c r="G103" s="2">
        <v>32.720165252685547</v>
      </c>
      <c r="H103" s="2">
        <v>11.86919593811035</v>
      </c>
      <c r="I103" s="2">
        <v>252.66999816894531</v>
      </c>
      <c r="J103" s="2">
        <v>10.659999847412109</v>
      </c>
      <c r="K103" s="2">
        <v>423.49295043945313</v>
      </c>
      <c r="L103" s="2">
        <v>161.92999267578119</v>
      </c>
      <c r="M103" s="2">
        <v>200.63999938964841</v>
      </c>
      <c r="N103" s="12">
        <f t="shared" si="16"/>
        <v>6.4249345406806047E-3</v>
      </c>
      <c r="O103" s="12">
        <f t="shared" si="17"/>
        <v>-1.8856824664965743E-2</v>
      </c>
      <c r="P103" s="12">
        <f t="shared" si="18"/>
        <v>2.660930540828188E-2</v>
      </c>
      <c r="Q103" s="12">
        <f t="shared" si="19"/>
        <v>-1.5315696964500081E-2</v>
      </c>
      <c r="R103" s="12">
        <f t="shared" si="20"/>
        <v>1.7175602389136069E-2</v>
      </c>
      <c r="S103" s="12">
        <f t="shared" si="21"/>
        <v>8.8307705941610193E-2</v>
      </c>
      <c r="T103" s="12">
        <f t="shared" si="22"/>
        <v>-1.559218361544612E-2</v>
      </c>
      <c r="U103" s="12">
        <f t="shared" si="23"/>
        <v>-1.2461611571754294E-2</v>
      </c>
    </row>
    <row r="104" spans="1:21" x14ac:dyDescent="0.3">
      <c r="A104" s="13">
        <f t="shared" si="13"/>
        <v>100</v>
      </c>
      <c r="B104" s="1">
        <v>45511</v>
      </c>
      <c r="C104" s="7">
        <f t="shared" si="14"/>
        <v>2024</v>
      </c>
      <c r="D104" s="7">
        <f t="shared" si="15"/>
        <v>8</v>
      </c>
      <c r="E104" s="77">
        <v>19.266999999999999</v>
      </c>
      <c r="F104" s="2">
        <v>48.504444122314453</v>
      </c>
      <c r="G104" s="2">
        <v>33.349021911621087</v>
      </c>
      <c r="H104" s="2">
        <v>11.561551094055179</v>
      </c>
      <c r="I104" s="2">
        <v>256.60000610351563</v>
      </c>
      <c r="J104" s="2">
        <v>10.47999954223633</v>
      </c>
      <c r="K104" s="2">
        <v>389.12979125976563</v>
      </c>
      <c r="L104" s="2">
        <v>161.02000427246091</v>
      </c>
      <c r="M104" s="2">
        <v>198.8800048828125</v>
      </c>
      <c r="N104" s="12">
        <f t="shared" si="16"/>
        <v>-4.6510393622827273E-3</v>
      </c>
      <c r="O104" s="12">
        <f t="shared" si="17"/>
        <v>1.2831972057653518E-2</v>
      </c>
      <c r="P104" s="12">
        <f t="shared" si="18"/>
        <v>6.0449841958567507E-3</v>
      </c>
      <c r="Q104" s="12">
        <f t="shared" si="19"/>
        <v>-4.6096631585443748E-2</v>
      </c>
      <c r="R104" s="12">
        <f t="shared" si="20"/>
        <v>-1.596244905005928E-2</v>
      </c>
      <c r="S104" s="12">
        <f t="shared" si="21"/>
        <v>0</v>
      </c>
      <c r="T104" s="12">
        <f t="shared" si="22"/>
        <v>-5.5535590983127214E-2</v>
      </c>
      <c r="U104" s="12">
        <f t="shared" si="23"/>
        <v>-5.6865121225309845E-2</v>
      </c>
    </row>
    <row r="105" spans="1:21" x14ac:dyDescent="0.3">
      <c r="A105" s="13">
        <f t="shared" si="13"/>
        <v>101</v>
      </c>
      <c r="B105" s="1">
        <v>45510</v>
      </c>
      <c r="C105" s="7">
        <f t="shared" si="14"/>
        <v>2024</v>
      </c>
      <c r="D105" s="7">
        <f t="shared" si="15"/>
        <v>8</v>
      </c>
      <c r="E105" s="77">
        <v>19.564</v>
      </c>
      <c r="F105" s="2">
        <v>48.731094360351563</v>
      </c>
      <c r="G105" s="2">
        <v>32.926509857177727</v>
      </c>
      <c r="H105" s="2">
        <v>11.492081642150881</v>
      </c>
      <c r="I105" s="2">
        <v>269</v>
      </c>
      <c r="J105" s="2">
        <v>10.64999961853027</v>
      </c>
      <c r="K105" s="2">
        <v>389.12979125976563</v>
      </c>
      <c r="L105" s="2">
        <v>167.8999938964844</v>
      </c>
      <c r="M105" s="2">
        <v>207.66999816894531</v>
      </c>
      <c r="N105" s="12">
        <f t="shared" si="16"/>
        <v>-1.1683498922292035E-2</v>
      </c>
      <c r="O105" s="12">
        <f t="shared" si="17"/>
        <v>-1.5280487761748729E-2</v>
      </c>
      <c r="P105" s="12">
        <f t="shared" si="18"/>
        <v>-1.5306227928227778E-2</v>
      </c>
      <c r="Q105" s="12">
        <f t="shared" si="19"/>
        <v>1.3182674199623268E-2</v>
      </c>
      <c r="R105" s="12">
        <f t="shared" si="20"/>
        <v>-3.1818216497248142E-2</v>
      </c>
      <c r="S105" s="12">
        <f t="shared" si="21"/>
        <v>0</v>
      </c>
      <c r="T105" s="12">
        <f t="shared" si="22"/>
        <v>-7.6900494249133144E-2</v>
      </c>
      <c r="U105" s="12">
        <f t="shared" si="23"/>
        <v>-3.0885320335001354E-2</v>
      </c>
    </row>
    <row r="106" spans="1:21" x14ac:dyDescent="0.3">
      <c r="A106" s="13">
        <f t="shared" si="13"/>
        <v>102</v>
      </c>
      <c r="B106" s="1">
        <v>45509</v>
      </c>
      <c r="C106" s="7">
        <f t="shared" si="14"/>
        <v>2024</v>
      </c>
      <c r="D106" s="7">
        <f t="shared" si="15"/>
        <v>8</v>
      </c>
      <c r="E106" s="77">
        <v>19.332000000000001</v>
      </c>
      <c r="F106" s="2">
        <v>49.307174682617188</v>
      </c>
      <c r="G106" s="2">
        <v>33.437450408935547</v>
      </c>
      <c r="H106" s="2">
        <v>11.67071628570557</v>
      </c>
      <c r="I106" s="2">
        <v>265.5</v>
      </c>
      <c r="J106" s="2">
        <v>11</v>
      </c>
      <c r="K106" s="2">
        <v>389.12979125976563</v>
      </c>
      <c r="L106" s="2">
        <v>184.07000732421881</v>
      </c>
      <c r="M106" s="2">
        <v>216.86000061035159</v>
      </c>
      <c r="N106" s="12">
        <f t="shared" si="16"/>
        <v>-1.1361527756892698E-2</v>
      </c>
      <c r="O106" s="12">
        <f t="shared" si="17"/>
        <v>-2.2126530774348785E-2</v>
      </c>
      <c r="P106" s="12">
        <f t="shared" si="18"/>
        <v>-1.6722249210453177E-2</v>
      </c>
      <c r="Q106" s="12">
        <f t="shared" si="19"/>
        <v>-2.4972413139213501E-2</v>
      </c>
      <c r="R106" s="12">
        <f t="shared" si="20"/>
        <v>-3.9301294040285373E-2</v>
      </c>
      <c r="S106" s="12">
        <f t="shared" si="21"/>
        <v>0</v>
      </c>
      <c r="T106" s="12">
        <f t="shared" si="22"/>
        <v>-6.8294464298700452E-3</v>
      </c>
      <c r="U106" s="12">
        <f t="shared" si="23"/>
        <v>-5.7250329395561628E-2</v>
      </c>
    </row>
    <row r="107" spans="1:21" x14ac:dyDescent="0.3">
      <c r="A107" s="13">
        <f t="shared" si="13"/>
        <v>103</v>
      </c>
      <c r="B107" s="1">
        <v>45506</v>
      </c>
      <c r="C107" s="7">
        <f t="shared" si="14"/>
        <v>2024</v>
      </c>
      <c r="D107" s="7">
        <f t="shared" si="15"/>
        <v>8</v>
      </c>
      <c r="E107" s="77">
        <v>19.161999999999999</v>
      </c>
      <c r="F107" s="2">
        <v>49.873817443847663</v>
      </c>
      <c r="G107" s="2">
        <v>34.194046020507813</v>
      </c>
      <c r="H107" s="2">
        <v>11.86919593811035</v>
      </c>
      <c r="I107" s="2">
        <v>272.29998779296881</v>
      </c>
      <c r="J107" s="2">
        <v>11.44999980926514</v>
      </c>
      <c r="K107" s="2">
        <v>389.12979125976563</v>
      </c>
      <c r="L107" s="2">
        <v>186.97999572753909</v>
      </c>
      <c r="M107" s="2">
        <v>232.07000732421881</v>
      </c>
      <c r="N107" s="12">
        <f t="shared" si="16"/>
        <v>1.6358761188860038E-2</v>
      </c>
      <c r="O107" s="12">
        <f t="shared" si="17"/>
        <v>1.7270300201939204E-3</v>
      </c>
      <c r="P107" s="12">
        <f t="shared" si="18"/>
        <v>1.7872163492180348E-2</v>
      </c>
      <c r="Q107" s="12">
        <f t="shared" si="19"/>
        <v>7.8757585643898897E-2</v>
      </c>
      <c r="R107" s="12">
        <f t="shared" si="20"/>
        <v>-5.2128947370601031E-3</v>
      </c>
      <c r="S107" s="12">
        <f t="shared" si="21"/>
        <v>0</v>
      </c>
      <c r="T107" s="12">
        <f t="shared" si="22"/>
        <v>4.6311491480624856E-2</v>
      </c>
      <c r="U107" s="12">
        <f t="shared" si="23"/>
        <v>5.9984564507899796E-2</v>
      </c>
    </row>
    <row r="108" spans="1:21" x14ac:dyDescent="0.3">
      <c r="A108" s="13">
        <f t="shared" si="13"/>
        <v>104</v>
      </c>
      <c r="B108" s="1">
        <v>45505</v>
      </c>
      <c r="C108" s="7">
        <f t="shared" si="14"/>
        <v>2024</v>
      </c>
      <c r="D108" s="7">
        <f t="shared" si="15"/>
        <v>8</v>
      </c>
      <c r="E108" s="77">
        <v>18.844999999999999</v>
      </c>
      <c r="F108" s="2">
        <v>49.071075439453118</v>
      </c>
      <c r="G108" s="2">
        <v>34.135093688964837</v>
      </c>
      <c r="H108" s="2">
        <v>11.660792350769039</v>
      </c>
      <c r="I108" s="2">
        <v>252.41999816894531</v>
      </c>
      <c r="J108" s="2">
        <v>11.510000228881839</v>
      </c>
      <c r="K108" s="2">
        <v>389.12979125976563</v>
      </c>
      <c r="L108" s="2">
        <v>181.71000671386719</v>
      </c>
      <c r="M108" s="2">
        <v>222.6199951171875</v>
      </c>
      <c r="N108" s="12">
        <f t="shared" si="16"/>
        <v>-4.2281078915289427E-3</v>
      </c>
      <c r="O108" s="12">
        <f t="shared" si="17"/>
        <v>-2.877927391768953E-4</v>
      </c>
      <c r="P108" s="12">
        <f t="shared" si="18"/>
        <v>-1.5087956965290417E-2</v>
      </c>
      <c r="Q108" s="12">
        <f t="shared" si="19"/>
        <v>-5.0061266121600445E-3</v>
      </c>
      <c r="R108" s="12">
        <f t="shared" si="20"/>
        <v>-1.8755270412614822E-2</v>
      </c>
      <c r="S108" s="12">
        <f t="shared" si="21"/>
        <v>0</v>
      </c>
      <c r="T108" s="12">
        <f t="shared" si="22"/>
        <v>4.9317784093600991E-3</v>
      </c>
      <c r="U108" s="12">
        <f t="shared" si="23"/>
        <v>-2.8210472483446436E-2</v>
      </c>
    </row>
    <row r="109" spans="1:21" x14ac:dyDescent="0.3">
      <c r="A109" s="13">
        <f t="shared" si="13"/>
        <v>105</v>
      </c>
      <c r="B109" s="1">
        <v>45504</v>
      </c>
      <c r="C109" s="7">
        <f t="shared" si="14"/>
        <v>2024</v>
      </c>
      <c r="D109" s="7">
        <f t="shared" si="15"/>
        <v>7</v>
      </c>
      <c r="E109" s="77">
        <v>18.600000000000001</v>
      </c>
      <c r="F109" s="2">
        <v>49.279434204101563</v>
      </c>
      <c r="G109" s="2">
        <v>34.144920349121087</v>
      </c>
      <c r="H109" s="2">
        <v>11.839425086975099</v>
      </c>
      <c r="I109" s="2">
        <v>253.69000244140619</v>
      </c>
      <c r="J109" s="2">
        <v>11.72999954223633</v>
      </c>
      <c r="K109" s="2">
        <v>389.12979125976563</v>
      </c>
      <c r="L109" s="2">
        <v>183.19999694824219</v>
      </c>
      <c r="M109" s="2">
        <v>232.1000061035156</v>
      </c>
      <c r="N109" s="12">
        <f t="shared" si="16"/>
        <v>-7.5301603993692678E-3</v>
      </c>
      <c r="O109" s="12">
        <f t="shared" si="17"/>
        <v>-1.558066083522891E-2</v>
      </c>
      <c r="P109" s="12">
        <f t="shared" si="18"/>
        <v>1.1016953224450177E-2</v>
      </c>
      <c r="Q109" s="12">
        <f t="shared" si="19"/>
        <v>3.2393305059480904E-2</v>
      </c>
      <c r="R109" s="12">
        <f t="shared" si="20"/>
        <v>-1.0961224131885161E-2</v>
      </c>
      <c r="S109" s="12">
        <f t="shared" si="21"/>
        <v>0</v>
      </c>
      <c r="T109" s="12">
        <f t="shared" si="22"/>
        <v>-4.2481918444372546E-3</v>
      </c>
      <c r="U109" s="12">
        <f t="shared" si="23"/>
        <v>4.7456432553807604E-2</v>
      </c>
    </row>
    <row r="110" spans="1:21" x14ac:dyDescent="0.3">
      <c r="A110" s="13">
        <f t="shared" si="13"/>
        <v>106</v>
      </c>
      <c r="B110" s="1">
        <v>45503</v>
      </c>
      <c r="C110" s="7">
        <f t="shared" si="14"/>
        <v>2024</v>
      </c>
      <c r="D110" s="7">
        <f t="shared" si="15"/>
        <v>7</v>
      </c>
      <c r="E110" s="77">
        <v>18.751000000000001</v>
      </c>
      <c r="F110" s="2">
        <v>49.653331756591797</v>
      </c>
      <c r="G110" s="2">
        <v>34.685340881347663</v>
      </c>
      <c r="H110" s="2">
        <v>11.71041202545166</v>
      </c>
      <c r="I110" s="2">
        <v>245.72999572753909</v>
      </c>
      <c r="J110" s="2">
        <v>11.85999965667725</v>
      </c>
      <c r="K110" s="2">
        <v>389.12979125976563</v>
      </c>
      <c r="L110" s="2">
        <v>182.5</v>
      </c>
      <c r="M110" s="2">
        <v>219.80000305175781</v>
      </c>
      <c r="N110" s="12">
        <f t="shared" si="16"/>
        <v>3.7674593728076466E-4</v>
      </c>
      <c r="O110" s="12">
        <f t="shared" si="17"/>
        <v>2.0821261966721849E-2</v>
      </c>
      <c r="P110" s="12">
        <f t="shared" si="18"/>
        <v>5.9676003124258248E-3</v>
      </c>
      <c r="Q110" s="12">
        <f t="shared" si="19"/>
        <v>4.2092308628625119E-3</v>
      </c>
      <c r="R110" s="12">
        <f t="shared" si="20"/>
        <v>1.4542350932092551E-2</v>
      </c>
      <c r="S110" s="12">
        <f t="shared" si="21"/>
        <v>0</v>
      </c>
      <c r="T110" s="12">
        <f t="shared" si="22"/>
        <v>2.1484073313722485E-2</v>
      </c>
      <c r="U110" s="12">
        <f t="shared" si="23"/>
        <v>4.5948900586092467E-3</v>
      </c>
    </row>
    <row r="111" spans="1:21" x14ac:dyDescent="0.3">
      <c r="A111" s="13">
        <f t="shared" si="13"/>
        <v>107</v>
      </c>
      <c r="B111" s="1">
        <v>45502</v>
      </c>
      <c r="C111" s="7">
        <f t="shared" si="14"/>
        <v>2024</v>
      </c>
      <c r="D111" s="7">
        <f t="shared" si="15"/>
        <v>7</v>
      </c>
      <c r="E111" s="77">
        <v>18.627099999999999</v>
      </c>
      <c r="F111" s="2">
        <v>49.634632110595703</v>
      </c>
      <c r="G111" s="2">
        <v>33.977878570556641</v>
      </c>
      <c r="H111" s="2">
        <v>11.64094352722168</v>
      </c>
      <c r="I111" s="2">
        <v>244.69999694824219</v>
      </c>
      <c r="J111" s="2">
        <v>11.689999580383301</v>
      </c>
      <c r="K111" s="2">
        <v>389.12979125976563</v>
      </c>
      <c r="L111" s="2">
        <v>179.8500061035156</v>
      </c>
      <c r="M111" s="2">
        <v>220.25</v>
      </c>
      <c r="N111" s="12">
        <f t="shared" si="16"/>
        <v>-4.4993855884238876E-3</v>
      </c>
      <c r="O111" s="12">
        <f t="shared" si="17"/>
        <v>-8.3166004122784409E-3</v>
      </c>
      <c r="P111" s="12">
        <f t="shared" si="18"/>
        <v>3.0755689884961246E-2</v>
      </c>
      <c r="Q111" s="12">
        <f t="shared" si="19"/>
        <v>-1.394264451486027E-2</v>
      </c>
      <c r="R111" s="12">
        <f t="shared" si="20"/>
        <v>5.4102742970242312E-2</v>
      </c>
      <c r="S111" s="12">
        <f t="shared" si="21"/>
        <v>0</v>
      </c>
      <c r="T111" s="12">
        <f t="shared" si="22"/>
        <v>4.1274642710877885E-3</v>
      </c>
      <c r="U111" s="12">
        <f t="shared" si="23"/>
        <v>2.9511345855538273E-2</v>
      </c>
    </row>
    <row r="112" spans="1:21" x14ac:dyDescent="0.3">
      <c r="A112" s="13">
        <f t="shared" si="13"/>
        <v>108</v>
      </c>
      <c r="B112" s="1">
        <v>45499</v>
      </c>
      <c r="C112" s="7">
        <f t="shared" si="14"/>
        <v>2024</v>
      </c>
      <c r="D112" s="7">
        <f t="shared" si="15"/>
        <v>7</v>
      </c>
      <c r="E112" s="77">
        <v>18.45</v>
      </c>
      <c r="F112" s="2">
        <v>49.858966827392578</v>
      </c>
      <c r="G112" s="2">
        <v>34.262828826904297</v>
      </c>
      <c r="H112" s="2">
        <v>11.293601036071779</v>
      </c>
      <c r="I112" s="2">
        <v>248.1600036621094</v>
      </c>
      <c r="J112" s="2">
        <v>11.090000152587891</v>
      </c>
      <c r="K112" s="2">
        <v>389.12979125976563</v>
      </c>
      <c r="L112" s="2">
        <v>180.83000183105469</v>
      </c>
      <c r="M112" s="2">
        <v>215.99000549316409</v>
      </c>
      <c r="N112" s="12">
        <f t="shared" si="16"/>
        <v>-1.0022382039833078E-2</v>
      </c>
      <c r="O112" s="12">
        <f t="shared" si="17"/>
        <v>8.6114801683567777E-4</v>
      </c>
      <c r="P112" s="12">
        <f t="shared" si="18"/>
        <v>-3.3135100239311654E-2</v>
      </c>
      <c r="Q112" s="12">
        <f t="shared" si="19"/>
        <v>6.6117912257475098E-3</v>
      </c>
      <c r="R112" s="12">
        <f t="shared" si="20"/>
        <v>-5.0513710374343157E-2</v>
      </c>
      <c r="S112" s="12">
        <f t="shared" si="21"/>
        <v>0</v>
      </c>
      <c r="T112" s="12">
        <f t="shared" si="22"/>
        <v>-2.9802562582688097E-2</v>
      </c>
      <c r="U112" s="12">
        <f t="shared" si="23"/>
        <v>-0.12322724199728863</v>
      </c>
    </row>
    <row r="113" spans="1:21" x14ac:dyDescent="0.3">
      <c r="A113" s="13">
        <f t="shared" si="13"/>
        <v>109</v>
      </c>
      <c r="B113" s="1">
        <v>45498</v>
      </c>
      <c r="C113" s="7">
        <f t="shared" si="14"/>
        <v>2024</v>
      </c>
      <c r="D113" s="7">
        <f t="shared" si="15"/>
        <v>7</v>
      </c>
      <c r="E113" s="77">
        <v>18.447500000000002</v>
      </c>
      <c r="F113" s="2">
        <v>50.363731384277337</v>
      </c>
      <c r="G113" s="2">
        <v>34.233348846435547</v>
      </c>
      <c r="H113" s="2">
        <v>11.68064022064209</v>
      </c>
      <c r="I113" s="2">
        <v>246.5299987792969</v>
      </c>
      <c r="J113" s="2">
        <v>11.680000305175779</v>
      </c>
      <c r="K113" s="2">
        <v>389.12979125976563</v>
      </c>
      <c r="L113" s="2">
        <v>186.4100036621094</v>
      </c>
      <c r="M113" s="2">
        <v>246.3800048828125</v>
      </c>
      <c r="N113" s="12">
        <f t="shared" si="16"/>
        <v>-5.1698570433936775E-3</v>
      </c>
      <c r="O113" s="12">
        <f t="shared" si="17"/>
        <v>-2.3542631392598046E-2</v>
      </c>
      <c r="P113" s="12">
        <f t="shared" si="18"/>
        <v>2.081529777865887E-2</v>
      </c>
      <c r="Q113" s="12">
        <f t="shared" si="19"/>
        <v>-3.5485160827990803E-2</v>
      </c>
      <c r="R113" s="12">
        <f t="shared" si="20"/>
        <v>3.0891472535442333E-2</v>
      </c>
      <c r="S113" s="12">
        <f t="shared" si="21"/>
        <v>0</v>
      </c>
      <c r="T113" s="12">
        <f t="shared" si="22"/>
        <v>2.6346869719480193E-2</v>
      </c>
      <c r="U113" s="12">
        <f t="shared" si="23"/>
        <v>-1.5406411474125248E-2</v>
      </c>
    </row>
    <row r="114" spans="1:21" x14ac:dyDescent="0.3">
      <c r="A114" s="13">
        <f t="shared" si="13"/>
        <v>110</v>
      </c>
      <c r="B114" s="1">
        <v>45497</v>
      </c>
      <c r="C114" s="7">
        <f t="shared" si="14"/>
        <v>2024</v>
      </c>
      <c r="D114" s="7">
        <f t="shared" si="15"/>
        <v>7</v>
      </c>
      <c r="E114" s="77">
        <v>18.353999999999999</v>
      </c>
      <c r="F114" s="2">
        <v>50.625457763671882</v>
      </c>
      <c r="G114" s="2">
        <v>35.058723449707031</v>
      </c>
      <c r="H114" s="2">
        <v>11.44246196746826</v>
      </c>
      <c r="I114" s="2">
        <v>255.6000061035156</v>
      </c>
      <c r="J114" s="2">
        <v>11.329999923706049</v>
      </c>
      <c r="K114" s="2">
        <v>389.12979125976563</v>
      </c>
      <c r="L114" s="2">
        <v>182.55000305175781</v>
      </c>
      <c r="M114" s="2">
        <v>251.50999450683591</v>
      </c>
      <c r="N114" s="12">
        <f t="shared" si="16"/>
        <v>6.130491223965695E-3</v>
      </c>
      <c r="O114" s="12">
        <f t="shared" si="17"/>
        <v>2.5287839801937384E-3</v>
      </c>
      <c r="P114" s="12">
        <f t="shared" si="18"/>
        <v>3.3154161754538336E-2</v>
      </c>
      <c r="Q114" s="12">
        <f t="shared" si="19"/>
        <v>-3.1283860511932549E-4</v>
      </c>
      <c r="R114" s="12">
        <f t="shared" si="20"/>
        <v>1.1607153272749748E-2</v>
      </c>
      <c r="S114" s="12">
        <f t="shared" si="21"/>
        <v>-4.4117580913004883E-2</v>
      </c>
      <c r="T114" s="12">
        <f t="shared" si="22"/>
        <v>8.6092914946056531E-3</v>
      </c>
      <c r="U114" s="12">
        <f t="shared" si="23"/>
        <v>6.3885047379537818E-2</v>
      </c>
    </row>
    <row r="115" spans="1:21" x14ac:dyDescent="0.3">
      <c r="A115" s="13">
        <f t="shared" si="13"/>
        <v>111</v>
      </c>
      <c r="B115" s="1">
        <v>45496</v>
      </c>
      <c r="C115" s="7">
        <f t="shared" si="14"/>
        <v>2024</v>
      </c>
      <c r="D115" s="7">
        <f t="shared" si="15"/>
        <v>7</v>
      </c>
      <c r="E115" s="77">
        <v>18.139700000000001</v>
      </c>
      <c r="F115" s="2">
        <v>50.316989898681641</v>
      </c>
      <c r="G115" s="2">
        <v>34.970291137695313</v>
      </c>
      <c r="H115" s="2">
        <v>11.075270652771</v>
      </c>
      <c r="I115" s="2">
        <v>255.67999267578119</v>
      </c>
      <c r="J115" s="2">
        <v>11.19999980926514</v>
      </c>
      <c r="K115" s="2">
        <v>407.089599609375</v>
      </c>
      <c r="L115" s="2">
        <v>183.1300048828125</v>
      </c>
      <c r="M115" s="2">
        <v>239.19999694824219</v>
      </c>
      <c r="N115" s="12">
        <f t="shared" si="16"/>
        <v>1.1651912143959553E-2</v>
      </c>
      <c r="O115" s="12">
        <f t="shared" si="17"/>
        <v>2.2701177764162361E-2</v>
      </c>
      <c r="P115" s="12">
        <f t="shared" si="18"/>
        <v>-1.9332220308069359E-2</v>
      </c>
      <c r="Q115" s="12">
        <f t="shared" si="19"/>
        <v>1.4482378741272672E-2</v>
      </c>
      <c r="R115" s="12">
        <f t="shared" si="20"/>
        <v>-2.097900174137235E-2</v>
      </c>
      <c r="S115" s="12">
        <f t="shared" si="21"/>
        <v>0</v>
      </c>
      <c r="T115" s="12">
        <f t="shared" si="22"/>
        <v>8.5631475282319514E-3</v>
      </c>
      <c r="U115" s="12">
        <f t="shared" si="23"/>
        <v>-2.8748291678568516E-2</v>
      </c>
    </row>
    <row r="116" spans="1:21" x14ac:dyDescent="0.3">
      <c r="A116" s="13">
        <f t="shared" si="13"/>
        <v>112</v>
      </c>
      <c r="B116" s="1">
        <v>45495</v>
      </c>
      <c r="C116" s="7">
        <f t="shared" si="14"/>
        <v>2024</v>
      </c>
      <c r="D116" s="7">
        <f t="shared" si="15"/>
        <v>7</v>
      </c>
      <c r="E116" s="77">
        <v>17.925000000000001</v>
      </c>
      <c r="F116" s="2">
        <v>49.737453460693359</v>
      </c>
      <c r="G116" s="2">
        <v>34.194046020507813</v>
      </c>
      <c r="H116" s="2">
        <v>11.293601036071779</v>
      </c>
      <c r="I116" s="2">
        <v>252.0299987792969</v>
      </c>
      <c r="J116" s="2">
        <v>11.439999580383301</v>
      </c>
      <c r="K116" s="2">
        <v>407.089599609375</v>
      </c>
      <c r="L116" s="2">
        <v>183.75</v>
      </c>
      <c r="M116" s="2">
        <v>249.22999572753909</v>
      </c>
      <c r="N116" s="12">
        <f t="shared" si="16"/>
        <v>-1.2251726293870946E-2</v>
      </c>
      <c r="O116" s="12">
        <f t="shared" si="17"/>
        <v>-2.356905364422357E-2</v>
      </c>
      <c r="P116" s="12">
        <f t="shared" si="18"/>
        <v>-7.8465269431070572E-3</v>
      </c>
      <c r="Q116" s="12">
        <f t="shared" si="19"/>
        <v>-3.6729916416085917E-2</v>
      </c>
      <c r="R116" s="12">
        <f t="shared" si="20"/>
        <v>-2.0548006722750367E-2</v>
      </c>
      <c r="S116" s="12">
        <f t="shared" si="21"/>
        <v>0</v>
      </c>
      <c r="T116" s="12">
        <f t="shared" si="22"/>
        <v>-2.8205876322651591E-2</v>
      </c>
      <c r="U116" s="12">
        <f t="shared" si="23"/>
        <v>-3.1795601072723834E-3</v>
      </c>
    </row>
    <row r="117" spans="1:21" x14ac:dyDescent="0.3">
      <c r="A117" s="13">
        <f t="shared" si="13"/>
        <v>113</v>
      </c>
      <c r="B117" s="1">
        <v>45492</v>
      </c>
      <c r="C117" s="7">
        <f t="shared" si="14"/>
        <v>2024</v>
      </c>
      <c r="D117" s="7">
        <f t="shared" si="15"/>
        <v>7</v>
      </c>
      <c r="E117" s="77">
        <v>18.035</v>
      </c>
      <c r="F117" s="2">
        <v>50.354381561279297</v>
      </c>
      <c r="G117" s="2">
        <v>35.019420623779297</v>
      </c>
      <c r="H117" s="2">
        <v>11.382917404174799</v>
      </c>
      <c r="I117" s="2">
        <v>261.6400146484375</v>
      </c>
      <c r="J117" s="2">
        <v>11.680000305175779</v>
      </c>
      <c r="K117" s="2">
        <v>407.089599609375</v>
      </c>
      <c r="L117" s="2">
        <v>187.92999267578119</v>
      </c>
      <c r="M117" s="2">
        <v>248.5</v>
      </c>
      <c r="N117" s="12">
        <f t="shared" si="16"/>
        <v>-1.1378202595696885E-2</v>
      </c>
      <c r="O117" s="12">
        <f t="shared" si="17"/>
        <v>-1.7640590425963221E-2</v>
      </c>
      <c r="P117" s="12">
        <f t="shared" si="18"/>
        <v>-4.8922067947286485E-2</v>
      </c>
      <c r="Q117" s="12">
        <f t="shared" si="19"/>
        <v>-1.6390922374295069E-2</v>
      </c>
      <c r="R117" s="12">
        <f t="shared" si="20"/>
        <v>-2.3411348835963186E-2</v>
      </c>
      <c r="S117" s="12">
        <f t="shared" si="21"/>
        <v>0</v>
      </c>
      <c r="T117" s="12">
        <f t="shared" si="22"/>
        <v>-2.1650873195199982E-2</v>
      </c>
      <c r="U117" s="12">
        <f t="shared" si="23"/>
        <v>-2.6720589496812885E-2</v>
      </c>
    </row>
    <row r="118" spans="1:21" x14ac:dyDescent="0.3">
      <c r="A118" s="13">
        <f t="shared" si="13"/>
        <v>114</v>
      </c>
      <c r="B118" s="1">
        <v>45491</v>
      </c>
      <c r="C118" s="7">
        <f t="shared" si="14"/>
        <v>2024</v>
      </c>
      <c r="D118" s="7">
        <f t="shared" si="15"/>
        <v>7</v>
      </c>
      <c r="E118" s="77">
        <v>17.948</v>
      </c>
      <c r="F118" s="2">
        <v>50.933917999267578</v>
      </c>
      <c r="G118" s="2">
        <v>35.648277282714837</v>
      </c>
      <c r="H118" s="2">
        <v>11.96843814849854</v>
      </c>
      <c r="I118" s="2">
        <v>266</v>
      </c>
      <c r="J118" s="2">
        <v>11.960000038146971</v>
      </c>
      <c r="K118" s="2">
        <v>407.089599609375</v>
      </c>
      <c r="L118" s="2">
        <v>193.02000427246091</v>
      </c>
      <c r="M118" s="2">
        <v>256.55999755859381</v>
      </c>
      <c r="N118" s="12">
        <f t="shared" si="16"/>
        <v>9.1838165125768256E-4</v>
      </c>
      <c r="O118" s="12">
        <f t="shared" si="17"/>
        <v>-5.4824680428816608E-3</v>
      </c>
      <c r="P118" s="12">
        <f t="shared" si="18"/>
        <v>1.0050267433822979E-2</v>
      </c>
      <c r="Q118" s="12">
        <f t="shared" si="19"/>
        <v>1.6469859445848778E-2</v>
      </c>
      <c r="R118" s="12">
        <f t="shared" si="20"/>
        <v>1.1844360993008562E-2</v>
      </c>
      <c r="S118" s="12">
        <f t="shared" si="21"/>
        <v>0</v>
      </c>
      <c r="T118" s="12">
        <f t="shared" si="22"/>
        <v>1.6049020057789409E-2</v>
      </c>
      <c r="U118" s="12">
        <f t="shared" si="23"/>
        <v>3.0210474854719171E-2</v>
      </c>
    </row>
    <row r="119" spans="1:21" x14ac:dyDescent="0.3">
      <c r="A119" s="13">
        <f t="shared" si="13"/>
        <v>115</v>
      </c>
      <c r="B119" s="1">
        <v>45490</v>
      </c>
      <c r="C119" s="7">
        <f t="shared" si="14"/>
        <v>2024</v>
      </c>
      <c r="D119" s="7">
        <f t="shared" si="15"/>
        <v>7</v>
      </c>
      <c r="E119" s="77">
        <v>17.692</v>
      </c>
      <c r="F119" s="2">
        <v>50.887184143066413</v>
      </c>
      <c r="G119" s="2">
        <v>35.844795227050781</v>
      </c>
      <c r="H119" s="2">
        <v>11.849349021911619</v>
      </c>
      <c r="I119" s="2">
        <v>261.69000244140619</v>
      </c>
      <c r="J119" s="2">
        <v>11.819999694824221</v>
      </c>
      <c r="K119" s="2">
        <v>407.089599609375</v>
      </c>
      <c r="L119" s="2">
        <v>192.7200012207031</v>
      </c>
      <c r="M119" s="2">
        <v>252.63999938964841</v>
      </c>
      <c r="N119" s="12">
        <f t="shared" si="16"/>
        <v>-1.1080830190458468E-2</v>
      </c>
      <c r="O119" s="12">
        <f t="shared" si="17"/>
        <v>-1.1382075842419126E-2</v>
      </c>
      <c r="P119" s="12">
        <f t="shared" si="18"/>
        <v>-1.8092082126918374E-2</v>
      </c>
      <c r="Q119" s="12">
        <f t="shared" si="19"/>
        <v>-9.0502281595861156E-3</v>
      </c>
      <c r="R119" s="12">
        <f t="shared" si="20"/>
        <v>1.1120626099856201E-2</v>
      </c>
      <c r="S119" s="12">
        <f t="shared" si="21"/>
        <v>-4.8951013053945669E-2</v>
      </c>
      <c r="T119" s="12">
        <f t="shared" si="22"/>
        <v>-7.41764298063885E-3</v>
      </c>
      <c r="U119" s="12">
        <f t="shared" si="23"/>
        <v>1.9494534982897216E-2</v>
      </c>
    </row>
    <row r="120" spans="1:21" x14ac:dyDescent="0.3">
      <c r="A120" s="13">
        <f t="shared" si="13"/>
        <v>116</v>
      </c>
      <c r="B120" s="1">
        <v>45489</v>
      </c>
      <c r="C120" s="7">
        <f t="shared" si="14"/>
        <v>2024</v>
      </c>
      <c r="D120" s="7">
        <f t="shared" si="15"/>
        <v>7</v>
      </c>
      <c r="E120" s="77">
        <v>17.661999999999999</v>
      </c>
      <c r="F120" s="2">
        <v>51.457374572753913</v>
      </c>
      <c r="G120" s="2">
        <v>36.257480621337891</v>
      </c>
      <c r="H120" s="2">
        <v>12.067678451538089</v>
      </c>
      <c r="I120" s="2">
        <v>264.07998657226563</v>
      </c>
      <c r="J120" s="2">
        <v>11.689999580383301</v>
      </c>
      <c r="K120" s="2">
        <v>428.042724609375</v>
      </c>
      <c r="L120" s="2">
        <v>194.49000549316409</v>
      </c>
      <c r="M120" s="2">
        <v>248.22999572753909</v>
      </c>
      <c r="N120" s="12">
        <f t="shared" si="16"/>
        <v>1.1390744167494304E-2</v>
      </c>
      <c r="O120" s="12">
        <f t="shared" si="17"/>
        <v>1.628583655971072E-3</v>
      </c>
      <c r="P120" s="12">
        <f t="shared" si="18"/>
        <v>1.6473434360790851E-3</v>
      </c>
      <c r="Q120" s="12">
        <f t="shared" si="19"/>
        <v>8.1312245313087672E-3</v>
      </c>
      <c r="R120" s="12">
        <f t="shared" si="20"/>
        <v>2.6338825989274062E-2</v>
      </c>
      <c r="S120" s="12">
        <f t="shared" si="21"/>
        <v>0</v>
      </c>
      <c r="T120" s="12">
        <f t="shared" si="22"/>
        <v>-6.4151434101582527E-3</v>
      </c>
      <c r="U120" s="12">
        <f t="shared" si="23"/>
        <v>2.6211312497520289E-2</v>
      </c>
    </row>
    <row r="121" spans="1:21" x14ac:dyDescent="0.3">
      <c r="A121" s="13">
        <f t="shared" si="13"/>
        <v>117</v>
      </c>
      <c r="B121" s="1">
        <v>45488</v>
      </c>
      <c r="C121" s="7">
        <f t="shared" si="14"/>
        <v>2024</v>
      </c>
      <c r="D121" s="7">
        <f t="shared" si="15"/>
        <v>7</v>
      </c>
      <c r="E121" s="77">
        <v>17.725000000000001</v>
      </c>
      <c r="F121" s="2">
        <v>50.877838134765618</v>
      </c>
      <c r="G121" s="2">
        <v>36.198528289794922</v>
      </c>
      <c r="H121" s="2">
        <v>12.047831535339361</v>
      </c>
      <c r="I121" s="2">
        <v>261.95001220703119</v>
      </c>
      <c r="J121" s="2">
        <v>11.39000034332275</v>
      </c>
      <c r="K121" s="2">
        <v>428.042724609375</v>
      </c>
      <c r="L121" s="2">
        <v>195.05000305175781</v>
      </c>
      <c r="M121" s="2">
        <v>241.0299987792969</v>
      </c>
      <c r="N121" s="12">
        <f t="shared" si="16"/>
        <v>2.5788894591021183E-3</v>
      </c>
      <c r="O121" s="12">
        <f t="shared" si="17"/>
        <v>-4.3242499112580157E-3</v>
      </c>
      <c r="P121" s="12">
        <f t="shared" si="18"/>
        <v>2.1026173951613325E-2</v>
      </c>
      <c r="Q121" s="12">
        <f t="shared" si="19"/>
        <v>1.2367196935386238E-2</v>
      </c>
      <c r="R121" s="12">
        <f t="shared" si="20"/>
        <v>7.0733793755917151E-3</v>
      </c>
      <c r="S121" s="12">
        <f t="shared" si="21"/>
        <v>0</v>
      </c>
      <c r="T121" s="12">
        <f t="shared" si="22"/>
        <v>-1.7126161422018948E-2</v>
      </c>
      <c r="U121" s="12">
        <f t="shared" si="23"/>
        <v>-7.8252959585279003E-2</v>
      </c>
    </row>
    <row r="122" spans="1:21" x14ac:dyDescent="0.3">
      <c r="A122" s="13">
        <f t="shared" si="13"/>
        <v>118</v>
      </c>
      <c r="B122" s="1">
        <v>45485</v>
      </c>
      <c r="C122" s="7">
        <f t="shared" si="14"/>
        <v>2024</v>
      </c>
      <c r="D122" s="7">
        <f t="shared" si="15"/>
        <v>7</v>
      </c>
      <c r="E122" s="77">
        <v>17.606000000000002</v>
      </c>
      <c r="F122" s="2">
        <v>50.746967315673828</v>
      </c>
      <c r="G122" s="2">
        <v>36.355739593505859</v>
      </c>
      <c r="H122" s="2">
        <v>11.799728393554689</v>
      </c>
      <c r="I122" s="2">
        <v>258.75</v>
      </c>
      <c r="J122" s="2">
        <v>11.310000419616699</v>
      </c>
      <c r="K122" s="2">
        <v>428.042724609375</v>
      </c>
      <c r="L122" s="2">
        <v>199.78999328613281</v>
      </c>
      <c r="M122" s="2">
        <v>263.260009765625</v>
      </c>
      <c r="N122" s="12">
        <f t="shared" si="16"/>
        <v>1.685689176894023E-2</v>
      </c>
      <c r="O122" s="12">
        <f t="shared" si="17"/>
        <v>-1.3495306349424752E-3</v>
      </c>
      <c r="P122" s="12">
        <f t="shared" si="18"/>
        <v>6.0660199448055563E-2</v>
      </c>
      <c r="Q122" s="12">
        <f t="shared" si="19"/>
        <v>3.6036036036036112E-2</v>
      </c>
      <c r="R122" s="12">
        <f t="shared" si="20"/>
        <v>8.9206406003061733E-3</v>
      </c>
      <c r="S122" s="12">
        <f t="shared" si="21"/>
        <v>3.4975608364473665E-4</v>
      </c>
      <c r="T122" s="12">
        <f t="shared" si="22"/>
        <v>-6.7688625147040993E-3</v>
      </c>
      <c r="U122" s="12">
        <f t="shared" si="23"/>
        <v>-5.4926531342236462E-3</v>
      </c>
    </row>
    <row r="123" spans="1:21" x14ac:dyDescent="0.3">
      <c r="A123" s="13">
        <f t="shared" si="13"/>
        <v>119</v>
      </c>
      <c r="B123" s="1">
        <v>45484</v>
      </c>
      <c r="C123" s="7">
        <f t="shared" si="14"/>
        <v>2024</v>
      </c>
      <c r="D123" s="7">
        <f t="shared" si="15"/>
        <v>7</v>
      </c>
      <c r="E123" s="77">
        <v>17.765999999999998</v>
      </c>
      <c r="F123" s="2">
        <v>49.905712127685547</v>
      </c>
      <c r="G123" s="2">
        <v>36.404869079589837</v>
      </c>
      <c r="H123" s="2">
        <v>11.12489032745361</v>
      </c>
      <c r="I123" s="2">
        <v>249.75</v>
      </c>
      <c r="J123" s="2">
        <v>11.210000038146971</v>
      </c>
      <c r="K123" s="2">
        <v>427.89306640625</v>
      </c>
      <c r="L123" s="2">
        <v>199.3399963378906</v>
      </c>
      <c r="M123" s="2">
        <v>262.32998657226563</v>
      </c>
      <c r="N123" s="12">
        <f t="shared" si="16"/>
        <v>8.1195242548131041E-3</v>
      </c>
      <c r="O123" s="12">
        <f t="shared" si="17"/>
        <v>-1.7241315392518164E-2</v>
      </c>
      <c r="P123" s="12">
        <f t="shared" si="18"/>
        <v>-1.2334878223483892E-2</v>
      </c>
      <c r="Q123" s="12">
        <f t="shared" si="19"/>
        <v>-4.1071807333541432E-3</v>
      </c>
      <c r="R123" s="12">
        <f t="shared" si="20"/>
        <v>-6.2056468511795249E-3</v>
      </c>
      <c r="S123" s="12">
        <f t="shared" si="21"/>
        <v>0</v>
      </c>
      <c r="T123" s="12">
        <f t="shared" si="22"/>
        <v>-2.5338694345391488E-3</v>
      </c>
      <c r="U123" s="12">
        <f t="shared" si="23"/>
        <v>3.4235934204402296E-2</v>
      </c>
    </row>
    <row r="124" spans="1:21" x14ac:dyDescent="0.3">
      <c r="A124" s="13">
        <f t="shared" si="13"/>
        <v>120</v>
      </c>
      <c r="B124" s="1">
        <v>45483</v>
      </c>
      <c r="C124" s="7">
        <f t="shared" si="14"/>
        <v>2024</v>
      </c>
      <c r="D124" s="7">
        <f t="shared" si="15"/>
        <v>7</v>
      </c>
      <c r="E124" s="77">
        <v>17.8156</v>
      </c>
      <c r="F124" s="2">
        <v>49.503765106201172</v>
      </c>
      <c r="G124" s="2">
        <v>37.043548583984382</v>
      </c>
      <c r="H124" s="2">
        <v>11.263828277587891</v>
      </c>
      <c r="I124" s="2">
        <v>250.7799987792969</v>
      </c>
      <c r="J124" s="2">
        <v>11.27999973297119</v>
      </c>
      <c r="K124" s="2">
        <v>427.89306640625</v>
      </c>
      <c r="L124" s="2">
        <v>199.28999328613281</v>
      </c>
      <c r="M124" s="2">
        <v>252.94000244140619</v>
      </c>
      <c r="N124" s="12">
        <f t="shared" si="16"/>
        <v>1.1652256641983438E-2</v>
      </c>
      <c r="O124" s="12">
        <f t="shared" si="17"/>
        <v>3.8567472783542334E-2</v>
      </c>
      <c r="P124" s="12">
        <f t="shared" si="18"/>
        <v>1.7937220117424602E-2</v>
      </c>
      <c r="Q124" s="12">
        <f t="shared" si="19"/>
        <v>6.5826418626724337E-3</v>
      </c>
      <c r="R124" s="12">
        <f t="shared" si="20"/>
        <v>7.1428504525392622E-3</v>
      </c>
      <c r="S124" s="12">
        <f t="shared" si="21"/>
        <v>0</v>
      </c>
      <c r="T124" s="12">
        <f t="shared" si="22"/>
        <v>-9.2446689394944936E-3</v>
      </c>
      <c r="U124" s="12">
        <f t="shared" si="23"/>
        <v>-1.0152117098494173E-4</v>
      </c>
    </row>
    <row r="125" spans="1:21" x14ac:dyDescent="0.3">
      <c r="A125" s="13">
        <f t="shared" si="13"/>
        <v>121</v>
      </c>
      <c r="B125" s="1">
        <v>45482</v>
      </c>
      <c r="C125" s="7">
        <f t="shared" si="14"/>
        <v>2024</v>
      </c>
      <c r="D125" s="7">
        <f t="shared" si="15"/>
        <v>7</v>
      </c>
      <c r="E125" s="77">
        <v>17.917999999999999</v>
      </c>
      <c r="F125" s="2">
        <v>48.933578491210938</v>
      </c>
      <c r="G125" s="2">
        <v>35.667926788330078</v>
      </c>
      <c r="H125" s="2">
        <v>11.065346717834471</v>
      </c>
      <c r="I125" s="2">
        <v>249.13999938964841</v>
      </c>
      <c r="J125" s="2">
        <v>11.19999980926514</v>
      </c>
      <c r="K125" s="2">
        <v>427.89306640625</v>
      </c>
      <c r="L125" s="2">
        <v>200</v>
      </c>
      <c r="M125" s="2">
        <v>251.52000427246091</v>
      </c>
      <c r="N125" s="12">
        <f t="shared" si="16"/>
        <v>-9.4608075589472929E-3</v>
      </c>
      <c r="O125" s="12">
        <f t="shared" si="17"/>
        <v>-2.8892478531298948E-2</v>
      </c>
      <c r="P125" s="12">
        <f t="shared" si="18"/>
        <v>3.6003948368132921E-3</v>
      </c>
      <c r="Q125" s="12">
        <f t="shared" si="19"/>
        <v>2.0312912042933284E-2</v>
      </c>
      <c r="R125" s="12">
        <f t="shared" si="20"/>
        <v>-3.6973370674506678E-2</v>
      </c>
      <c r="S125" s="12">
        <f t="shared" si="21"/>
        <v>0</v>
      </c>
      <c r="T125" s="12">
        <f t="shared" si="22"/>
        <v>7.8098303995279839E-3</v>
      </c>
      <c r="U125" s="12">
        <f t="shared" si="23"/>
        <v>1.6396130589805269E-2</v>
      </c>
    </row>
    <row r="126" spans="1:21" x14ac:dyDescent="0.3">
      <c r="A126" s="13">
        <f t="shared" si="13"/>
        <v>122</v>
      </c>
      <c r="B126" s="1">
        <v>45481</v>
      </c>
      <c r="C126" s="7">
        <f t="shared" si="14"/>
        <v>2024</v>
      </c>
      <c r="D126" s="7">
        <f t="shared" si="15"/>
        <v>7</v>
      </c>
      <c r="E126" s="77">
        <v>17.995999999999999</v>
      </c>
      <c r="F126" s="2">
        <v>49.400951385498047</v>
      </c>
      <c r="G126" s="2">
        <v>36.729122161865227</v>
      </c>
      <c r="H126" s="2">
        <v>11.025650024414061</v>
      </c>
      <c r="I126" s="2">
        <v>244.17999267578119</v>
      </c>
      <c r="J126" s="2">
        <v>11.63000011444092</v>
      </c>
      <c r="K126" s="2">
        <v>427.89306640625</v>
      </c>
      <c r="L126" s="2">
        <v>197.5899963378906</v>
      </c>
      <c r="M126" s="2">
        <v>246.38999938964841</v>
      </c>
      <c r="N126" s="12">
        <f t="shared" si="16"/>
        <v>1.6933097167009192E-2</v>
      </c>
      <c r="O126" s="12">
        <f t="shared" si="17"/>
        <v>3.3167461153417621E-2</v>
      </c>
      <c r="P126" s="12">
        <f t="shared" si="18"/>
        <v>-8.9205646184796761E-3</v>
      </c>
      <c r="Q126" s="12">
        <f t="shared" si="19"/>
        <v>3.8931174505415056E-2</v>
      </c>
      <c r="R126" s="12">
        <f t="shared" si="20"/>
        <v>2.0175482772542663E-2</v>
      </c>
      <c r="S126" s="12">
        <f t="shared" si="21"/>
        <v>-4.0096765300263404E-2</v>
      </c>
      <c r="T126" s="12">
        <f t="shared" si="22"/>
        <v>-1.7319448916214286E-2</v>
      </c>
      <c r="U126" s="12">
        <f t="shared" si="23"/>
        <v>5.974156544684428E-2</v>
      </c>
    </row>
    <row r="127" spans="1:21" x14ac:dyDescent="0.3">
      <c r="A127" s="13">
        <f t="shared" si="13"/>
        <v>123</v>
      </c>
      <c r="B127" s="1">
        <v>45478</v>
      </c>
      <c r="C127" s="7">
        <f t="shared" si="14"/>
        <v>2024</v>
      </c>
      <c r="D127" s="7">
        <f t="shared" si="15"/>
        <v>7</v>
      </c>
      <c r="E127" s="77">
        <v>18.092500000000001</v>
      </c>
      <c r="F127" s="2">
        <v>48.578369140625</v>
      </c>
      <c r="G127" s="2">
        <v>35.550018310546882</v>
      </c>
      <c r="H127" s="2">
        <v>11.12489032745361</v>
      </c>
      <c r="I127" s="2">
        <v>235.0299987792969</v>
      </c>
      <c r="J127" s="2">
        <v>11.39999961853027</v>
      </c>
      <c r="K127" s="2">
        <v>445.76687622070313</v>
      </c>
      <c r="L127" s="2">
        <v>200</v>
      </c>
      <c r="M127" s="2">
        <v>231.25999450683591</v>
      </c>
      <c r="N127" s="12">
        <f t="shared" si="16"/>
        <v>-1.7209010926015789E-2</v>
      </c>
      <c r="O127" s="12">
        <f t="shared" si="17"/>
        <v>-2.2062500066913904E-3</v>
      </c>
      <c r="P127" s="12">
        <f t="shared" si="18"/>
        <v>-2.9437304930326813E-2</v>
      </c>
      <c r="Q127" s="12">
        <f t="shared" si="19"/>
        <v>-1.268642820308763E-2</v>
      </c>
      <c r="R127" s="12">
        <f t="shared" si="20"/>
        <v>-1.1274945138911918E-2</v>
      </c>
      <c r="S127" s="12">
        <f t="shared" si="21"/>
        <v>0</v>
      </c>
      <c r="T127" s="12">
        <f t="shared" si="22"/>
        <v>1.506841647924051E-2</v>
      </c>
      <c r="U127" s="12">
        <f t="shared" si="23"/>
        <v>0.10291759331982009</v>
      </c>
    </row>
    <row r="128" spans="1:21" x14ac:dyDescent="0.3">
      <c r="A128" s="13">
        <f t="shared" si="13"/>
        <v>124</v>
      </c>
      <c r="B128" s="1">
        <v>45477</v>
      </c>
      <c r="C128" s="7">
        <f t="shared" si="14"/>
        <v>2024</v>
      </c>
      <c r="D128" s="7">
        <f t="shared" si="15"/>
        <v>7</v>
      </c>
      <c r="E128" s="77">
        <v>18.077000000000002</v>
      </c>
      <c r="F128" s="2">
        <v>49.428993225097663</v>
      </c>
      <c r="G128" s="2">
        <v>35.628623962402337</v>
      </c>
      <c r="H128" s="2">
        <v>11.46230983734131</v>
      </c>
      <c r="I128" s="2">
        <v>238.05000305175781</v>
      </c>
      <c r="J128" s="2">
        <v>11.52999973297119</v>
      </c>
      <c r="K128" s="2">
        <v>445.76687622070313</v>
      </c>
      <c r="L128" s="2">
        <v>197.19999694824219</v>
      </c>
      <c r="M128" s="2">
        <v>209.86000061035159</v>
      </c>
      <c r="N128" s="12">
        <f t="shared" si="16"/>
        <v>8.7753826530216905E-3</v>
      </c>
      <c r="O128" s="12">
        <f t="shared" si="17"/>
        <v>1.8253341027427483E-2</v>
      </c>
      <c r="P128" s="12">
        <f t="shared" si="18"/>
        <v>-1.2820492813461648E-2</v>
      </c>
      <c r="Q128" s="12">
        <f t="shared" si="19"/>
        <v>2.2736245101735442E-3</v>
      </c>
      <c r="R128" s="12">
        <f t="shared" si="20"/>
        <v>-5.1769127546822391E-3</v>
      </c>
      <c r="S128" s="12">
        <f t="shared" si="21"/>
        <v>0</v>
      </c>
      <c r="T128" s="12">
        <f t="shared" si="22"/>
        <v>1.5820674273702595E-2</v>
      </c>
      <c r="U128" s="12">
        <f t="shared" si="23"/>
        <v>5.5741038224404571E-2</v>
      </c>
    </row>
    <row r="129" spans="1:21" x14ac:dyDescent="0.3">
      <c r="A129" s="13">
        <f t="shared" si="13"/>
        <v>125</v>
      </c>
      <c r="B129" s="1">
        <v>45476</v>
      </c>
      <c r="C129" s="7">
        <f t="shared" si="14"/>
        <v>2024</v>
      </c>
      <c r="D129" s="7">
        <f t="shared" si="15"/>
        <v>7</v>
      </c>
      <c r="E129" s="77">
        <v>18.159199999999998</v>
      </c>
      <c r="F129" s="2">
        <v>48.999008178710938</v>
      </c>
      <c r="G129" s="2">
        <v>34.989940643310547</v>
      </c>
      <c r="H129" s="2">
        <v>11.611170768737789</v>
      </c>
      <c r="I129" s="2">
        <v>237.50999450683591</v>
      </c>
      <c r="J129" s="2">
        <v>11.590000152587891</v>
      </c>
      <c r="K129" s="2">
        <v>445.76687622070313</v>
      </c>
      <c r="L129" s="2">
        <v>193.25</v>
      </c>
      <c r="M129" s="2">
        <v>197.8800048828125</v>
      </c>
      <c r="N129" s="12">
        <f t="shared" si="16"/>
        <v>1.5283198423103883E-3</v>
      </c>
      <c r="O129" s="12">
        <f t="shared" si="17"/>
        <v>-2.8906547266521643E-2</v>
      </c>
      <c r="P129" s="12">
        <f t="shared" si="18"/>
        <v>-1.7065420094843908E-3</v>
      </c>
      <c r="Q129" s="12">
        <f t="shared" si="19"/>
        <v>-2.1427180760873465E-3</v>
      </c>
      <c r="R129" s="12">
        <f t="shared" si="20"/>
        <v>-1.1935157298543997E-2</v>
      </c>
      <c r="S129" s="12">
        <f t="shared" si="21"/>
        <v>0</v>
      </c>
      <c r="T129" s="12">
        <f t="shared" si="22"/>
        <v>-2.8003112663802399E-2</v>
      </c>
      <c r="U129" s="12">
        <f t="shared" si="23"/>
        <v>-2.5475338364425726E-3</v>
      </c>
    </row>
    <row r="130" spans="1:21" x14ac:dyDescent="0.3">
      <c r="A130" s="13">
        <f t="shared" si="13"/>
        <v>126</v>
      </c>
      <c r="B130" s="1">
        <v>45475</v>
      </c>
      <c r="C130" s="7">
        <f t="shared" si="14"/>
        <v>2024</v>
      </c>
      <c r="D130" s="7">
        <f t="shared" si="15"/>
        <v>7</v>
      </c>
      <c r="E130" s="77">
        <v>18.248000000000001</v>
      </c>
      <c r="F130" s="2">
        <v>48.924236297607422</v>
      </c>
      <c r="G130" s="2">
        <v>36.031486511230469</v>
      </c>
      <c r="H130" s="2">
        <v>11.63101959228516</v>
      </c>
      <c r="I130" s="2">
        <v>238.02000427246091</v>
      </c>
      <c r="J130" s="2">
        <v>11.72999954223633</v>
      </c>
      <c r="K130" s="2">
        <v>445.76687622070313</v>
      </c>
      <c r="L130" s="2">
        <v>197.8500061035156</v>
      </c>
      <c r="M130" s="2">
        <v>197.41999816894531</v>
      </c>
      <c r="N130" s="12">
        <f t="shared" si="16"/>
        <v>3.5288467316676453E-3</v>
      </c>
      <c r="O130" s="12">
        <f t="shared" si="17"/>
        <v>-2.732087263344618E-2</v>
      </c>
      <c r="P130" s="12">
        <f t="shared" si="18"/>
        <v>1.0344844154658972E-2</v>
      </c>
      <c r="Q130" s="12">
        <f t="shared" si="19"/>
        <v>-4.7250246826793241E-3</v>
      </c>
      <c r="R130" s="12">
        <f t="shared" si="20"/>
        <v>-9.2905919707709783E-3</v>
      </c>
      <c r="S130" s="12">
        <f t="shared" si="21"/>
        <v>0</v>
      </c>
      <c r="T130" s="12">
        <f t="shared" si="22"/>
        <v>1.6939856882245419E-2</v>
      </c>
      <c r="U130" s="12">
        <f t="shared" si="23"/>
        <v>4.6753749471162287E-4</v>
      </c>
    </row>
    <row r="131" spans="1:21" x14ac:dyDescent="0.3">
      <c r="A131" s="13">
        <f t="shared" si="13"/>
        <v>127</v>
      </c>
      <c r="B131" s="1">
        <v>45474</v>
      </c>
      <c r="C131" s="7">
        <f t="shared" si="14"/>
        <v>2024</v>
      </c>
      <c r="D131" s="7">
        <f t="shared" si="15"/>
        <v>7</v>
      </c>
      <c r="E131" s="77">
        <v>18.337</v>
      </c>
      <c r="F131" s="2">
        <v>48.752197265625</v>
      </c>
      <c r="G131" s="2">
        <v>37.043548583984382</v>
      </c>
      <c r="H131" s="2">
        <v>11.51193046569824</v>
      </c>
      <c r="I131" s="2">
        <v>239.1499938964844</v>
      </c>
      <c r="J131" s="2">
        <v>11.840000152587891</v>
      </c>
      <c r="K131" s="2">
        <v>445.76687622070313</v>
      </c>
      <c r="L131" s="2">
        <v>193.61000061035159</v>
      </c>
      <c r="M131" s="2">
        <v>196.3699951171875</v>
      </c>
      <c r="N131" s="12">
        <f t="shared" si="16"/>
        <v>-2.4807446277005374E-3</v>
      </c>
      <c r="O131" s="12">
        <f t="shared" si="17"/>
        <v>-1.127719453936904E-2</v>
      </c>
      <c r="P131" s="12">
        <f t="shared" si="18"/>
        <v>4.3290252192693668E-3</v>
      </c>
      <c r="Q131" s="12">
        <f t="shared" si="19"/>
        <v>-4.3713699629398528E-3</v>
      </c>
      <c r="R131" s="12">
        <f t="shared" si="20"/>
        <v>-1.742738878198824E-2</v>
      </c>
      <c r="S131" s="12">
        <f t="shared" si="21"/>
        <v>0</v>
      </c>
      <c r="T131" s="12">
        <f t="shared" si="22"/>
        <v>3.9411514856410923E-2</v>
      </c>
      <c r="U131" s="12">
        <f t="shared" si="23"/>
        <v>4.8545396245795791E-2</v>
      </c>
    </row>
    <row r="132" spans="1:21" x14ac:dyDescent="0.3">
      <c r="A132" s="13">
        <f t="shared" si="13"/>
        <v>128</v>
      </c>
      <c r="B132" s="1">
        <v>45471</v>
      </c>
      <c r="C132" s="7">
        <f t="shared" si="14"/>
        <v>2024</v>
      </c>
      <c r="D132" s="7">
        <f t="shared" si="15"/>
        <v>6</v>
      </c>
      <c r="E132" s="77">
        <v>18.329999999999998</v>
      </c>
      <c r="F132" s="2">
        <v>48.873439788818359</v>
      </c>
      <c r="G132" s="2">
        <v>37.466060638427727</v>
      </c>
      <c r="H132" s="2">
        <v>11.46230983734131</v>
      </c>
      <c r="I132" s="2">
        <v>240.19999694824219</v>
      </c>
      <c r="J132" s="2">
        <v>12.05000019073486</v>
      </c>
      <c r="K132" s="2">
        <v>445.76687622070313</v>
      </c>
      <c r="L132" s="2">
        <v>186.3399963378906</v>
      </c>
      <c r="M132" s="2">
        <v>187.3500061035156</v>
      </c>
      <c r="N132" s="12">
        <f t="shared" si="16"/>
        <v>1.9121124279253277E-3</v>
      </c>
      <c r="O132" s="12">
        <f t="shared" si="17"/>
        <v>6.5997007925193696E-3</v>
      </c>
      <c r="P132" s="12">
        <f t="shared" si="18"/>
        <v>8.7336669676589818E-3</v>
      </c>
      <c r="Q132" s="12">
        <f t="shared" si="19"/>
        <v>3.3317438231517116E-4</v>
      </c>
      <c r="R132" s="12">
        <f t="shared" si="20"/>
        <v>1.1754856852762341E-2</v>
      </c>
      <c r="S132" s="12">
        <f t="shared" si="21"/>
        <v>0</v>
      </c>
      <c r="T132" s="12">
        <f t="shared" si="22"/>
        <v>-7.0269813286705229E-4</v>
      </c>
      <c r="U132" s="12">
        <f t="shared" si="23"/>
        <v>2.1167352330594635E-2</v>
      </c>
    </row>
    <row r="133" spans="1:21" x14ac:dyDescent="0.3">
      <c r="A133" s="13">
        <f t="shared" ref="A133:A196" si="24">+A134-1</f>
        <v>129</v>
      </c>
      <c r="B133" s="1">
        <v>45470</v>
      </c>
      <c r="C133" s="7">
        <f t="shared" ref="C133:C196" si="25">+YEAR(B133)</f>
        <v>2024</v>
      </c>
      <c r="D133" s="7">
        <f t="shared" ref="D133:D196" si="26">+MONTH(B133)</f>
        <v>6</v>
      </c>
      <c r="E133" s="77">
        <v>18.419</v>
      </c>
      <c r="F133" s="2">
        <v>48.780166625976563</v>
      </c>
      <c r="G133" s="2">
        <v>37.220417022705078</v>
      </c>
      <c r="H133" s="2">
        <v>11.36306858062744</v>
      </c>
      <c r="I133" s="2">
        <v>240.1199951171875</v>
      </c>
      <c r="J133" s="2">
        <v>11.909999847412109</v>
      </c>
      <c r="K133" s="2">
        <v>445.76687622070313</v>
      </c>
      <c r="L133" s="2">
        <v>185.57000732421881</v>
      </c>
      <c r="M133" s="2">
        <v>182.58000183105469</v>
      </c>
      <c r="N133" s="12">
        <f t="shared" si="16"/>
        <v>-5.7034647745677347E-3</v>
      </c>
      <c r="O133" s="12">
        <f t="shared" si="17"/>
        <v>-1.7634853205155787E-2</v>
      </c>
      <c r="P133" s="12">
        <f t="shared" si="18"/>
        <v>5.2677027539513865E-3</v>
      </c>
      <c r="Q133" s="12">
        <f t="shared" si="19"/>
        <v>2.5887061260438937E-3</v>
      </c>
      <c r="R133" s="12">
        <f t="shared" si="20"/>
        <v>3.1168800929201046E-2</v>
      </c>
      <c r="S133" s="12">
        <f t="shared" si="21"/>
        <v>4.3146598739176589E-3</v>
      </c>
      <c r="T133" s="12">
        <f t="shared" si="22"/>
        <v>-1.3529161002563184E-2</v>
      </c>
      <c r="U133" s="12">
        <f t="shared" si="23"/>
        <v>2.7679936281703732E-3</v>
      </c>
    </row>
    <row r="134" spans="1:21" x14ac:dyDescent="0.3">
      <c r="A134" s="13">
        <f t="shared" si="24"/>
        <v>130</v>
      </c>
      <c r="B134" s="1">
        <v>45469</v>
      </c>
      <c r="C134" s="7">
        <f t="shared" si="25"/>
        <v>2024</v>
      </c>
      <c r="D134" s="7">
        <f t="shared" si="26"/>
        <v>6</v>
      </c>
      <c r="E134" s="77">
        <v>18.324999999999999</v>
      </c>
      <c r="F134" s="2">
        <v>49.059978485107422</v>
      </c>
      <c r="G134" s="2">
        <v>37.888576507568359</v>
      </c>
      <c r="H134" s="2">
        <v>11.303524971008301</v>
      </c>
      <c r="I134" s="2">
        <v>239.5</v>
      </c>
      <c r="J134" s="2">
        <v>11.55000019073486</v>
      </c>
      <c r="K134" s="2">
        <v>443.851806640625</v>
      </c>
      <c r="L134" s="2">
        <v>189.08000183105469</v>
      </c>
      <c r="M134" s="2">
        <v>183.00999450683591</v>
      </c>
      <c r="N134" s="12">
        <f t="shared" ref="N134:N197" si="27">+F134/F135-1</f>
        <v>-1.0906441646899356E-2</v>
      </c>
      <c r="O134" s="12">
        <f t="shared" ref="O134:O197" si="28">+G134/G135-1</f>
        <v>5.2689018228144313E-2</v>
      </c>
      <c r="P134" s="12">
        <f t="shared" ref="P134:P197" si="29">+H134/H135-1</f>
        <v>-3.2285494845338047E-2</v>
      </c>
      <c r="Q134" s="12">
        <f t="shared" ref="Q134:Q197" si="30">+I134/I135-1</f>
        <v>-6.8202150965068098E-2</v>
      </c>
      <c r="R134" s="12">
        <f t="shared" ref="R134:R197" si="31">+J134/J135-1</f>
        <v>-4.3081981544071057E-2</v>
      </c>
      <c r="S134" s="12">
        <f t="shared" ref="S134:S197" si="32">+K134/K135-1</f>
        <v>-3.8876881570570565E-2</v>
      </c>
      <c r="T134" s="12">
        <f t="shared" ref="T134:T197" si="33">(L134*$E134)/(L135*$E135)-1</f>
        <v>2.9029463789146615E-2</v>
      </c>
      <c r="U134" s="12">
        <f t="shared" ref="U134:U197" si="34">(M134*$E134)/(M135*$E135)-1</f>
        <v>2.0843802049210547E-2</v>
      </c>
    </row>
    <row r="135" spans="1:21" x14ac:dyDescent="0.3">
      <c r="A135" s="13">
        <f t="shared" si="24"/>
        <v>131</v>
      </c>
      <c r="B135" s="1">
        <v>45468</v>
      </c>
      <c r="C135" s="7">
        <f t="shared" si="25"/>
        <v>2024</v>
      </c>
      <c r="D135" s="7">
        <f t="shared" si="26"/>
        <v>6</v>
      </c>
      <c r="E135" s="77">
        <v>18.0932</v>
      </c>
      <c r="F135" s="2">
        <v>49.600948333740227</v>
      </c>
      <c r="G135" s="2">
        <v>35.992183685302727</v>
      </c>
      <c r="H135" s="2">
        <v>11.68064022064209</v>
      </c>
      <c r="I135" s="2">
        <v>257.02999877929688</v>
      </c>
      <c r="J135" s="2">
        <v>12.069999694824221</v>
      </c>
      <c r="K135" s="2">
        <v>461.80535888671881</v>
      </c>
      <c r="L135" s="2">
        <v>186.1000061035156</v>
      </c>
      <c r="M135" s="2">
        <v>181.57000732421881</v>
      </c>
      <c r="N135" s="12">
        <f t="shared" si="27"/>
        <v>2.2616537876012366E-3</v>
      </c>
      <c r="O135" s="12">
        <f t="shared" si="28"/>
        <v>1.3558391998385044E-2</v>
      </c>
      <c r="P135" s="12">
        <f t="shared" si="29"/>
        <v>-1.5886140767365164E-2</v>
      </c>
      <c r="Q135" s="12">
        <f t="shared" si="30"/>
        <v>4.2591165586302493E-2</v>
      </c>
      <c r="R135" s="12">
        <f t="shared" si="31"/>
        <v>-1.2275005640491776E-2</v>
      </c>
      <c r="S135" s="12">
        <f t="shared" si="32"/>
        <v>-4.3226359235942757E-3</v>
      </c>
      <c r="T135" s="12">
        <f t="shared" si="33"/>
        <v>2.6804607308194006E-2</v>
      </c>
      <c r="U135" s="12">
        <f t="shared" si="34"/>
        <v>-9.2991738900937149E-3</v>
      </c>
    </row>
    <row r="136" spans="1:21" x14ac:dyDescent="0.3">
      <c r="A136" s="13">
        <f t="shared" si="24"/>
        <v>132</v>
      </c>
      <c r="B136" s="1">
        <v>45467</v>
      </c>
      <c r="C136" s="7">
        <f t="shared" si="25"/>
        <v>2024</v>
      </c>
      <c r="D136" s="7">
        <f t="shared" si="26"/>
        <v>6</v>
      </c>
      <c r="E136" s="77">
        <v>17.937999999999999</v>
      </c>
      <c r="F136" s="2">
        <v>49.489021301269531</v>
      </c>
      <c r="G136" s="2">
        <v>35.510715484619141</v>
      </c>
      <c r="H136" s="2">
        <v>11.86919593811035</v>
      </c>
      <c r="I136" s="2">
        <v>246.5299987792969</v>
      </c>
      <c r="J136" s="2">
        <v>12.22000026702881</v>
      </c>
      <c r="K136" s="2">
        <v>463.81024169921881</v>
      </c>
      <c r="L136" s="2">
        <v>182.80999755859381</v>
      </c>
      <c r="M136" s="2">
        <v>184.86000061035159</v>
      </c>
      <c r="N136" s="12">
        <f t="shared" si="27"/>
        <v>1.6475072159877424E-2</v>
      </c>
      <c r="O136" s="12">
        <f t="shared" si="28"/>
        <v>3.1687219127725541E-2</v>
      </c>
      <c r="P136" s="12">
        <f t="shared" si="29"/>
        <v>-7.4689319513443486E-3</v>
      </c>
      <c r="Q136" s="12">
        <f t="shared" si="30"/>
        <v>3.1117999729657564E-2</v>
      </c>
      <c r="R136" s="12">
        <f t="shared" si="31"/>
        <v>-4.885950101552794E-3</v>
      </c>
      <c r="S136" s="12">
        <f t="shared" si="32"/>
        <v>1.089143103131307E-2</v>
      </c>
      <c r="T136" s="12">
        <f t="shared" si="33"/>
        <v>-1.5680756364402137E-2</v>
      </c>
      <c r="U136" s="12">
        <f t="shared" si="34"/>
        <v>-2.2591495132633255E-2</v>
      </c>
    </row>
    <row r="137" spans="1:21" x14ac:dyDescent="0.3">
      <c r="A137" s="13">
        <f t="shared" si="24"/>
        <v>133</v>
      </c>
      <c r="B137" s="1">
        <v>45464</v>
      </c>
      <c r="C137" s="7">
        <f t="shared" si="25"/>
        <v>2024</v>
      </c>
      <c r="D137" s="7">
        <f t="shared" si="26"/>
        <v>6</v>
      </c>
      <c r="E137" s="77">
        <v>18.100000000000001</v>
      </c>
      <c r="F137" s="2">
        <v>48.686901092529297</v>
      </c>
      <c r="G137" s="2">
        <v>34.420040130615227</v>
      </c>
      <c r="H137" s="2">
        <v>11.958513259887701</v>
      </c>
      <c r="I137" s="2">
        <v>239.0899963378906</v>
      </c>
      <c r="J137" s="2">
        <v>12.27999973297119</v>
      </c>
      <c r="K137" s="2">
        <v>458.8131103515625</v>
      </c>
      <c r="L137" s="2">
        <v>184.05999755859381</v>
      </c>
      <c r="M137" s="2">
        <v>187.44000244140619</v>
      </c>
      <c r="N137" s="12">
        <f t="shared" si="27"/>
        <v>2.3042118835168157E-3</v>
      </c>
      <c r="O137" s="12">
        <f t="shared" si="28"/>
        <v>-2.2054745599493608E-2</v>
      </c>
      <c r="P137" s="12">
        <f t="shared" si="29"/>
        <v>2.2757256555395733E-2</v>
      </c>
      <c r="Q137" s="12">
        <f t="shared" si="30"/>
        <v>-3.7916819254558698E-3</v>
      </c>
      <c r="R137" s="12">
        <f t="shared" si="31"/>
        <v>-1.2861724502339689E-2</v>
      </c>
      <c r="S137" s="12">
        <f t="shared" si="32"/>
        <v>0</v>
      </c>
      <c r="T137" s="12">
        <f t="shared" si="33"/>
        <v>-1.1227879123424711E-2</v>
      </c>
      <c r="U137" s="12">
        <f t="shared" si="34"/>
        <v>3.8889325248761208E-2</v>
      </c>
    </row>
    <row r="138" spans="1:21" x14ac:dyDescent="0.3">
      <c r="A138" s="13">
        <f t="shared" si="24"/>
        <v>134</v>
      </c>
      <c r="B138" s="1">
        <v>45463</v>
      </c>
      <c r="C138" s="7">
        <f t="shared" si="25"/>
        <v>2024</v>
      </c>
      <c r="D138" s="7">
        <f t="shared" si="26"/>
        <v>6</v>
      </c>
      <c r="E138" s="77">
        <v>18.345400000000001</v>
      </c>
      <c r="F138" s="2">
        <v>48.574974060058587</v>
      </c>
      <c r="G138" s="2">
        <v>35.196285247802727</v>
      </c>
      <c r="H138" s="2">
        <v>11.69242572784424</v>
      </c>
      <c r="I138" s="2">
        <v>240</v>
      </c>
      <c r="J138" s="2">
        <v>12.439999580383301</v>
      </c>
      <c r="K138" s="2">
        <v>458.8131103515625</v>
      </c>
      <c r="L138" s="2">
        <v>183.6600036621094</v>
      </c>
      <c r="M138" s="2">
        <v>178.00999450683591</v>
      </c>
      <c r="N138" s="12">
        <f t="shared" si="27"/>
        <v>-1.9213125540551435E-4</v>
      </c>
      <c r="O138" s="12">
        <f t="shared" si="28"/>
        <v>1.9580898616748943E-3</v>
      </c>
      <c r="P138" s="12">
        <f t="shared" si="29"/>
        <v>-2.9532368480168381E-2</v>
      </c>
      <c r="Q138" s="12">
        <f t="shared" si="30"/>
        <v>3.5122776594256333E-3</v>
      </c>
      <c r="R138" s="12">
        <f t="shared" si="31"/>
        <v>-1.8927501499705346E-2</v>
      </c>
      <c r="S138" s="12">
        <f t="shared" si="32"/>
        <v>-7.0707080696752689E-2</v>
      </c>
      <c r="T138" s="12">
        <f t="shared" si="33"/>
        <v>-4.3223080097789524E-3</v>
      </c>
      <c r="U138" s="12">
        <f t="shared" si="34"/>
        <v>-2.77599848771104E-2</v>
      </c>
    </row>
    <row r="139" spans="1:21" x14ac:dyDescent="0.3">
      <c r="A139" s="13">
        <f t="shared" si="24"/>
        <v>135</v>
      </c>
      <c r="B139" s="1">
        <v>45462</v>
      </c>
      <c r="C139" s="7">
        <f t="shared" si="25"/>
        <v>2024</v>
      </c>
      <c r="D139" s="7">
        <f t="shared" si="26"/>
        <v>6</v>
      </c>
      <c r="E139" s="77">
        <v>18.408000000000001</v>
      </c>
      <c r="F139" s="2">
        <v>48.584308624267578</v>
      </c>
      <c r="G139" s="2">
        <v>35.12750244140625</v>
      </c>
      <c r="H139" s="2">
        <v>12.048238754272459</v>
      </c>
      <c r="I139" s="2">
        <v>239.1600036621094</v>
      </c>
      <c r="J139" s="2">
        <v>12.680000305175779</v>
      </c>
      <c r="K139" s="2">
        <v>493.72280883789063</v>
      </c>
      <c r="L139" s="2">
        <v>183.83000183105469</v>
      </c>
      <c r="M139" s="2">
        <v>182.4700012207031</v>
      </c>
      <c r="N139" s="12">
        <f t="shared" si="27"/>
        <v>-1.3446962787074468E-2</v>
      </c>
      <c r="O139" s="12">
        <f t="shared" si="28"/>
        <v>-9.6953127545741369E-3</v>
      </c>
      <c r="P139" s="12">
        <f t="shared" si="29"/>
        <v>-1.4551355248964559E-2</v>
      </c>
      <c r="Q139" s="12">
        <f t="shared" si="30"/>
        <v>-9.6894258297747227E-3</v>
      </c>
      <c r="R139" s="12">
        <f t="shared" si="31"/>
        <v>-2.8352481237645444E-2</v>
      </c>
      <c r="S139" s="12">
        <f t="shared" si="32"/>
        <v>0</v>
      </c>
      <c r="T139" s="12">
        <f t="shared" si="33"/>
        <v>-1.5678112111523035E-2</v>
      </c>
      <c r="U139" s="12">
        <f t="shared" si="34"/>
        <v>2.994507417273673E-2</v>
      </c>
    </row>
    <row r="140" spans="1:21" x14ac:dyDescent="0.3">
      <c r="A140" s="13">
        <f t="shared" si="24"/>
        <v>136</v>
      </c>
      <c r="B140" s="1">
        <v>45461</v>
      </c>
      <c r="C140" s="7">
        <f t="shared" si="25"/>
        <v>2024</v>
      </c>
      <c r="D140" s="7">
        <f t="shared" si="26"/>
        <v>6</v>
      </c>
      <c r="E140" s="77">
        <v>18.395</v>
      </c>
      <c r="F140" s="2">
        <v>49.246524810791023</v>
      </c>
      <c r="G140" s="2">
        <v>35.471408843994141</v>
      </c>
      <c r="H140" s="2">
        <v>12.22614574432373</v>
      </c>
      <c r="I140" s="2">
        <v>241.5</v>
      </c>
      <c r="J140" s="2">
        <v>13.05000019073486</v>
      </c>
      <c r="K140" s="2">
        <v>493.72280883789063</v>
      </c>
      <c r="L140" s="2">
        <v>186.88999938964841</v>
      </c>
      <c r="M140" s="2">
        <v>177.28999328613281</v>
      </c>
      <c r="N140" s="12">
        <f t="shared" si="27"/>
        <v>-3.0209751498958548E-3</v>
      </c>
      <c r="O140" s="12">
        <f t="shared" si="28"/>
        <v>5.8511382844290694E-3</v>
      </c>
      <c r="P140" s="12">
        <f t="shared" si="29"/>
        <v>3.9495760298595473E-2</v>
      </c>
      <c r="Q140" s="12">
        <f t="shared" si="30"/>
        <v>6.2500000000000888E-3</v>
      </c>
      <c r="R140" s="12">
        <f t="shared" si="31"/>
        <v>1.5349545797043174E-3</v>
      </c>
      <c r="S140" s="12">
        <f t="shared" si="32"/>
        <v>9.2771497729200458E-3</v>
      </c>
      <c r="T140" s="12">
        <f t="shared" si="33"/>
        <v>-7.9103095917862909E-3</v>
      </c>
      <c r="U140" s="12">
        <f t="shared" si="34"/>
        <v>3.2506452249844608E-2</v>
      </c>
    </row>
    <row r="141" spans="1:21" x14ac:dyDescent="0.3">
      <c r="A141" s="13">
        <f t="shared" si="24"/>
        <v>137</v>
      </c>
      <c r="B141" s="1">
        <v>45460</v>
      </c>
      <c r="C141" s="7">
        <f t="shared" si="25"/>
        <v>2024</v>
      </c>
      <c r="D141" s="7">
        <f t="shared" si="26"/>
        <v>6</v>
      </c>
      <c r="E141" s="77">
        <v>18.507999999999999</v>
      </c>
      <c r="F141" s="2">
        <v>49.395748138427727</v>
      </c>
      <c r="G141" s="2">
        <v>35.265068054199219</v>
      </c>
      <c r="H141" s="2">
        <v>11.761611938476561</v>
      </c>
      <c r="I141" s="2">
        <v>240</v>
      </c>
      <c r="J141" s="2">
        <v>13.02999973297119</v>
      </c>
      <c r="K141" s="2">
        <v>489.1845703125</v>
      </c>
      <c r="L141" s="2">
        <v>187.22999572753909</v>
      </c>
      <c r="M141" s="2">
        <v>170.6600036621094</v>
      </c>
      <c r="N141" s="12">
        <f t="shared" si="27"/>
        <v>-1.8893934992836314E-4</v>
      </c>
      <c r="O141" s="12">
        <f t="shared" si="28"/>
        <v>-2.9737728176822076E-2</v>
      </c>
      <c r="P141" s="12">
        <f t="shared" si="29"/>
        <v>-2.3789934914284161E-2</v>
      </c>
      <c r="Q141" s="12">
        <f t="shared" si="30"/>
        <v>1.3898834830881279E-2</v>
      </c>
      <c r="R141" s="12">
        <f t="shared" si="31"/>
        <v>0</v>
      </c>
      <c r="S141" s="12">
        <f t="shared" si="32"/>
        <v>6.6172450480607603E-2</v>
      </c>
      <c r="T141" s="12">
        <f t="shared" si="33"/>
        <v>3.8376436971756522E-3</v>
      </c>
      <c r="U141" s="12">
        <f t="shared" si="34"/>
        <v>-1.5136689680822712E-2</v>
      </c>
    </row>
    <row r="142" spans="1:21" x14ac:dyDescent="0.3">
      <c r="A142" s="13">
        <f t="shared" si="24"/>
        <v>138</v>
      </c>
      <c r="B142" s="1">
        <v>45457</v>
      </c>
      <c r="C142" s="7">
        <f t="shared" si="25"/>
        <v>2024</v>
      </c>
      <c r="D142" s="7">
        <f t="shared" si="26"/>
        <v>6</v>
      </c>
      <c r="E142" s="77">
        <v>18.454000000000001</v>
      </c>
      <c r="F142" s="2">
        <v>49.405082702636719</v>
      </c>
      <c r="G142" s="2">
        <v>36.345912933349609</v>
      </c>
      <c r="H142" s="2">
        <v>12.048238754272459</v>
      </c>
      <c r="I142" s="2">
        <v>236.71000671386719</v>
      </c>
      <c r="J142" s="2">
        <v>13.02999973297119</v>
      </c>
      <c r="K142" s="2">
        <v>458.8231201171875</v>
      </c>
      <c r="L142" s="2">
        <v>187.05999755859381</v>
      </c>
      <c r="M142" s="2">
        <v>173.78999328613281</v>
      </c>
      <c r="N142" s="12">
        <f t="shared" si="27"/>
        <v>3.5999813712568329E-3</v>
      </c>
      <c r="O142" s="12">
        <f t="shared" si="28"/>
        <v>5.8975020145044299E-2</v>
      </c>
      <c r="P142" s="12">
        <f t="shared" si="29"/>
        <v>2.4670691772039621E-3</v>
      </c>
      <c r="Q142" s="12">
        <f t="shared" si="30"/>
        <v>-1.7841533093959527E-2</v>
      </c>
      <c r="R142" s="12">
        <f t="shared" si="31"/>
        <v>1.9561815745193112E-2</v>
      </c>
      <c r="S142" s="12">
        <f t="shared" si="32"/>
        <v>0</v>
      </c>
      <c r="T142" s="12">
        <f t="shared" si="33"/>
        <v>2.0449951478673567E-2</v>
      </c>
      <c r="U142" s="12">
        <f t="shared" si="34"/>
        <v>-1.5509602946030987E-2</v>
      </c>
    </row>
    <row r="143" spans="1:21" x14ac:dyDescent="0.3">
      <c r="A143" s="13">
        <f t="shared" si="24"/>
        <v>139</v>
      </c>
      <c r="B143" s="1">
        <v>45456</v>
      </c>
      <c r="C143" s="7">
        <f t="shared" si="25"/>
        <v>2024</v>
      </c>
      <c r="D143" s="7">
        <f t="shared" si="26"/>
        <v>6</v>
      </c>
      <c r="E143" s="77">
        <v>18.355</v>
      </c>
      <c r="F143" s="2">
        <v>49.227863311767578</v>
      </c>
      <c r="G143" s="2">
        <v>34.321784973144531</v>
      </c>
      <c r="H143" s="2">
        <v>12.018588066101071</v>
      </c>
      <c r="I143" s="2">
        <v>241.00999450683591</v>
      </c>
      <c r="J143" s="2">
        <v>12.77999973297119</v>
      </c>
      <c r="K143" s="2">
        <v>458.8231201171875</v>
      </c>
      <c r="L143" s="2">
        <v>184.30000305175781</v>
      </c>
      <c r="M143" s="2">
        <v>177.47999572753909</v>
      </c>
      <c r="N143" s="12">
        <f t="shared" si="27"/>
        <v>-2.7813721091204835E-2</v>
      </c>
      <c r="O143" s="12">
        <f t="shared" si="28"/>
        <v>-1.8544488577383889E-2</v>
      </c>
      <c r="P143" s="12">
        <f t="shared" si="29"/>
        <v>-1.6976542122362881E-2</v>
      </c>
      <c r="Q143" s="12">
        <f t="shared" si="30"/>
        <v>-6.4402217405278628E-2</v>
      </c>
      <c r="R143" s="12">
        <f t="shared" si="31"/>
        <v>-7.8187872647894618E-4</v>
      </c>
      <c r="S143" s="12">
        <f t="shared" si="32"/>
        <v>0</v>
      </c>
      <c r="T143" s="12">
        <f t="shared" si="33"/>
        <v>-2.372936724866459E-2</v>
      </c>
      <c r="U143" s="12">
        <f t="shared" si="34"/>
        <v>-2.2554776083116512E-2</v>
      </c>
    </row>
    <row r="144" spans="1:21" x14ac:dyDescent="0.3">
      <c r="A144" s="13">
        <f t="shared" si="24"/>
        <v>140</v>
      </c>
      <c r="B144" s="1">
        <v>45455</v>
      </c>
      <c r="C144" s="7">
        <f t="shared" si="25"/>
        <v>2024</v>
      </c>
      <c r="D144" s="7">
        <f t="shared" si="26"/>
        <v>6</v>
      </c>
      <c r="E144" s="77">
        <v>18.73</v>
      </c>
      <c r="F144" s="2">
        <v>50.636245727539063</v>
      </c>
      <c r="G144" s="2">
        <v>34.970291137695313</v>
      </c>
      <c r="H144" s="2">
        <v>12.22614574432373</v>
      </c>
      <c r="I144" s="2">
        <v>257.60000610351563</v>
      </c>
      <c r="J144" s="2">
        <v>12.789999961853029</v>
      </c>
      <c r="K144" s="2">
        <v>458.8231201171875</v>
      </c>
      <c r="L144" s="2">
        <v>185</v>
      </c>
      <c r="M144" s="2">
        <v>177.94000244140619</v>
      </c>
      <c r="N144" s="12">
        <f t="shared" si="27"/>
        <v>1.475657683933429E-3</v>
      </c>
      <c r="O144" s="12">
        <f t="shared" si="28"/>
        <v>-8.9111219775566131E-3</v>
      </c>
      <c r="P144" s="12">
        <f t="shared" si="29"/>
        <v>-5.6269535932621517E-3</v>
      </c>
      <c r="Q144" s="12">
        <f t="shared" si="30"/>
        <v>2.181673886093316E-2</v>
      </c>
      <c r="R144" s="12">
        <f t="shared" si="31"/>
        <v>1.9123487447860743E-2</v>
      </c>
      <c r="S144" s="12">
        <f t="shared" si="32"/>
        <v>-1.4967793064246449E-2</v>
      </c>
      <c r="T144" s="12">
        <f t="shared" si="33"/>
        <v>2.9280347163350928E-2</v>
      </c>
      <c r="U144" s="12">
        <f t="shared" si="34"/>
        <v>2.5527676074021066E-2</v>
      </c>
    </row>
    <row r="145" spans="1:21" x14ac:dyDescent="0.3">
      <c r="A145" s="13">
        <f t="shared" si="24"/>
        <v>141</v>
      </c>
      <c r="B145" s="1">
        <v>45454</v>
      </c>
      <c r="C145" s="7">
        <f t="shared" si="25"/>
        <v>2024</v>
      </c>
      <c r="D145" s="7">
        <f t="shared" si="26"/>
        <v>6</v>
      </c>
      <c r="E145" s="77">
        <v>18.570599999999999</v>
      </c>
      <c r="F145" s="2">
        <v>50.561634063720703</v>
      </c>
      <c r="G145" s="2">
        <v>35.284717559814453</v>
      </c>
      <c r="H145" s="2">
        <v>12.29533100128174</v>
      </c>
      <c r="I145" s="2">
        <v>252.1000061035156</v>
      </c>
      <c r="J145" s="2">
        <v>12.55000019073486</v>
      </c>
      <c r="K145" s="2">
        <v>465.7950439453125</v>
      </c>
      <c r="L145" s="2">
        <v>181.2799987792969</v>
      </c>
      <c r="M145" s="2">
        <v>175</v>
      </c>
      <c r="N145" s="12">
        <f t="shared" si="27"/>
        <v>1.802836546603781E-2</v>
      </c>
      <c r="O145" s="12">
        <f t="shared" si="28"/>
        <v>1.1549233546987558E-2</v>
      </c>
      <c r="P145" s="12">
        <f t="shared" si="29"/>
        <v>7.2873425423671812E-3</v>
      </c>
      <c r="Q145" s="12">
        <f t="shared" si="30"/>
        <v>-1.6236521810594207E-3</v>
      </c>
      <c r="R145" s="12">
        <f t="shared" si="31"/>
        <v>2.4489811488559887E-2</v>
      </c>
      <c r="S145" s="12">
        <f t="shared" si="32"/>
        <v>-3.5143931539040385E-2</v>
      </c>
      <c r="T145" s="12">
        <f t="shared" si="33"/>
        <v>3.0833972559843881E-2</v>
      </c>
      <c r="U145" s="12">
        <f t="shared" si="34"/>
        <v>2.1144356935302699E-2</v>
      </c>
    </row>
    <row r="146" spans="1:21" x14ac:dyDescent="0.3">
      <c r="A146" s="13">
        <f t="shared" si="24"/>
        <v>142</v>
      </c>
      <c r="B146" s="1">
        <v>45453</v>
      </c>
      <c r="C146" s="7">
        <f t="shared" si="25"/>
        <v>2024</v>
      </c>
      <c r="D146" s="7">
        <f t="shared" si="26"/>
        <v>6</v>
      </c>
      <c r="E146" s="77">
        <v>18.21</v>
      </c>
      <c r="F146" s="2">
        <v>49.666233062744141</v>
      </c>
      <c r="G146" s="2">
        <v>34.881858825683587</v>
      </c>
      <c r="H146" s="2">
        <v>12.20637893676758</v>
      </c>
      <c r="I146" s="2">
        <v>252.50999450683591</v>
      </c>
      <c r="J146" s="2">
        <v>12.25</v>
      </c>
      <c r="K146" s="2">
        <v>482.76116943359381</v>
      </c>
      <c r="L146" s="2">
        <v>179.3399963378906</v>
      </c>
      <c r="M146" s="2">
        <v>174.77000427246091</v>
      </c>
      <c r="N146" s="12">
        <f t="shared" si="27"/>
        <v>3.1576953224690119E-2</v>
      </c>
      <c r="O146" s="12">
        <f t="shared" si="28"/>
        <v>7.6639841014229937E-3</v>
      </c>
      <c r="P146" s="12">
        <f t="shared" si="29"/>
        <v>1.5625035955444844E-2</v>
      </c>
      <c r="Q146" s="12">
        <f t="shared" si="30"/>
        <v>1.3160529773801999E-2</v>
      </c>
      <c r="R146" s="12">
        <f t="shared" si="31"/>
        <v>-4.7433878146374786E-2</v>
      </c>
      <c r="S146" s="12">
        <f t="shared" si="32"/>
        <v>-8.6773585156183608E-2</v>
      </c>
      <c r="T146" s="12">
        <f t="shared" si="33"/>
        <v>-3.6937794072074981E-3</v>
      </c>
      <c r="U146" s="12">
        <f t="shared" si="34"/>
        <v>-1.7791531238651737E-2</v>
      </c>
    </row>
    <row r="147" spans="1:21" x14ac:dyDescent="0.3">
      <c r="A147" s="13">
        <f t="shared" si="24"/>
        <v>143</v>
      </c>
      <c r="B147" s="1">
        <v>45450</v>
      </c>
      <c r="C147" s="7">
        <f t="shared" si="25"/>
        <v>2024</v>
      </c>
      <c r="D147" s="7">
        <f t="shared" si="26"/>
        <v>6</v>
      </c>
      <c r="E147" s="77">
        <v>18.38</v>
      </c>
      <c r="F147" s="2">
        <v>48.145931243896477</v>
      </c>
      <c r="G147" s="2">
        <v>34.616558074951172</v>
      </c>
      <c r="H147" s="2">
        <v>12.018588066101071</v>
      </c>
      <c r="I147" s="2">
        <v>249.22999572753909</v>
      </c>
      <c r="J147" s="2">
        <v>12.85999965667725</v>
      </c>
      <c r="K147" s="2">
        <v>528.63250732421875</v>
      </c>
      <c r="L147" s="2">
        <v>178.3399963378906</v>
      </c>
      <c r="M147" s="2">
        <v>176.28999328613281</v>
      </c>
      <c r="N147" s="12">
        <f t="shared" si="27"/>
        <v>-6.0600478320038675E-2</v>
      </c>
      <c r="O147" s="12">
        <f t="shared" si="28"/>
        <v>-5.852485967392429E-2</v>
      </c>
      <c r="P147" s="12">
        <f t="shared" si="29"/>
        <v>-4.9257264477277518E-2</v>
      </c>
      <c r="Q147" s="12">
        <f t="shared" si="30"/>
        <v>-6.9099520037496864E-2</v>
      </c>
      <c r="R147" s="12">
        <f t="shared" si="31"/>
        <v>-4.9519592721145478E-2</v>
      </c>
      <c r="S147" s="12">
        <f t="shared" si="32"/>
        <v>7.7235758453890524E-2</v>
      </c>
      <c r="T147" s="12">
        <f t="shared" si="33"/>
        <v>3.3829994540564678E-2</v>
      </c>
      <c r="U147" s="12">
        <f t="shared" si="34"/>
        <v>1.2534756215755394E-2</v>
      </c>
    </row>
    <row r="148" spans="1:21" x14ac:dyDescent="0.3">
      <c r="A148" s="13">
        <f t="shared" si="24"/>
        <v>144</v>
      </c>
      <c r="B148" s="1">
        <v>45449</v>
      </c>
      <c r="C148" s="7">
        <f t="shared" si="25"/>
        <v>2024</v>
      </c>
      <c r="D148" s="7">
        <f t="shared" si="26"/>
        <v>6</v>
      </c>
      <c r="E148" s="77">
        <v>17.97</v>
      </c>
      <c r="F148" s="2">
        <v>51.251815795898438</v>
      </c>
      <c r="G148" s="2">
        <v>36.768424987792969</v>
      </c>
      <c r="H148" s="2">
        <v>12.641262054443359</v>
      </c>
      <c r="I148" s="2">
        <v>267.73001098632813</v>
      </c>
      <c r="J148" s="2">
        <v>13.52999973297119</v>
      </c>
      <c r="K148" s="2">
        <v>490.73056030273438</v>
      </c>
      <c r="L148" s="2">
        <v>176.44000244140619</v>
      </c>
      <c r="M148" s="2">
        <v>178.08000183105469</v>
      </c>
      <c r="N148" s="12">
        <f t="shared" si="27"/>
        <v>-3.9877981915537042E-3</v>
      </c>
      <c r="O148" s="12">
        <f t="shared" si="28"/>
        <v>2.1566941013562824E-2</v>
      </c>
      <c r="P148" s="12">
        <f t="shared" si="29"/>
        <v>-1.3878199860986817E-2</v>
      </c>
      <c r="Q148" s="12">
        <f t="shared" si="30"/>
        <v>4.954796389301297E-3</v>
      </c>
      <c r="R148" s="12">
        <f t="shared" si="31"/>
        <v>-1.4760485226669173E-3</v>
      </c>
      <c r="S148" s="12">
        <f t="shared" si="32"/>
        <v>0.29272975831246817</v>
      </c>
      <c r="T148" s="12">
        <f t="shared" si="33"/>
        <v>1.0769405869388793E-2</v>
      </c>
      <c r="U148" s="12">
        <f t="shared" si="34"/>
        <v>2.3188674468817894E-2</v>
      </c>
    </row>
    <row r="149" spans="1:21" x14ac:dyDescent="0.3">
      <c r="A149" s="13">
        <f t="shared" si="24"/>
        <v>145</v>
      </c>
      <c r="B149" s="1">
        <v>45448</v>
      </c>
      <c r="C149" s="7">
        <f t="shared" si="25"/>
        <v>2024</v>
      </c>
      <c r="D149" s="7">
        <f t="shared" si="26"/>
        <v>6</v>
      </c>
      <c r="E149" s="77">
        <v>17.492999999999999</v>
      </c>
      <c r="F149" s="2">
        <v>51.457015991210938</v>
      </c>
      <c r="G149" s="2">
        <v>35.992183685302727</v>
      </c>
      <c r="H149" s="2">
        <v>12.819169044494631</v>
      </c>
      <c r="I149" s="2">
        <v>266.41000366210938</v>
      </c>
      <c r="J149" s="2">
        <v>13.55000019073486</v>
      </c>
      <c r="K149" s="2">
        <v>379.60800170898438</v>
      </c>
      <c r="L149" s="2">
        <v>179.32000732421881</v>
      </c>
      <c r="M149" s="2">
        <v>178.78999328613281</v>
      </c>
      <c r="N149" s="12">
        <f t="shared" si="27"/>
        <v>2.9541057430222395E-3</v>
      </c>
      <c r="O149" s="12">
        <f t="shared" si="28"/>
        <v>4.2698529280124742E-2</v>
      </c>
      <c r="P149" s="12">
        <f t="shared" si="29"/>
        <v>2.0456311197021071E-2</v>
      </c>
      <c r="Q149" s="12">
        <f t="shared" si="30"/>
        <v>1.6948514794507652E-2</v>
      </c>
      <c r="R149" s="12">
        <f t="shared" si="31"/>
        <v>3.7037178322119058E-3</v>
      </c>
      <c r="S149" s="12">
        <f t="shared" si="32"/>
        <v>6.0493691172586184E-2</v>
      </c>
      <c r="T149" s="12">
        <f t="shared" si="33"/>
        <v>-3.4699082757193689E-2</v>
      </c>
      <c r="U149" s="12">
        <f t="shared" si="34"/>
        <v>-5.7054987359916876E-3</v>
      </c>
    </row>
    <row r="150" spans="1:21" x14ac:dyDescent="0.3">
      <c r="A150" s="13">
        <f t="shared" si="24"/>
        <v>146</v>
      </c>
      <c r="B150" s="1">
        <v>45447</v>
      </c>
      <c r="C150" s="7">
        <f t="shared" si="25"/>
        <v>2024</v>
      </c>
      <c r="D150" s="7">
        <f t="shared" si="26"/>
        <v>6</v>
      </c>
      <c r="E150" s="77">
        <v>17.853000000000002</v>
      </c>
      <c r="F150" s="2">
        <v>51.305454254150391</v>
      </c>
      <c r="G150" s="2">
        <v>34.518302917480469</v>
      </c>
      <c r="H150" s="2">
        <v>12.562192916870121</v>
      </c>
      <c r="I150" s="2">
        <v>261.97000122070313</v>
      </c>
      <c r="J150" s="2">
        <v>13.5</v>
      </c>
      <c r="K150" s="2">
        <v>357.95404052734381</v>
      </c>
      <c r="L150" s="2">
        <v>182.02000427246091</v>
      </c>
      <c r="M150" s="2">
        <v>176.19000244140619</v>
      </c>
      <c r="N150" s="12">
        <f t="shared" si="27"/>
        <v>-3.2499166806798652E-3</v>
      </c>
      <c r="O150" s="12">
        <f t="shared" si="28"/>
        <v>1.8851549299041537E-2</v>
      </c>
      <c r="P150" s="12">
        <f t="shared" si="29"/>
        <v>-2.3547535294600186E-3</v>
      </c>
      <c r="Q150" s="12">
        <f t="shared" si="30"/>
        <v>-2.4174888031541109E-2</v>
      </c>
      <c r="R150" s="12">
        <f t="shared" si="31"/>
        <v>4.464317075148827E-3</v>
      </c>
      <c r="S150" s="12">
        <f t="shared" si="32"/>
        <v>3.4236362812333665E-2</v>
      </c>
      <c r="T150" s="12">
        <f t="shared" si="33"/>
        <v>9.5783699307083747E-3</v>
      </c>
      <c r="U150" s="12">
        <f t="shared" si="34"/>
        <v>7.0984260202169303E-3</v>
      </c>
    </row>
    <row r="151" spans="1:21" x14ac:dyDescent="0.3">
      <c r="A151" s="13">
        <f t="shared" si="24"/>
        <v>147</v>
      </c>
      <c r="B151" s="1">
        <v>45446</v>
      </c>
      <c r="C151" s="7">
        <f t="shared" si="25"/>
        <v>2024</v>
      </c>
      <c r="D151" s="7">
        <f t="shared" si="26"/>
        <v>6</v>
      </c>
      <c r="E151" s="77">
        <v>17.670999999999999</v>
      </c>
      <c r="F151" s="2">
        <v>51.472736358642578</v>
      </c>
      <c r="G151" s="2">
        <v>33.879619598388672</v>
      </c>
      <c r="H151" s="2">
        <v>12.5918436050415</v>
      </c>
      <c r="I151" s="2">
        <v>268.45999145507813</v>
      </c>
      <c r="J151" s="2">
        <v>13.439999580383301</v>
      </c>
      <c r="K151" s="2">
        <v>346.10467529296881</v>
      </c>
      <c r="L151" s="2">
        <v>182.1499938964844</v>
      </c>
      <c r="M151" s="2">
        <v>176.75</v>
      </c>
      <c r="N151" s="12">
        <f t="shared" si="27"/>
        <v>1.8049291837707315E-4</v>
      </c>
      <c r="O151" s="12">
        <f t="shared" si="28"/>
        <v>8.4820080664123054E-3</v>
      </c>
      <c r="P151" s="12">
        <f t="shared" si="29"/>
        <v>1.5722786198779648E-3</v>
      </c>
      <c r="Q151" s="12">
        <f t="shared" si="30"/>
        <v>3.2339950228356562E-2</v>
      </c>
      <c r="R151" s="12">
        <f t="shared" si="31"/>
        <v>2.5954136565866648E-2</v>
      </c>
      <c r="S151" s="12">
        <f t="shared" si="32"/>
        <v>-2.5280892840920499E-2</v>
      </c>
      <c r="T151" s="12">
        <f t="shared" si="33"/>
        <v>4.7953287785256427E-2</v>
      </c>
      <c r="U151" s="12">
        <f t="shared" si="34"/>
        <v>2.5452488614413182E-2</v>
      </c>
    </row>
    <row r="152" spans="1:21" x14ac:dyDescent="0.3">
      <c r="A152" s="13">
        <f t="shared" si="24"/>
        <v>148</v>
      </c>
      <c r="B152" s="1">
        <v>45443</v>
      </c>
      <c r="C152" s="7">
        <f t="shared" si="25"/>
        <v>2024</v>
      </c>
      <c r="D152" s="7">
        <f t="shared" si="26"/>
        <v>5</v>
      </c>
      <c r="E152" s="77">
        <v>16.992999999999999</v>
      </c>
      <c r="F152" s="2">
        <v>51.463447570800781</v>
      </c>
      <c r="G152" s="2">
        <v>33.594669342041023</v>
      </c>
      <c r="H152" s="2">
        <v>12.57207679748535</v>
      </c>
      <c r="I152" s="2">
        <v>260.04998779296881</v>
      </c>
      <c r="J152" s="2">
        <v>13.10000038146973</v>
      </c>
      <c r="K152" s="2">
        <v>355.08145141601563</v>
      </c>
      <c r="L152" s="2">
        <v>180.75</v>
      </c>
      <c r="M152" s="2">
        <v>179.24000549316409</v>
      </c>
      <c r="N152" s="12">
        <f t="shared" si="27"/>
        <v>-8.4151609755739321E-3</v>
      </c>
      <c r="O152" s="12">
        <f t="shared" si="28"/>
        <v>-2.9795642859023364E-2</v>
      </c>
      <c r="P152" s="12">
        <f t="shared" si="29"/>
        <v>-3.1346999961892053E-3</v>
      </c>
      <c r="Q152" s="12">
        <f t="shared" si="30"/>
        <v>-5.8574458059736823E-2</v>
      </c>
      <c r="R152" s="12">
        <f t="shared" si="31"/>
        <v>-2.2388003403051138E-2</v>
      </c>
      <c r="S152" s="12">
        <f t="shared" si="32"/>
        <v>0</v>
      </c>
      <c r="T152" s="12">
        <f t="shared" si="33"/>
        <v>-3.053317958495394E-3</v>
      </c>
      <c r="U152" s="12">
        <f t="shared" si="34"/>
        <v>3.0213604036699593E-2</v>
      </c>
    </row>
    <row r="153" spans="1:21" x14ac:dyDescent="0.3">
      <c r="A153" s="13">
        <f t="shared" si="24"/>
        <v>149</v>
      </c>
      <c r="B153" s="1">
        <v>45442</v>
      </c>
      <c r="C153" s="7">
        <f t="shared" si="25"/>
        <v>2024</v>
      </c>
      <c r="D153" s="7">
        <f t="shared" si="26"/>
        <v>5</v>
      </c>
      <c r="E153" s="77">
        <v>17.0168</v>
      </c>
      <c r="F153" s="2">
        <v>51.900196075439453</v>
      </c>
      <c r="G153" s="2">
        <v>34.626384735107422</v>
      </c>
      <c r="H153" s="2">
        <v>12.61161041259766</v>
      </c>
      <c r="I153" s="2">
        <v>276.23001098632813</v>
      </c>
      <c r="J153" s="2">
        <v>13.39999961853027</v>
      </c>
      <c r="K153" s="2">
        <v>355.08145141601563</v>
      </c>
      <c r="L153" s="2">
        <v>181.05000305175781</v>
      </c>
      <c r="M153" s="2">
        <v>173.74000549316409</v>
      </c>
      <c r="N153" s="12">
        <f t="shared" si="27"/>
        <v>-8.8731597753005653E-3</v>
      </c>
      <c r="O153" s="12">
        <f t="shared" si="28"/>
        <v>-5.0818422785295914E-3</v>
      </c>
      <c r="P153" s="12">
        <f t="shared" si="29"/>
        <v>5.5160988484672657E-3</v>
      </c>
      <c r="Q153" s="12">
        <f t="shared" si="30"/>
        <v>1.5514139440453878E-2</v>
      </c>
      <c r="R153" s="12">
        <f t="shared" si="31"/>
        <v>-4.4222597645499406E-2</v>
      </c>
      <c r="S153" s="12">
        <f t="shared" si="32"/>
        <v>0</v>
      </c>
      <c r="T153" s="12">
        <f t="shared" si="33"/>
        <v>-7.3446930867144822E-3</v>
      </c>
      <c r="U153" s="12">
        <f t="shared" si="34"/>
        <v>-3.1451344776762702E-2</v>
      </c>
    </row>
    <row r="154" spans="1:21" x14ac:dyDescent="0.3">
      <c r="A154" s="13">
        <f t="shared" si="24"/>
        <v>150</v>
      </c>
      <c r="B154" s="1">
        <v>45441</v>
      </c>
      <c r="C154" s="7">
        <f t="shared" si="25"/>
        <v>2024</v>
      </c>
      <c r="D154" s="7">
        <f t="shared" si="26"/>
        <v>5</v>
      </c>
      <c r="E154" s="77">
        <v>16.948</v>
      </c>
      <c r="F154" s="2">
        <v>52.364837646484382</v>
      </c>
      <c r="G154" s="2">
        <v>34.803249359130859</v>
      </c>
      <c r="H154" s="2">
        <v>12.54242515563965</v>
      </c>
      <c r="I154" s="2">
        <v>272.010009765625</v>
      </c>
      <c r="J154" s="2">
        <v>14.02000045776367</v>
      </c>
      <c r="K154" s="2">
        <v>355.08145141601563</v>
      </c>
      <c r="L154" s="2">
        <v>183.1300048828125</v>
      </c>
      <c r="M154" s="2">
        <v>180.11000061035159</v>
      </c>
      <c r="N154" s="12">
        <f t="shared" si="27"/>
        <v>-5.1201012569127569E-3</v>
      </c>
      <c r="O154" s="12">
        <f t="shared" si="28"/>
        <v>5.9641395236627037E-3</v>
      </c>
      <c r="P154" s="12">
        <f t="shared" si="29"/>
        <v>-1.3219290612881407E-2</v>
      </c>
      <c r="Q154" s="12">
        <f t="shared" si="30"/>
        <v>3.6702510494706297E-2</v>
      </c>
      <c r="R154" s="12">
        <f t="shared" si="31"/>
        <v>2.5603539101413553E-2</v>
      </c>
      <c r="S154" s="12">
        <f t="shared" si="32"/>
        <v>0</v>
      </c>
      <c r="T154" s="12">
        <f t="shared" si="33"/>
        <v>9.9077046418860615E-3</v>
      </c>
      <c r="U154" s="12">
        <f t="shared" si="34"/>
        <v>-2.5110795806469577E-2</v>
      </c>
    </row>
    <row r="155" spans="1:21" x14ac:dyDescent="0.3">
      <c r="A155" s="13">
        <f t="shared" si="24"/>
        <v>151</v>
      </c>
      <c r="B155" s="1">
        <v>45440</v>
      </c>
      <c r="C155" s="7">
        <f t="shared" si="25"/>
        <v>2024</v>
      </c>
      <c r="D155" s="7">
        <f t="shared" si="26"/>
        <v>5</v>
      </c>
      <c r="E155" s="77">
        <v>16.779900000000001</v>
      </c>
      <c r="F155" s="2">
        <v>52.634330749511719</v>
      </c>
      <c r="G155" s="2">
        <v>34.596908569335938</v>
      </c>
      <c r="H155" s="2">
        <v>12.71044826507568</v>
      </c>
      <c r="I155" s="2">
        <v>262.3800048828125</v>
      </c>
      <c r="J155" s="2">
        <v>13.670000076293951</v>
      </c>
      <c r="K155" s="2">
        <v>355.08145141601563</v>
      </c>
      <c r="L155" s="2">
        <v>183.1499938964844</v>
      </c>
      <c r="M155" s="2">
        <v>186.6000061035156</v>
      </c>
      <c r="N155" s="12">
        <f t="shared" si="27"/>
        <v>-9.6169506282589579E-3</v>
      </c>
      <c r="O155" s="12">
        <f t="shared" si="28"/>
        <v>-2.6541305413706584E-2</v>
      </c>
      <c r="P155" s="12">
        <f t="shared" si="29"/>
        <v>-1.3046820895885269E-2</v>
      </c>
      <c r="Q155" s="12">
        <f t="shared" si="30"/>
        <v>-2.2356359977785512E-2</v>
      </c>
      <c r="R155" s="12">
        <f t="shared" si="31"/>
        <v>-3.1869675135433706E-2</v>
      </c>
      <c r="S155" s="12">
        <f t="shared" si="32"/>
        <v>0</v>
      </c>
      <c r="T155" s="12">
        <f t="shared" si="33"/>
        <v>5.9624406145297737E-3</v>
      </c>
      <c r="U155" s="12">
        <f t="shared" si="34"/>
        <v>7.5234728966307785E-2</v>
      </c>
    </row>
    <row r="156" spans="1:21" x14ac:dyDescent="0.3">
      <c r="A156" s="13">
        <f t="shared" si="24"/>
        <v>152</v>
      </c>
      <c r="B156" s="1">
        <v>45439</v>
      </c>
      <c r="C156" s="7">
        <f t="shared" si="25"/>
        <v>2024</v>
      </c>
      <c r="D156" s="7">
        <f t="shared" si="26"/>
        <v>5</v>
      </c>
      <c r="E156" s="77">
        <v>16.645</v>
      </c>
      <c r="F156" s="2">
        <v>53.145427703857422</v>
      </c>
      <c r="G156" s="2">
        <v>35.540191650390618</v>
      </c>
      <c r="H156" s="2">
        <v>12.878471374511721</v>
      </c>
      <c r="I156" s="2">
        <v>268.3800048828125</v>
      </c>
      <c r="J156" s="2">
        <v>14.11999988555908</v>
      </c>
      <c r="K156" s="2">
        <v>355.08145141601563</v>
      </c>
      <c r="L156" s="2">
        <v>183.53999328613281</v>
      </c>
      <c r="M156" s="2">
        <v>174.94999694824219</v>
      </c>
      <c r="N156" s="12">
        <f t="shared" si="27"/>
        <v>-3.3115506003558171E-3</v>
      </c>
      <c r="O156" s="12">
        <f t="shared" si="28"/>
        <v>-5.2255128028269038E-3</v>
      </c>
      <c r="P156" s="12">
        <f t="shared" si="29"/>
        <v>1.0861097526806418E-2</v>
      </c>
      <c r="Q156" s="12">
        <f t="shared" si="30"/>
        <v>-1.6959103026249034E-2</v>
      </c>
      <c r="R156" s="12">
        <f t="shared" si="31"/>
        <v>-3.2876745436244303E-2</v>
      </c>
      <c r="S156" s="12">
        <f t="shared" si="32"/>
        <v>-1.111104311883282E-2</v>
      </c>
      <c r="T156" s="12">
        <f t="shared" si="33"/>
        <v>-8.4845043615109361E-3</v>
      </c>
      <c r="U156" s="12">
        <f t="shared" si="34"/>
        <v>-1.6330675418486429E-2</v>
      </c>
    </row>
    <row r="157" spans="1:21" x14ac:dyDescent="0.3">
      <c r="A157" s="13">
        <f t="shared" si="24"/>
        <v>153</v>
      </c>
      <c r="B157" s="1">
        <v>45436</v>
      </c>
      <c r="C157" s="7">
        <f t="shared" si="25"/>
        <v>2024</v>
      </c>
      <c r="D157" s="7">
        <f t="shared" si="26"/>
        <v>5</v>
      </c>
      <c r="E157" s="77">
        <v>16.681999999999999</v>
      </c>
      <c r="F157" s="2">
        <v>53.322006225585938</v>
      </c>
      <c r="G157" s="2">
        <v>35.726882934570313</v>
      </c>
      <c r="H157" s="2">
        <v>12.74009990692139</v>
      </c>
      <c r="I157" s="2">
        <v>273.010009765625</v>
      </c>
      <c r="J157" s="2">
        <v>14.60000038146973</v>
      </c>
      <c r="K157" s="2">
        <v>359.07110595703119</v>
      </c>
      <c r="L157" s="2">
        <v>184.69999694824219</v>
      </c>
      <c r="M157" s="2">
        <v>177.46000671386719</v>
      </c>
      <c r="N157" s="12">
        <f t="shared" si="27"/>
        <v>1.7459908965955506E-3</v>
      </c>
      <c r="O157" s="12">
        <f t="shared" si="28"/>
        <v>-1.4099855466533806E-2</v>
      </c>
      <c r="P157" s="12">
        <f t="shared" si="29"/>
        <v>-1.4526025466741976E-2</v>
      </c>
      <c r="Q157" s="12">
        <f t="shared" si="30"/>
        <v>9.1996383201233156E-2</v>
      </c>
      <c r="R157" s="12">
        <f t="shared" si="31"/>
        <v>2.1693521374684721E-2</v>
      </c>
      <c r="S157" s="12">
        <f t="shared" si="32"/>
        <v>4.2120253918105366E-3</v>
      </c>
      <c r="T157" s="12">
        <f t="shared" si="33"/>
        <v>3.8230961775376215E-3</v>
      </c>
      <c r="U157" s="12">
        <f t="shared" si="34"/>
        <v>1.2963148825996917E-2</v>
      </c>
    </row>
    <row r="158" spans="1:21" x14ac:dyDescent="0.3">
      <c r="A158" s="13">
        <f t="shared" si="24"/>
        <v>154</v>
      </c>
      <c r="B158" s="1">
        <v>45435</v>
      </c>
      <c r="C158" s="7">
        <f t="shared" si="25"/>
        <v>2024</v>
      </c>
      <c r="D158" s="7">
        <f t="shared" si="26"/>
        <v>5</v>
      </c>
      <c r="E158" s="77">
        <v>16.715299999999999</v>
      </c>
      <c r="F158" s="2">
        <v>53.229068756103523</v>
      </c>
      <c r="G158" s="2">
        <v>36.237831115722663</v>
      </c>
      <c r="H158" s="2">
        <v>12.927890777587891</v>
      </c>
      <c r="I158" s="2">
        <v>250.00999450683591</v>
      </c>
      <c r="J158" s="2">
        <v>14.289999961853029</v>
      </c>
      <c r="K158" s="2">
        <v>357.56503295898438</v>
      </c>
      <c r="L158" s="2">
        <v>183.6300048828125</v>
      </c>
      <c r="M158" s="2">
        <v>174.8399963378906</v>
      </c>
      <c r="N158" s="12">
        <f t="shared" si="27"/>
        <v>4.2075632361526782E-3</v>
      </c>
      <c r="O158" s="12">
        <f t="shared" si="28"/>
        <v>-6.4654063422854291E-3</v>
      </c>
      <c r="P158" s="12">
        <f t="shared" si="29"/>
        <v>-6.8336128501491622E-3</v>
      </c>
      <c r="Q158" s="12">
        <f t="shared" si="30"/>
        <v>-1.6250904590899728E-2</v>
      </c>
      <c r="R158" s="12">
        <f t="shared" si="31"/>
        <v>-1.7869431304021077E-2</v>
      </c>
      <c r="S158" s="12">
        <f t="shared" si="32"/>
        <v>0</v>
      </c>
      <c r="T158" s="12">
        <f t="shared" si="33"/>
        <v>-9.4116478906592915E-3</v>
      </c>
      <c r="U158" s="12">
        <f t="shared" si="34"/>
        <v>8.2208290586618382E-3</v>
      </c>
    </row>
    <row r="159" spans="1:21" x14ac:dyDescent="0.3">
      <c r="A159" s="13">
        <f t="shared" si="24"/>
        <v>155</v>
      </c>
      <c r="B159" s="1">
        <v>45434</v>
      </c>
      <c r="C159" s="7">
        <f t="shared" si="25"/>
        <v>2024</v>
      </c>
      <c r="D159" s="7">
        <f t="shared" si="26"/>
        <v>5</v>
      </c>
      <c r="E159" s="77">
        <v>16.66</v>
      </c>
      <c r="F159" s="2">
        <v>53.00604248046875</v>
      </c>
      <c r="G159" s="2">
        <v>36.473648071289063</v>
      </c>
      <c r="H159" s="2">
        <v>13.016842842102051</v>
      </c>
      <c r="I159" s="2">
        <v>254.13999938964841</v>
      </c>
      <c r="J159" s="2">
        <v>14.55000019073486</v>
      </c>
      <c r="K159" s="2">
        <v>357.56503295898438</v>
      </c>
      <c r="L159" s="2">
        <v>185.99000549316409</v>
      </c>
      <c r="M159" s="2">
        <v>173.99000549316409</v>
      </c>
      <c r="N159" s="12">
        <f t="shared" si="27"/>
        <v>0</v>
      </c>
      <c r="O159" s="12">
        <f t="shared" si="28"/>
        <v>-7.486709618993781E-3</v>
      </c>
      <c r="P159" s="12">
        <f t="shared" si="29"/>
        <v>-8.2831322565598553E-3</v>
      </c>
      <c r="Q159" s="12">
        <f t="shared" si="30"/>
        <v>1.6478661894180791E-2</v>
      </c>
      <c r="R159" s="12">
        <f t="shared" si="31"/>
        <v>-1.0204055814731272E-2</v>
      </c>
      <c r="S159" s="12">
        <f t="shared" si="32"/>
        <v>0</v>
      </c>
      <c r="T159" s="12">
        <f t="shared" si="33"/>
        <v>-3.3804053608866846E-3</v>
      </c>
      <c r="U159" s="12">
        <f t="shared" si="34"/>
        <v>-1.7692193723416683E-2</v>
      </c>
    </row>
    <row r="160" spans="1:21" x14ac:dyDescent="0.3">
      <c r="A160" s="13">
        <f t="shared" si="24"/>
        <v>156</v>
      </c>
      <c r="B160" s="1">
        <v>45433</v>
      </c>
      <c r="C160" s="7">
        <f t="shared" si="25"/>
        <v>2024</v>
      </c>
      <c r="D160" s="7">
        <f t="shared" si="26"/>
        <v>5</v>
      </c>
      <c r="E160" s="77">
        <v>16.62</v>
      </c>
      <c r="F160" s="2">
        <v>53.00604248046875</v>
      </c>
      <c r="G160" s="2">
        <v>36.748775482177727</v>
      </c>
      <c r="H160" s="2">
        <v>13.125563621521</v>
      </c>
      <c r="I160" s="2">
        <v>250.02000427246091</v>
      </c>
      <c r="J160" s="2">
        <v>14.69999980926514</v>
      </c>
      <c r="K160" s="2">
        <v>357.56503295898438</v>
      </c>
      <c r="L160" s="2">
        <v>187.07000732421881</v>
      </c>
      <c r="M160" s="2">
        <v>177.55000305175781</v>
      </c>
      <c r="N160" s="12">
        <f t="shared" si="27"/>
        <v>-8.6895093299808046E-3</v>
      </c>
      <c r="O160" s="12">
        <f t="shared" si="28"/>
        <v>-1.7857141036588087E-2</v>
      </c>
      <c r="P160" s="12">
        <f t="shared" si="29"/>
        <v>-5.2435370269330317E-3</v>
      </c>
      <c r="Q160" s="12">
        <f t="shared" si="30"/>
        <v>-7.8177752202820416E-3</v>
      </c>
      <c r="R160" s="12">
        <f t="shared" si="31"/>
        <v>1.9417457107472558E-2</v>
      </c>
      <c r="S160" s="12">
        <f t="shared" si="32"/>
        <v>0</v>
      </c>
      <c r="T160" s="12">
        <f t="shared" si="33"/>
        <v>6.701921106551989E-3</v>
      </c>
      <c r="U160" s="12">
        <f t="shared" si="34"/>
        <v>3.7071350274580972E-2</v>
      </c>
    </row>
    <row r="161" spans="1:21" x14ac:dyDescent="0.3">
      <c r="A161" s="13">
        <f t="shared" si="24"/>
        <v>157</v>
      </c>
      <c r="B161" s="1">
        <v>45432</v>
      </c>
      <c r="C161" s="7">
        <f t="shared" si="25"/>
        <v>2024</v>
      </c>
      <c r="D161" s="7">
        <f t="shared" si="26"/>
        <v>5</v>
      </c>
      <c r="E161" s="77">
        <v>16.553599999999999</v>
      </c>
      <c r="F161" s="2">
        <v>53.470676422119141</v>
      </c>
      <c r="G161" s="2">
        <v>37.416934967041023</v>
      </c>
      <c r="H161" s="2">
        <v>13.19475078582764</v>
      </c>
      <c r="I161" s="2">
        <v>251.99000549316409</v>
      </c>
      <c r="J161" s="2">
        <v>14.420000076293951</v>
      </c>
      <c r="K161" s="2">
        <v>357.56503295898438</v>
      </c>
      <c r="L161" s="2">
        <v>186.57000732421881</v>
      </c>
      <c r="M161" s="2">
        <v>171.88999938964841</v>
      </c>
      <c r="N161" s="12">
        <f t="shared" si="27"/>
        <v>1.7367623424835443E-4</v>
      </c>
      <c r="O161" s="12">
        <f t="shared" si="28"/>
        <v>1.2227586438913418E-2</v>
      </c>
      <c r="P161" s="12">
        <f t="shared" si="29"/>
        <v>2.2522915719374037E-3</v>
      </c>
      <c r="Q161" s="12">
        <f t="shared" si="30"/>
        <v>1.2317737857783229E-3</v>
      </c>
      <c r="R161" s="12">
        <f t="shared" si="31"/>
        <v>-4.1436096574014591E-3</v>
      </c>
      <c r="S161" s="12">
        <f t="shared" si="32"/>
        <v>0</v>
      </c>
      <c r="T161" s="12">
        <f t="shared" si="33"/>
        <v>-7.037232495150314E-3</v>
      </c>
      <c r="U161" s="12">
        <f t="shared" si="34"/>
        <v>1.8061705539281325E-2</v>
      </c>
    </row>
    <row r="162" spans="1:21" x14ac:dyDescent="0.3">
      <c r="A162" s="13">
        <f t="shared" si="24"/>
        <v>158</v>
      </c>
      <c r="B162" s="1">
        <v>45429</v>
      </c>
      <c r="C162" s="7">
        <f t="shared" si="25"/>
        <v>2024</v>
      </c>
      <c r="D162" s="7">
        <f t="shared" si="26"/>
        <v>5</v>
      </c>
      <c r="E162" s="77">
        <v>16.59</v>
      </c>
      <c r="F162" s="2">
        <v>53.461391448974609</v>
      </c>
      <c r="G162" s="2">
        <v>36.964942932128913</v>
      </c>
      <c r="H162" s="2">
        <v>13.16509914398193</v>
      </c>
      <c r="I162" s="2">
        <v>251.67999267578119</v>
      </c>
      <c r="J162" s="2">
        <v>14.47999954223633</v>
      </c>
      <c r="K162" s="2">
        <v>357.56503295898438</v>
      </c>
      <c r="L162" s="2">
        <v>187.47999572753909</v>
      </c>
      <c r="M162" s="2">
        <v>168.4700012207031</v>
      </c>
      <c r="N162" s="12">
        <f t="shared" si="27"/>
        <v>-1.9082884884945583E-3</v>
      </c>
      <c r="O162" s="12">
        <f t="shared" si="28"/>
        <v>-2.121979531125473E-3</v>
      </c>
      <c r="P162" s="12">
        <f t="shared" si="29"/>
        <v>8.3270242622581758E-3</v>
      </c>
      <c r="Q162" s="12">
        <f t="shared" si="30"/>
        <v>-5.2567165721937315E-3</v>
      </c>
      <c r="R162" s="12">
        <f t="shared" si="31"/>
        <v>1.6853916782003209E-2</v>
      </c>
      <c r="S162" s="12">
        <f t="shared" si="32"/>
        <v>0</v>
      </c>
      <c r="T162" s="12">
        <f t="shared" si="33"/>
        <v>-1.5407537240876956E-2</v>
      </c>
      <c r="U162" s="12">
        <f t="shared" si="34"/>
        <v>-2.5053755169010872E-2</v>
      </c>
    </row>
    <row r="163" spans="1:21" x14ac:dyDescent="0.3">
      <c r="A163" s="13">
        <f t="shared" si="24"/>
        <v>159</v>
      </c>
      <c r="B163" s="1">
        <v>45428</v>
      </c>
      <c r="C163" s="7">
        <f t="shared" si="25"/>
        <v>2024</v>
      </c>
      <c r="D163" s="7">
        <f t="shared" si="26"/>
        <v>5</v>
      </c>
      <c r="E163" s="77">
        <v>16.670000000000002</v>
      </c>
      <c r="F163" s="2">
        <v>53.563606262207031</v>
      </c>
      <c r="G163" s="2">
        <v>37.043548583984382</v>
      </c>
      <c r="H163" s="2">
        <v>13.05637836456299</v>
      </c>
      <c r="I163" s="2">
        <v>253.00999450683591</v>
      </c>
      <c r="J163" s="2">
        <v>14.239999771118161</v>
      </c>
      <c r="K163" s="2">
        <v>357.56503295898438</v>
      </c>
      <c r="L163" s="2">
        <v>189.5</v>
      </c>
      <c r="M163" s="2">
        <v>171.9700012207031</v>
      </c>
      <c r="N163" s="12">
        <f t="shared" si="27"/>
        <v>1.4252899799625185E-2</v>
      </c>
      <c r="O163" s="12">
        <f t="shared" si="28"/>
        <v>2.9262339720965702E-3</v>
      </c>
      <c r="P163" s="12">
        <f t="shared" si="29"/>
        <v>8.3970201085661333E-3</v>
      </c>
      <c r="Q163" s="12">
        <f t="shared" si="30"/>
        <v>-7.4146702036251844E-3</v>
      </c>
      <c r="R163" s="12">
        <f t="shared" si="31"/>
        <v>1.0645820930152317E-2</v>
      </c>
      <c r="S163" s="12">
        <f t="shared" si="32"/>
        <v>0</v>
      </c>
      <c r="T163" s="12">
        <f t="shared" si="33"/>
        <v>7.3804590644390711E-3</v>
      </c>
      <c r="U163" s="12">
        <f t="shared" si="34"/>
        <v>-1.6323655665655301E-2</v>
      </c>
    </row>
    <row r="164" spans="1:21" x14ac:dyDescent="0.3">
      <c r="A164" s="13">
        <f t="shared" si="24"/>
        <v>160</v>
      </c>
      <c r="B164" s="1">
        <v>45427</v>
      </c>
      <c r="C164" s="7">
        <f t="shared" si="25"/>
        <v>2024</v>
      </c>
      <c r="D164" s="7">
        <f t="shared" si="26"/>
        <v>5</v>
      </c>
      <c r="E164" s="77">
        <v>16.6799</v>
      </c>
      <c r="F164" s="2">
        <v>52.810897827148438</v>
      </c>
      <c r="G164" s="2">
        <v>36.935466766357422</v>
      </c>
      <c r="H164" s="2">
        <v>12.94765663146973</v>
      </c>
      <c r="I164" s="2">
        <v>254.8999938964844</v>
      </c>
      <c r="J164" s="2">
        <v>14.090000152587891</v>
      </c>
      <c r="K164" s="2">
        <v>357.56503295898438</v>
      </c>
      <c r="L164" s="2">
        <v>188</v>
      </c>
      <c r="M164" s="2">
        <v>174.7200012207031</v>
      </c>
      <c r="N164" s="12">
        <f t="shared" si="27"/>
        <v>0</v>
      </c>
      <c r="O164" s="12">
        <f t="shared" si="28"/>
        <v>1.6495460976661436E-2</v>
      </c>
      <c r="P164" s="12">
        <f t="shared" si="29"/>
        <v>-9.8261788132616434E-3</v>
      </c>
      <c r="Q164" s="12">
        <f t="shared" si="30"/>
        <v>1.0705777085303847E-2</v>
      </c>
      <c r="R164" s="12">
        <f t="shared" si="31"/>
        <v>-6.3469781841286599E-3</v>
      </c>
      <c r="S164" s="12">
        <f t="shared" si="32"/>
        <v>0</v>
      </c>
      <c r="T164" s="12">
        <f t="shared" si="33"/>
        <v>-1.3084857729987798E-2</v>
      </c>
      <c r="U164" s="12">
        <f t="shared" si="34"/>
        <v>-2.6315251844316268E-2</v>
      </c>
    </row>
    <row r="165" spans="1:21" x14ac:dyDescent="0.3">
      <c r="A165" s="13">
        <f t="shared" si="24"/>
        <v>161</v>
      </c>
      <c r="B165" s="1">
        <v>45426</v>
      </c>
      <c r="C165" s="7">
        <f t="shared" si="25"/>
        <v>2024</v>
      </c>
      <c r="D165" s="7">
        <f t="shared" si="26"/>
        <v>5</v>
      </c>
      <c r="E165" s="77">
        <v>16.832999999999998</v>
      </c>
      <c r="F165" s="2">
        <v>52.810897827148438</v>
      </c>
      <c r="G165" s="2">
        <v>36.336086273193359</v>
      </c>
      <c r="H165" s="2">
        <v>13.076145172119141</v>
      </c>
      <c r="I165" s="2">
        <v>252.19999694824219</v>
      </c>
      <c r="J165" s="2">
        <v>14.180000305175779</v>
      </c>
      <c r="K165" s="2">
        <v>357.56503295898438</v>
      </c>
      <c r="L165" s="2">
        <v>188.75999450683591</v>
      </c>
      <c r="M165" s="2">
        <v>177.80999755859381</v>
      </c>
      <c r="N165" s="12">
        <f t="shared" si="27"/>
        <v>-1.7563647129759108E-3</v>
      </c>
      <c r="O165" s="12">
        <f t="shared" si="28"/>
        <v>7.3548968822221283E-3</v>
      </c>
      <c r="P165" s="12">
        <f t="shared" si="29"/>
        <v>-1.6356947249356435E-2</v>
      </c>
      <c r="Q165" s="12">
        <f t="shared" si="30"/>
        <v>2.9029137630551816E-3</v>
      </c>
      <c r="R165" s="12">
        <f t="shared" si="31"/>
        <v>-6.3069481219900636E-3</v>
      </c>
      <c r="S165" s="12">
        <f t="shared" si="32"/>
        <v>0</v>
      </c>
      <c r="T165" s="12">
        <f t="shared" si="33"/>
        <v>2.3365589553676624E-3</v>
      </c>
      <c r="U165" s="12">
        <f t="shared" si="34"/>
        <v>-3.5674295022526947E-2</v>
      </c>
    </row>
    <row r="166" spans="1:21" x14ac:dyDescent="0.3">
      <c r="A166" s="13">
        <f t="shared" si="24"/>
        <v>162</v>
      </c>
      <c r="B166" s="1">
        <v>45425</v>
      </c>
      <c r="C166" s="7">
        <f t="shared" si="25"/>
        <v>2024</v>
      </c>
      <c r="D166" s="7">
        <f t="shared" si="26"/>
        <v>5</v>
      </c>
      <c r="E166" s="77">
        <v>16.799099999999999</v>
      </c>
      <c r="F166" s="2">
        <v>52.903816223144531</v>
      </c>
      <c r="G166" s="2">
        <v>36.070789337158203</v>
      </c>
      <c r="H166" s="2">
        <v>13.293587684631349</v>
      </c>
      <c r="I166" s="2">
        <v>251.4700012207031</v>
      </c>
      <c r="J166" s="2">
        <v>14.27000045776367</v>
      </c>
      <c r="K166" s="2">
        <v>357.56503295898438</v>
      </c>
      <c r="L166" s="2">
        <v>188.69999694824219</v>
      </c>
      <c r="M166" s="2">
        <v>184.75999450683591</v>
      </c>
      <c r="N166" s="12">
        <f t="shared" si="27"/>
        <v>8.8605813140181233E-3</v>
      </c>
      <c r="O166" s="12">
        <f t="shared" si="28"/>
        <v>-5.6880073498661865E-3</v>
      </c>
      <c r="P166" s="12">
        <f t="shared" si="29"/>
        <v>-1.0301659350076542E-2</v>
      </c>
      <c r="Q166" s="12">
        <f t="shared" si="30"/>
        <v>-8.4381506427122499E-3</v>
      </c>
      <c r="R166" s="12">
        <f t="shared" si="31"/>
        <v>-8.3391162401718066E-3</v>
      </c>
      <c r="S166" s="12">
        <f t="shared" si="32"/>
        <v>0</v>
      </c>
      <c r="T166" s="12">
        <f t="shared" si="33"/>
        <v>1.6342487478222978E-2</v>
      </c>
      <c r="U166" s="12">
        <f t="shared" si="34"/>
        <v>2.2692129692595042E-2</v>
      </c>
    </row>
    <row r="167" spans="1:21" x14ac:dyDescent="0.3">
      <c r="A167" s="13">
        <f t="shared" si="24"/>
        <v>163</v>
      </c>
      <c r="B167" s="1">
        <v>45422</v>
      </c>
      <c r="C167" s="7">
        <f t="shared" si="25"/>
        <v>2024</v>
      </c>
      <c r="D167" s="7">
        <f t="shared" si="26"/>
        <v>5</v>
      </c>
      <c r="E167" s="77">
        <v>16.75</v>
      </c>
      <c r="F167" s="2">
        <v>52.439174652099609</v>
      </c>
      <c r="G167" s="2">
        <v>36.277133941650391</v>
      </c>
      <c r="H167" s="2">
        <v>13.43195915222168</v>
      </c>
      <c r="I167" s="2">
        <v>253.61000061035159</v>
      </c>
      <c r="J167" s="2">
        <v>14.39000034332275</v>
      </c>
      <c r="K167" s="2">
        <v>357.56503295898438</v>
      </c>
      <c r="L167" s="2">
        <v>186.21000671386719</v>
      </c>
      <c r="M167" s="2">
        <v>181.19000244140619</v>
      </c>
      <c r="N167" s="12">
        <f t="shared" si="27"/>
        <v>1.0643752595671518E-3</v>
      </c>
      <c r="O167" s="12">
        <f t="shared" si="28"/>
        <v>1.5122386841220914E-2</v>
      </c>
      <c r="P167" s="12">
        <f t="shared" si="29"/>
        <v>1.9504854552354622E-2</v>
      </c>
      <c r="Q167" s="12">
        <f t="shared" si="30"/>
        <v>8.4698779982492756E-3</v>
      </c>
      <c r="R167" s="12">
        <f t="shared" si="31"/>
        <v>5.5904906610892979E-3</v>
      </c>
      <c r="S167" s="12">
        <f t="shared" si="32"/>
        <v>0</v>
      </c>
      <c r="T167" s="12">
        <f t="shared" si="33"/>
        <v>8.0061126663468762E-3</v>
      </c>
      <c r="U167" s="12">
        <f t="shared" si="34"/>
        <v>6.4951463943214716E-3</v>
      </c>
    </row>
    <row r="168" spans="1:21" x14ac:dyDescent="0.3">
      <c r="A168" s="13">
        <f t="shared" si="24"/>
        <v>164</v>
      </c>
      <c r="B168" s="1">
        <v>45421</v>
      </c>
      <c r="C168" s="7">
        <f t="shared" si="25"/>
        <v>2024</v>
      </c>
      <c r="D168" s="7">
        <f t="shared" si="26"/>
        <v>5</v>
      </c>
      <c r="E168" s="77">
        <v>16.751000000000001</v>
      </c>
      <c r="F168" s="2">
        <v>52.383419036865227</v>
      </c>
      <c r="G168" s="2">
        <v>35.736709594726563</v>
      </c>
      <c r="H168" s="2">
        <v>13.17498302459717</v>
      </c>
      <c r="I168" s="2">
        <v>251.47999572753909</v>
      </c>
      <c r="J168" s="2">
        <v>14.310000419616699</v>
      </c>
      <c r="K168" s="2">
        <v>357.56503295898438</v>
      </c>
      <c r="L168" s="2">
        <v>184.7200012207031</v>
      </c>
      <c r="M168" s="2">
        <v>180.00999450683591</v>
      </c>
      <c r="N168" s="12">
        <f t="shared" si="27"/>
        <v>-1.8115456531298868E-2</v>
      </c>
      <c r="O168" s="12">
        <f t="shared" si="28"/>
        <v>-7.6398109125083158E-3</v>
      </c>
      <c r="P168" s="12">
        <f t="shared" si="29"/>
        <v>-1.623609073120813E-2</v>
      </c>
      <c r="Q168" s="12">
        <f t="shared" si="30"/>
        <v>2.6155744121066915E-2</v>
      </c>
      <c r="R168" s="12">
        <f t="shared" si="31"/>
        <v>1.9957283818580196E-2</v>
      </c>
      <c r="S168" s="12">
        <f t="shared" si="32"/>
        <v>0</v>
      </c>
      <c r="T168" s="12">
        <f t="shared" si="33"/>
        <v>4.6546227691370179E-2</v>
      </c>
      <c r="U168" s="12">
        <f t="shared" si="34"/>
        <v>-2.6212741163912812E-2</v>
      </c>
    </row>
    <row r="169" spans="1:21" x14ac:dyDescent="0.3">
      <c r="A169" s="13">
        <f t="shared" si="24"/>
        <v>165</v>
      </c>
      <c r="B169" s="1">
        <v>45420</v>
      </c>
      <c r="C169" s="7">
        <f t="shared" si="25"/>
        <v>2024</v>
      </c>
      <c r="D169" s="7">
        <f t="shared" si="26"/>
        <v>5</v>
      </c>
      <c r="E169" s="77">
        <v>16.895</v>
      </c>
      <c r="F169" s="2">
        <v>53.349876403808587</v>
      </c>
      <c r="G169" s="2">
        <v>36.011833190917969</v>
      </c>
      <c r="H169" s="2">
        <v>13.39242362976074</v>
      </c>
      <c r="I169" s="2">
        <v>245.07000732421881</v>
      </c>
      <c r="J169" s="2">
        <v>14.02999973297119</v>
      </c>
      <c r="K169" s="2">
        <v>357.56503295898438</v>
      </c>
      <c r="L169" s="2">
        <v>175</v>
      </c>
      <c r="M169" s="2">
        <v>183.2799987792969</v>
      </c>
      <c r="N169" s="12">
        <f t="shared" si="27"/>
        <v>0</v>
      </c>
      <c r="O169" s="12">
        <f t="shared" si="28"/>
        <v>-1.8478863000435886E-2</v>
      </c>
      <c r="P169" s="12">
        <f t="shared" si="29"/>
        <v>-1.7403871686408778E-2</v>
      </c>
      <c r="Q169" s="12">
        <f t="shared" si="30"/>
        <v>-0.13713817053763122</v>
      </c>
      <c r="R169" s="12">
        <f t="shared" si="31"/>
        <v>-2.7720066787601971E-2</v>
      </c>
      <c r="S169" s="12">
        <f t="shared" si="32"/>
        <v>0</v>
      </c>
      <c r="T169" s="12">
        <f t="shared" si="33"/>
        <v>-3.1846712746422035E-2</v>
      </c>
      <c r="U169" s="12">
        <f t="shared" si="34"/>
        <v>-5.4437807946400962E-2</v>
      </c>
    </row>
    <row r="170" spans="1:21" x14ac:dyDescent="0.3">
      <c r="A170" s="13">
        <f t="shared" si="24"/>
        <v>166</v>
      </c>
      <c r="B170" s="1">
        <v>45419</v>
      </c>
      <c r="C170" s="7">
        <f t="shared" si="25"/>
        <v>2024</v>
      </c>
      <c r="D170" s="7">
        <f t="shared" si="26"/>
        <v>5</v>
      </c>
      <c r="E170" s="77">
        <v>16.876000000000001</v>
      </c>
      <c r="F170" s="2">
        <v>53.349876403808587</v>
      </c>
      <c r="G170" s="2">
        <v>36.6898193359375</v>
      </c>
      <c r="H170" s="2">
        <v>13.62963199615479</v>
      </c>
      <c r="I170" s="2">
        <v>284.01998901367188</v>
      </c>
      <c r="J170" s="2">
        <v>14.430000305175779</v>
      </c>
      <c r="K170" s="2">
        <v>357.56503295898438</v>
      </c>
      <c r="L170" s="2">
        <v>180.96000671386719</v>
      </c>
      <c r="M170" s="2">
        <v>194.05000305175781</v>
      </c>
      <c r="N170" s="12">
        <f t="shared" si="27"/>
        <v>-1.7388652770924384E-3</v>
      </c>
      <c r="O170" s="12">
        <f t="shared" si="28"/>
        <v>3.1163512908036761E-3</v>
      </c>
      <c r="P170" s="12">
        <f t="shared" si="29"/>
        <v>-2.8188950024611414E-2</v>
      </c>
      <c r="Q170" s="12">
        <f t="shared" si="30"/>
        <v>-1.4195954829194335E-2</v>
      </c>
      <c r="R170" s="12">
        <f t="shared" si="31"/>
        <v>-1.9701084007627268E-2</v>
      </c>
      <c r="S170" s="12">
        <f t="shared" si="32"/>
        <v>0</v>
      </c>
      <c r="T170" s="12">
        <f t="shared" si="33"/>
        <v>8.4163299271406977E-3</v>
      </c>
      <c r="U170" s="12">
        <f t="shared" si="34"/>
        <v>0.15416342410259243</v>
      </c>
    </row>
    <row r="171" spans="1:21" x14ac:dyDescent="0.3">
      <c r="A171" s="13">
        <f t="shared" si="24"/>
        <v>167</v>
      </c>
      <c r="B171" s="1">
        <v>45418</v>
      </c>
      <c r="C171" s="7">
        <f t="shared" si="25"/>
        <v>2024</v>
      </c>
      <c r="D171" s="7">
        <f t="shared" si="26"/>
        <v>5</v>
      </c>
      <c r="E171" s="77">
        <v>16.86</v>
      </c>
      <c r="F171" s="2">
        <v>53.442806243896477</v>
      </c>
      <c r="G171" s="2">
        <v>36.575836181640618</v>
      </c>
      <c r="H171" s="2">
        <v>14.02498149871826</v>
      </c>
      <c r="I171" s="2">
        <v>288.1099853515625</v>
      </c>
      <c r="J171" s="2">
        <v>14.72000026702881</v>
      </c>
      <c r="K171" s="2">
        <v>357.56503295898438</v>
      </c>
      <c r="L171" s="2">
        <v>179.6199951171875</v>
      </c>
      <c r="M171" s="2">
        <v>168.28999328613281</v>
      </c>
      <c r="N171" s="12">
        <f t="shared" si="27"/>
        <v>1.2925074895460575E-2</v>
      </c>
      <c r="O171" s="12">
        <f t="shared" si="28"/>
        <v>7.2520488537628491E-3</v>
      </c>
      <c r="P171" s="12">
        <f t="shared" si="29"/>
        <v>1.0683810465141885E-2</v>
      </c>
      <c r="Q171" s="12">
        <f t="shared" si="30"/>
        <v>6.9903187668982625E-3</v>
      </c>
      <c r="R171" s="12">
        <f t="shared" si="31"/>
        <v>-1.9320450195265071E-2</v>
      </c>
      <c r="S171" s="12">
        <f t="shared" si="32"/>
        <v>0</v>
      </c>
      <c r="T171" s="12">
        <f t="shared" si="33"/>
        <v>2.816212840398169E-2</v>
      </c>
      <c r="U171" s="12">
        <f t="shared" si="34"/>
        <v>-1.6936628378809049E-2</v>
      </c>
    </row>
    <row r="172" spans="1:21" x14ac:dyDescent="0.3">
      <c r="A172" s="13">
        <f t="shared" si="24"/>
        <v>168</v>
      </c>
      <c r="B172" s="1">
        <v>45415</v>
      </c>
      <c r="C172" s="7">
        <f t="shared" si="25"/>
        <v>2024</v>
      </c>
      <c r="D172" s="7">
        <f t="shared" si="26"/>
        <v>5</v>
      </c>
      <c r="E172" s="77">
        <v>16.96</v>
      </c>
      <c r="F172" s="2">
        <v>52.760868072509773</v>
      </c>
      <c r="G172" s="2">
        <v>36.312496185302727</v>
      </c>
      <c r="H172" s="2">
        <v>13.876725196838381</v>
      </c>
      <c r="I172" s="2">
        <v>286.1099853515625</v>
      </c>
      <c r="J172" s="2">
        <v>15.010000228881839</v>
      </c>
      <c r="K172" s="2">
        <v>357.56503295898438</v>
      </c>
      <c r="L172" s="2">
        <v>173.66999816894531</v>
      </c>
      <c r="M172" s="2">
        <v>170.17999267578119</v>
      </c>
      <c r="N172" s="12">
        <f t="shared" si="27"/>
        <v>1.1375774137707406E-2</v>
      </c>
      <c r="O172" s="12">
        <f t="shared" si="28"/>
        <v>3.9653749571866737E-2</v>
      </c>
      <c r="P172" s="12">
        <f t="shared" si="29"/>
        <v>1.3718372769916387E-2</v>
      </c>
      <c r="Q172" s="12">
        <f t="shared" si="30"/>
        <v>1.4502505131621435E-2</v>
      </c>
      <c r="R172" s="12">
        <f t="shared" si="31"/>
        <v>1.9008872732320548E-2</v>
      </c>
      <c r="S172" s="12">
        <f t="shared" si="32"/>
        <v>0</v>
      </c>
      <c r="T172" s="12">
        <f t="shared" si="33"/>
        <v>-1.6842704288977051E-2</v>
      </c>
      <c r="U172" s="12">
        <f t="shared" si="34"/>
        <v>4.9323523828829208E-2</v>
      </c>
    </row>
    <row r="173" spans="1:21" x14ac:dyDescent="0.3">
      <c r="A173" s="13">
        <f t="shared" si="24"/>
        <v>169</v>
      </c>
      <c r="B173" s="1">
        <v>45414</v>
      </c>
      <c r="C173" s="7">
        <f t="shared" si="25"/>
        <v>2024</v>
      </c>
      <c r="D173" s="7">
        <f t="shared" si="26"/>
        <v>5</v>
      </c>
      <c r="E173" s="77">
        <v>16.965299999999999</v>
      </c>
      <c r="F173" s="2">
        <v>52.167423248291023</v>
      </c>
      <c r="G173" s="2">
        <v>34.927490234375</v>
      </c>
      <c r="H173" s="2">
        <v>13.68893527984619</v>
      </c>
      <c r="I173" s="2">
        <v>282.01998901367188</v>
      </c>
      <c r="J173" s="2">
        <v>14.72999954223633</v>
      </c>
      <c r="K173" s="2">
        <v>357.56503295898438</v>
      </c>
      <c r="L173" s="2">
        <v>176.5899963378906</v>
      </c>
      <c r="M173" s="2">
        <v>162.1300048828125</v>
      </c>
      <c r="N173" s="12">
        <f t="shared" si="27"/>
        <v>-2.8358057462489761E-3</v>
      </c>
      <c r="O173" s="12">
        <f t="shared" si="28"/>
        <v>-1.7288513574647779E-2</v>
      </c>
      <c r="P173" s="12">
        <f t="shared" si="29"/>
        <v>-1.1420407156892298E-2</v>
      </c>
      <c r="Q173" s="12">
        <f t="shared" si="30"/>
        <v>3.3608146252623872E-2</v>
      </c>
      <c r="R173" s="12">
        <f t="shared" si="31"/>
        <v>2.863127487078776E-2</v>
      </c>
      <c r="S173" s="12">
        <f t="shared" si="32"/>
        <v>0</v>
      </c>
      <c r="T173" s="12">
        <f t="shared" si="33"/>
        <v>-2.6200257481410638E-2</v>
      </c>
      <c r="U173" s="12">
        <f t="shared" si="34"/>
        <v>0.1094805167207642</v>
      </c>
    </row>
    <row r="174" spans="1:21" x14ac:dyDescent="0.3">
      <c r="A174" s="13">
        <f t="shared" si="24"/>
        <v>170</v>
      </c>
      <c r="B174" s="1">
        <v>45412</v>
      </c>
      <c r="C174" s="7">
        <f t="shared" si="25"/>
        <v>2024</v>
      </c>
      <c r="D174" s="7">
        <f t="shared" si="26"/>
        <v>4</v>
      </c>
      <c r="E174" s="77">
        <v>17.1355</v>
      </c>
      <c r="F174" s="2">
        <v>52.315780639648438</v>
      </c>
      <c r="G174" s="2">
        <v>35.541957855224609</v>
      </c>
      <c r="H174" s="2">
        <v>13.84707450866699</v>
      </c>
      <c r="I174" s="2">
        <v>272.85000610351563</v>
      </c>
      <c r="J174" s="2">
        <v>14.319999694824221</v>
      </c>
      <c r="K174" s="2">
        <v>357.56503295898438</v>
      </c>
      <c r="L174" s="2">
        <v>179.53999328613281</v>
      </c>
      <c r="M174" s="2">
        <v>144.67999267578119</v>
      </c>
      <c r="N174" s="12">
        <f t="shared" si="27"/>
        <v>-5.3179065215958055E-4</v>
      </c>
      <c r="O174" s="12">
        <f t="shared" si="28"/>
        <v>2.7346928289127659E-2</v>
      </c>
      <c r="P174" s="12">
        <f t="shared" si="29"/>
        <v>-2.1367208581852815E-3</v>
      </c>
      <c r="Q174" s="12">
        <f t="shared" si="30"/>
        <v>-1.0947145637890121E-2</v>
      </c>
      <c r="R174" s="12">
        <f t="shared" si="31"/>
        <v>4.7549350029447046E-2</v>
      </c>
      <c r="S174" s="12">
        <f t="shared" si="32"/>
        <v>0</v>
      </c>
      <c r="T174" s="12">
        <f t="shared" si="33"/>
        <v>2.1012278066665724E-2</v>
      </c>
      <c r="U174" s="12">
        <f t="shared" si="34"/>
        <v>2.6536078892790194E-2</v>
      </c>
    </row>
    <row r="175" spans="1:21" x14ac:dyDescent="0.3">
      <c r="A175" s="13">
        <f t="shared" si="24"/>
        <v>171</v>
      </c>
      <c r="B175" s="1">
        <v>45411</v>
      </c>
      <c r="C175" s="7">
        <f t="shared" si="25"/>
        <v>2024</v>
      </c>
      <c r="D175" s="7">
        <f t="shared" si="26"/>
        <v>4</v>
      </c>
      <c r="E175" s="77">
        <v>17.0016</v>
      </c>
      <c r="F175" s="2">
        <v>52.343616485595703</v>
      </c>
      <c r="G175" s="2">
        <v>34.595867156982422</v>
      </c>
      <c r="H175" s="2">
        <v>13.876725196838381</v>
      </c>
      <c r="I175" s="2">
        <v>275.8699951171875</v>
      </c>
      <c r="J175" s="2">
        <v>13.670000076293951</v>
      </c>
      <c r="K175" s="2">
        <v>357.56503295898438</v>
      </c>
      <c r="L175" s="2">
        <v>177.22999572753909</v>
      </c>
      <c r="M175" s="2">
        <v>142.05000305175781</v>
      </c>
      <c r="N175" s="12">
        <f t="shared" si="27"/>
        <v>1.4740381069943798E-2</v>
      </c>
      <c r="O175" s="12">
        <f t="shared" si="28"/>
        <v>8.5299865642005646E-3</v>
      </c>
      <c r="P175" s="12">
        <f t="shared" si="29"/>
        <v>2.7818368285828621E-2</v>
      </c>
      <c r="Q175" s="12">
        <f t="shared" si="30"/>
        <v>-7.0612783085428732E-2</v>
      </c>
      <c r="R175" s="12">
        <f t="shared" si="31"/>
        <v>2.7047306185405739E-2</v>
      </c>
      <c r="S175" s="12">
        <f t="shared" si="32"/>
        <v>0</v>
      </c>
      <c r="T175" s="12">
        <f t="shared" si="33"/>
        <v>6.7524062986152877E-3</v>
      </c>
      <c r="U175" s="12">
        <f t="shared" si="34"/>
        <v>-4.1746255519454101E-2</v>
      </c>
    </row>
    <row r="176" spans="1:21" x14ac:dyDescent="0.3">
      <c r="A176" s="13">
        <f t="shared" si="24"/>
        <v>172</v>
      </c>
      <c r="B176" s="1">
        <v>45408</v>
      </c>
      <c r="C176" s="7">
        <f t="shared" si="25"/>
        <v>2024</v>
      </c>
      <c r="D176" s="7">
        <f t="shared" si="26"/>
        <v>4</v>
      </c>
      <c r="E176" s="77">
        <v>17.138999999999999</v>
      </c>
      <c r="F176" s="2">
        <v>51.583259582519531</v>
      </c>
      <c r="G176" s="2">
        <v>34.303260803222663</v>
      </c>
      <c r="H176" s="2">
        <v>13.501145362854</v>
      </c>
      <c r="I176" s="2">
        <v>296.82998657226563</v>
      </c>
      <c r="J176" s="2">
        <v>13.310000419616699</v>
      </c>
      <c r="K176" s="2">
        <v>357.56503295898438</v>
      </c>
      <c r="L176" s="2">
        <v>174.6300048828125</v>
      </c>
      <c r="M176" s="2">
        <v>147.05000305175781</v>
      </c>
      <c r="N176" s="12">
        <f t="shared" si="27"/>
        <v>1.8011650675324731E-3</v>
      </c>
      <c r="O176" s="12">
        <f t="shared" si="28"/>
        <v>1.4237813695454626E-3</v>
      </c>
      <c r="P176" s="12">
        <f t="shared" si="29"/>
        <v>-8.7082152363557874E-3</v>
      </c>
      <c r="Q176" s="12">
        <f t="shared" si="30"/>
        <v>-3.37251075451801E-2</v>
      </c>
      <c r="R176" s="12">
        <f t="shared" si="31"/>
        <v>-1.5003378997612282E-3</v>
      </c>
      <c r="S176" s="12">
        <f t="shared" si="32"/>
        <v>0</v>
      </c>
      <c r="T176" s="12">
        <f t="shared" si="33"/>
        <v>-2.8784312226843078E-2</v>
      </c>
      <c r="U176" s="12">
        <f t="shared" si="34"/>
        <v>-2.2403097825384521E-2</v>
      </c>
    </row>
    <row r="177" spans="1:21" x14ac:dyDescent="0.3">
      <c r="A177" s="13">
        <f t="shared" si="24"/>
        <v>173</v>
      </c>
      <c r="B177" s="1">
        <v>45407</v>
      </c>
      <c r="C177" s="7">
        <f t="shared" si="25"/>
        <v>2024</v>
      </c>
      <c r="D177" s="7">
        <f t="shared" si="26"/>
        <v>4</v>
      </c>
      <c r="E177" s="77">
        <v>17.195</v>
      </c>
      <c r="F177" s="2">
        <v>51.490516662597663</v>
      </c>
      <c r="G177" s="2">
        <v>34.254489898681641</v>
      </c>
      <c r="H177" s="2">
        <v>13.619749069213871</v>
      </c>
      <c r="I177" s="2">
        <v>307.19000244140619</v>
      </c>
      <c r="J177" s="2">
        <v>13.329999923706049</v>
      </c>
      <c r="K177" s="2">
        <v>357.56503295898438</v>
      </c>
      <c r="L177" s="2">
        <v>179.2200012207031</v>
      </c>
      <c r="M177" s="2">
        <v>149.92999267578119</v>
      </c>
      <c r="N177" s="12">
        <f t="shared" si="27"/>
        <v>5.2494730381653643E-3</v>
      </c>
      <c r="O177" s="12">
        <f t="shared" si="28"/>
        <v>2.4205376491136521E-2</v>
      </c>
      <c r="P177" s="12">
        <f t="shared" si="29"/>
        <v>-7.9193661506105073E-3</v>
      </c>
      <c r="Q177" s="12">
        <f t="shared" si="30"/>
        <v>1.0559876765128706E-2</v>
      </c>
      <c r="R177" s="12">
        <f t="shared" si="31"/>
        <v>4.6310844834191567E-2</v>
      </c>
      <c r="S177" s="12">
        <f t="shared" si="32"/>
        <v>-0.14154694141015078</v>
      </c>
      <c r="T177" s="12">
        <f t="shared" si="33"/>
        <v>-3.283232311565909E-3</v>
      </c>
      <c r="U177" s="12">
        <f t="shared" si="34"/>
        <v>-2.7626801253504696E-2</v>
      </c>
    </row>
    <row r="178" spans="1:21" x14ac:dyDescent="0.3">
      <c r="A178" s="13">
        <f t="shared" si="24"/>
        <v>174</v>
      </c>
      <c r="B178" s="1">
        <v>45406</v>
      </c>
      <c r="C178" s="7">
        <f t="shared" si="25"/>
        <v>2024</v>
      </c>
      <c r="D178" s="7">
        <f t="shared" si="26"/>
        <v>4</v>
      </c>
      <c r="E178" s="77">
        <v>17.055599999999998</v>
      </c>
      <c r="F178" s="2">
        <v>51.221630096435547</v>
      </c>
      <c r="G178" s="2">
        <v>33.444942474365227</v>
      </c>
      <c r="H178" s="2">
        <v>13.728469848632811</v>
      </c>
      <c r="I178" s="2">
        <v>303.98001098632813</v>
      </c>
      <c r="J178" s="2">
        <v>12.739999771118161</v>
      </c>
      <c r="K178" s="2">
        <v>416.52252197265619</v>
      </c>
      <c r="L178" s="2">
        <v>181.2799987792969</v>
      </c>
      <c r="M178" s="2">
        <v>155.44999694824219</v>
      </c>
      <c r="N178" s="12">
        <f t="shared" si="27"/>
        <v>-7.1890098332884067E-3</v>
      </c>
      <c r="O178" s="12">
        <f t="shared" si="28"/>
        <v>-2.9436851614520365E-2</v>
      </c>
      <c r="P178" s="12">
        <f t="shared" si="29"/>
        <v>-3.2055771620378648E-2</v>
      </c>
      <c r="Q178" s="12">
        <f t="shared" si="30"/>
        <v>1.4111796451469871E-2</v>
      </c>
      <c r="R178" s="12">
        <f t="shared" si="31"/>
        <v>5.9019123350521729E-2</v>
      </c>
      <c r="S178" s="12">
        <f t="shared" si="32"/>
        <v>0</v>
      </c>
      <c r="T178" s="12">
        <f t="shared" si="33"/>
        <v>-4.3212057084091038E-3</v>
      </c>
      <c r="U178" s="12">
        <f t="shared" si="34"/>
        <v>-3.7550760273460382E-3</v>
      </c>
    </row>
    <row r="179" spans="1:21" x14ac:dyDescent="0.3">
      <c r="A179" s="13">
        <f t="shared" si="24"/>
        <v>175</v>
      </c>
      <c r="B179" s="1">
        <v>45405</v>
      </c>
      <c r="C179" s="7">
        <f t="shared" si="25"/>
        <v>2024</v>
      </c>
      <c r="D179" s="7">
        <f t="shared" si="26"/>
        <v>4</v>
      </c>
      <c r="E179" s="77">
        <v>16.939</v>
      </c>
      <c r="F179" s="2">
        <v>51.592529296875</v>
      </c>
      <c r="G179" s="2">
        <v>34.459316253662109</v>
      </c>
      <c r="H179" s="2">
        <v>14.183120727539061</v>
      </c>
      <c r="I179" s="2">
        <v>299.75</v>
      </c>
      <c r="J179" s="2">
        <v>12.02999973297119</v>
      </c>
      <c r="K179" s="2">
        <v>416.52252197265619</v>
      </c>
      <c r="L179" s="2">
        <v>183.32000732421881</v>
      </c>
      <c r="M179" s="2">
        <v>157.11000061035159</v>
      </c>
      <c r="N179" s="12">
        <f t="shared" si="27"/>
        <v>-2.3308771513107507E-3</v>
      </c>
      <c r="O179" s="12">
        <f t="shared" si="28"/>
        <v>-1.0086955568827327E-2</v>
      </c>
      <c r="P179" s="12">
        <f t="shared" si="29"/>
        <v>2.0625906862622001E-2</v>
      </c>
      <c r="Q179" s="12">
        <f t="shared" si="30"/>
        <v>-2.3647469250814956E-2</v>
      </c>
      <c r="R179" s="12">
        <f t="shared" si="31"/>
        <v>-8.3058379680434058E-4</v>
      </c>
      <c r="S179" s="12">
        <f t="shared" si="32"/>
        <v>0</v>
      </c>
      <c r="T179" s="12">
        <f t="shared" si="33"/>
        <v>-1.2863519936322843E-2</v>
      </c>
      <c r="U179" s="12">
        <f t="shared" si="34"/>
        <v>-3.8005900188602393E-2</v>
      </c>
    </row>
    <row r="180" spans="1:21" x14ac:dyDescent="0.3">
      <c r="A180" s="13">
        <f t="shared" si="24"/>
        <v>176</v>
      </c>
      <c r="B180" s="1">
        <v>45404</v>
      </c>
      <c r="C180" s="7">
        <f t="shared" si="25"/>
        <v>2024</v>
      </c>
      <c r="D180" s="7">
        <f t="shared" si="26"/>
        <v>4</v>
      </c>
      <c r="E180" s="77">
        <v>17.131699999999999</v>
      </c>
      <c r="F180" s="2">
        <v>51.713066101074219</v>
      </c>
      <c r="G180" s="2">
        <v>34.810447692871087</v>
      </c>
      <c r="H180" s="2">
        <v>13.896492958068849</v>
      </c>
      <c r="I180" s="2">
        <v>307.010009765625</v>
      </c>
      <c r="J180" s="2">
        <v>12.039999961853029</v>
      </c>
      <c r="K180" s="2">
        <v>416.52252197265619</v>
      </c>
      <c r="L180" s="2">
        <v>183.6199951171875</v>
      </c>
      <c r="M180" s="2">
        <v>161.47999572753909</v>
      </c>
      <c r="N180" s="12">
        <f t="shared" si="27"/>
        <v>-1.0292866000732537E-2</v>
      </c>
      <c r="O180" s="12">
        <f t="shared" si="28"/>
        <v>-1.5991015399015374E-2</v>
      </c>
      <c r="P180" s="12">
        <f t="shared" si="29"/>
        <v>-1.4025220577712383E-2</v>
      </c>
      <c r="Q180" s="12">
        <f t="shared" si="30"/>
        <v>-5.9693691376339952E-2</v>
      </c>
      <c r="R180" s="12">
        <f t="shared" si="31"/>
        <v>2.5553679436425947E-2</v>
      </c>
      <c r="S180" s="12">
        <f t="shared" si="32"/>
        <v>0</v>
      </c>
      <c r="T180" s="12">
        <f t="shared" si="33"/>
        <v>-1.0614990529185797E-2</v>
      </c>
      <c r="U180" s="12">
        <f t="shared" si="34"/>
        <v>-5.3201881678427543E-2</v>
      </c>
    </row>
    <row r="181" spans="1:21" x14ac:dyDescent="0.3">
      <c r="A181" s="13">
        <f t="shared" si="24"/>
        <v>177</v>
      </c>
      <c r="B181" s="1">
        <v>45401</v>
      </c>
      <c r="C181" s="7">
        <f t="shared" si="25"/>
        <v>2024</v>
      </c>
      <c r="D181" s="7">
        <f t="shared" si="26"/>
        <v>4</v>
      </c>
      <c r="E181" s="77">
        <v>17.082000000000001</v>
      </c>
      <c r="F181" s="2">
        <v>52.250877380371087</v>
      </c>
      <c r="G181" s="2">
        <v>35.376148223876953</v>
      </c>
      <c r="H181" s="2">
        <v>14.09416675567627</v>
      </c>
      <c r="I181" s="2">
        <v>326.5</v>
      </c>
      <c r="J181" s="2">
        <v>11.739999771118161</v>
      </c>
      <c r="K181" s="2">
        <v>416.52252197265619</v>
      </c>
      <c r="L181" s="2">
        <v>186.1300048828125</v>
      </c>
      <c r="M181" s="2">
        <v>171.05000305175781</v>
      </c>
      <c r="N181" s="12">
        <f t="shared" si="27"/>
        <v>-4.2410388444205083E-3</v>
      </c>
      <c r="O181" s="12">
        <f t="shared" si="28"/>
        <v>-1.999471195364777E-2</v>
      </c>
      <c r="P181" s="12">
        <f t="shared" si="29"/>
        <v>-6.2718194092553636E-3</v>
      </c>
      <c r="Q181" s="12">
        <f t="shared" si="30"/>
        <v>2.7408009128288668E-2</v>
      </c>
      <c r="R181" s="12">
        <f t="shared" si="31"/>
        <v>-4.8622396600530027E-2</v>
      </c>
      <c r="S181" s="12">
        <f t="shared" si="32"/>
        <v>0</v>
      </c>
      <c r="T181" s="12">
        <f t="shared" si="33"/>
        <v>-1.5042015321809155E-2</v>
      </c>
      <c r="U181" s="12">
        <f t="shared" si="34"/>
        <v>-1.993058386046509E-2</v>
      </c>
    </row>
    <row r="182" spans="1:21" x14ac:dyDescent="0.3">
      <c r="A182" s="13">
        <f t="shared" si="24"/>
        <v>178</v>
      </c>
      <c r="B182" s="1">
        <v>45400</v>
      </c>
      <c r="C182" s="7">
        <f t="shared" si="25"/>
        <v>2024</v>
      </c>
      <c r="D182" s="7">
        <f t="shared" si="26"/>
        <v>4</v>
      </c>
      <c r="E182" s="77">
        <v>17.074999999999999</v>
      </c>
      <c r="F182" s="2">
        <v>52.473419189453118</v>
      </c>
      <c r="G182" s="2">
        <v>36.097915649414063</v>
      </c>
      <c r="H182" s="2">
        <v>14.183120727539061</v>
      </c>
      <c r="I182" s="2">
        <v>317.79000854492188</v>
      </c>
      <c r="J182" s="2">
        <v>12.340000152587891</v>
      </c>
      <c r="K182" s="2">
        <v>416.52252197265619</v>
      </c>
      <c r="L182" s="2">
        <v>189.05000305175781</v>
      </c>
      <c r="M182" s="2">
        <v>174.6000061035156</v>
      </c>
      <c r="N182" s="12">
        <f t="shared" si="27"/>
        <v>3.902828140035286E-3</v>
      </c>
      <c r="O182" s="12">
        <f t="shared" si="28"/>
        <v>4.0696066782548446E-3</v>
      </c>
      <c r="P182" s="12">
        <f t="shared" si="29"/>
        <v>1.6288963456435157E-2</v>
      </c>
      <c r="Q182" s="12">
        <f t="shared" si="30"/>
        <v>2.5553584785151795E-3</v>
      </c>
      <c r="R182" s="12">
        <f t="shared" si="31"/>
        <v>-2.5276437494557435E-2</v>
      </c>
      <c r="S182" s="12">
        <f t="shared" si="32"/>
        <v>0</v>
      </c>
      <c r="T182" s="12">
        <f t="shared" si="33"/>
        <v>2.3745970391661153E-2</v>
      </c>
      <c r="U182" s="12">
        <f t="shared" si="34"/>
        <v>2.360860749074245E-2</v>
      </c>
    </row>
    <row r="183" spans="1:21" x14ac:dyDescent="0.3">
      <c r="A183" s="13">
        <f t="shared" si="24"/>
        <v>179</v>
      </c>
      <c r="B183" s="1">
        <v>45399</v>
      </c>
      <c r="C183" s="7">
        <f t="shared" si="25"/>
        <v>2024</v>
      </c>
      <c r="D183" s="7">
        <f t="shared" si="26"/>
        <v>4</v>
      </c>
      <c r="E183" s="77">
        <v>16.957000000000001</v>
      </c>
      <c r="F183" s="2">
        <v>52.269420623779297</v>
      </c>
      <c r="G183" s="2">
        <v>35.951606750488281</v>
      </c>
      <c r="H183" s="2">
        <v>13.955795288085939</v>
      </c>
      <c r="I183" s="2">
        <v>316.98001098632813</v>
      </c>
      <c r="J183" s="2">
        <v>12.659999847412109</v>
      </c>
      <c r="K183" s="2">
        <v>416.52252197265619</v>
      </c>
      <c r="L183" s="2">
        <v>185.94999694824219</v>
      </c>
      <c r="M183" s="2">
        <v>171.75999450683591</v>
      </c>
      <c r="N183" s="12">
        <f t="shared" si="27"/>
        <v>-1.6402086169115648E-2</v>
      </c>
      <c r="O183" s="12">
        <f t="shared" si="28"/>
        <v>-2.5125685318841517E-2</v>
      </c>
      <c r="P183" s="12">
        <f t="shared" si="29"/>
        <v>-1.8763022985495703E-2</v>
      </c>
      <c r="Q183" s="12">
        <f t="shared" si="30"/>
        <v>-3.0256628869571478E-2</v>
      </c>
      <c r="R183" s="12">
        <f t="shared" si="31"/>
        <v>1.1990376961302118E-2</v>
      </c>
      <c r="S183" s="12">
        <f t="shared" si="32"/>
        <v>0</v>
      </c>
      <c r="T183" s="12">
        <f t="shared" si="33"/>
        <v>-4.1299521975231013E-3</v>
      </c>
      <c r="U183" s="12">
        <f t="shared" si="34"/>
        <v>-3.4412790998796017E-2</v>
      </c>
    </row>
    <row r="184" spans="1:21" x14ac:dyDescent="0.3">
      <c r="A184" s="13">
        <f t="shared" si="24"/>
        <v>180</v>
      </c>
      <c r="B184" s="1">
        <v>45398</v>
      </c>
      <c r="C184" s="7">
        <f t="shared" si="25"/>
        <v>2024</v>
      </c>
      <c r="D184" s="7">
        <f t="shared" si="26"/>
        <v>4</v>
      </c>
      <c r="E184" s="77">
        <v>17.053000000000001</v>
      </c>
      <c r="F184" s="2">
        <v>53.141044616699219</v>
      </c>
      <c r="G184" s="2">
        <v>36.878196716308587</v>
      </c>
      <c r="H184" s="2">
        <v>14.22265529632568</v>
      </c>
      <c r="I184" s="2">
        <v>326.8699951171875</v>
      </c>
      <c r="J184" s="2">
        <v>12.510000228881839</v>
      </c>
      <c r="K184" s="2">
        <v>416.52252197265619</v>
      </c>
      <c r="L184" s="2">
        <v>185.66999816894531</v>
      </c>
      <c r="M184" s="2">
        <v>176.8800048828125</v>
      </c>
      <c r="N184" s="12">
        <f t="shared" si="27"/>
        <v>-6.7590918051920745E-3</v>
      </c>
      <c r="O184" s="12">
        <f t="shared" si="28"/>
        <v>-1.4594852782434331E-2</v>
      </c>
      <c r="P184" s="12">
        <f t="shared" si="29"/>
        <v>-7.5862065753027341E-3</v>
      </c>
      <c r="Q184" s="12">
        <f t="shared" si="30"/>
        <v>2.7311592939349927E-2</v>
      </c>
      <c r="R184" s="12">
        <f t="shared" si="31"/>
        <v>-2.0360236457451331E-2</v>
      </c>
      <c r="S184" s="12">
        <f t="shared" si="32"/>
        <v>3.5928649308525351E-4</v>
      </c>
      <c r="T184" s="12">
        <f t="shared" si="33"/>
        <v>2.2376357877590625E-2</v>
      </c>
      <c r="U184" s="12">
        <f t="shared" si="34"/>
        <v>4.2724221257208317E-2</v>
      </c>
    </row>
    <row r="185" spans="1:21" x14ac:dyDescent="0.3">
      <c r="A185" s="13">
        <f t="shared" si="24"/>
        <v>181</v>
      </c>
      <c r="B185" s="1">
        <v>45397</v>
      </c>
      <c r="C185" s="7">
        <f t="shared" si="25"/>
        <v>2024</v>
      </c>
      <c r="D185" s="7">
        <f t="shared" si="26"/>
        <v>4</v>
      </c>
      <c r="E185" s="77">
        <v>16.722999999999999</v>
      </c>
      <c r="F185" s="2">
        <v>53.502674102783203</v>
      </c>
      <c r="G185" s="2">
        <v>37.424400329589837</v>
      </c>
      <c r="H185" s="2">
        <v>14.331376075744631</v>
      </c>
      <c r="I185" s="2">
        <v>318.17999267578119</v>
      </c>
      <c r="J185" s="2">
        <v>12.77000045776367</v>
      </c>
      <c r="K185" s="2">
        <v>416.3729248046875</v>
      </c>
      <c r="L185" s="2">
        <v>185.19000244140619</v>
      </c>
      <c r="M185" s="2">
        <v>172.97999572753909</v>
      </c>
      <c r="N185" s="12">
        <f t="shared" si="27"/>
        <v>-1.0388184037166681E-3</v>
      </c>
      <c r="O185" s="12">
        <f t="shared" si="28"/>
        <v>-2.1173329044444689E-2</v>
      </c>
      <c r="P185" s="12">
        <f t="shared" si="29"/>
        <v>-6.8493684826613777E-3</v>
      </c>
      <c r="Q185" s="12">
        <f t="shared" si="30"/>
        <v>2.4767311936856107E-2</v>
      </c>
      <c r="R185" s="12">
        <f t="shared" si="31"/>
        <v>-1.844733027639589E-2</v>
      </c>
      <c r="S185" s="12">
        <f t="shared" si="32"/>
        <v>0</v>
      </c>
      <c r="T185" s="12">
        <f t="shared" si="33"/>
        <v>6.8497477050863953E-3</v>
      </c>
      <c r="U185" s="12">
        <f t="shared" si="34"/>
        <v>5.5500425675354403E-2</v>
      </c>
    </row>
    <row r="186" spans="1:21" x14ac:dyDescent="0.3">
      <c r="A186" s="13">
        <f t="shared" si="24"/>
        <v>182</v>
      </c>
      <c r="B186" s="1">
        <v>45394</v>
      </c>
      <c r="C186" s="7">
        <f t="shared" si="25"/>
        <v>2024</v>
      </c>
      <c r="D186" s="7">
        <f t="shared" si="26"/>
        <v>4</v>
      </c>
      <c r="E186" s="77">
        <v>16.62</v>
      </c>
      <c r="F186" s="2">
        <v>53.558311462402337</v>
      </c>
      <c r="G186" s="2">
        <v>38.233940124511719</v>
      </c>
      <c r="H186" s="2">
        <v>14.43021392822266</v>
      </c>
      <c r="I186" s="2">
        <v>310.489990234375</v>
      </c>
      <c r="J186" s="2">
        <v>13.010000228881839</v>
      </c>
      <c r="K186" s="2">
        <v>416.3729248046875</v>
      </c>
      <c r="L186" s="2">
        <v>185.07000732421881</v>
      </c>
      <c r="M186" s="2">
        <v>164.8999938964844</v>
      </c>
      <c r="N186" s="12">
        <f t="shared" si="27"/>
        <v>2.9518522762306265E-3</v>
      </c>
      <c r="O186" s="12">
        <f t="shared" si="28"/>
        <v>1.528098059703531E-2</v>
      </c>
      <c r="P186" s="12">
        <f t="shared" si="29"/>
        <v>-7.477905472798918E-3</v>
      </c>
      <c r="Q186" s="12">
        <f t="shared" si="30"/>
        <v>6.5182341200543004E-2</v>
      </c>
      <c r="R186" s="12">
        <f t="shared" si="31"/>
        <v>2.3113010557427316E-3</v>
      </c>
      <c r="S186" s="12">
        <f t="shared" si="32"/>
        <v>0</v>
      </c>
      <c r="T186" s="12">
        <f t="shared" si="33"/>
        <v>3.978451630246127E-2</v>
      </c>
      <c r="U186" s="12">
        <f t="shared" si="34"/>
        <v>-2.5403032695772265E-2</v>
      </c>
    </row>
    <row r="187" spans="1:21" x14ac:dyDescent="0.3">
      <c r="A187" s="13">
        <f t="shared" si="24"/>
        <v>183</v>
      </c>
      <c r="B187" s="1">
        <v>45393</v>
      </c>
      <c r="C187" s="7">
        <f t="shared" si="25"/>
        <v>2024</v>
      </c>
      <c r="D187" s="7">
        <f t="shared" si="26"/>
        <v>4</v>
      </c>
      <c r="E187" s="77">
        <v>16.4343</v>
      </c>
      <c r="F187" s="2">
        <v>53.400680541992188</v>
      </c>
      <c r="G187" s="2">
        <v>37.658481597900391</v>
      </c>
      <c r="H187" s="2">
        <v>14.5389347076416</v>
      </c>
      <c r="I187" s="2">
        <v>291.489990234375</v>
      </c>
      <c r="J187" s="2">
        <v>12.97999954223633</v>
      </c>
      <c r="K187" s="2">
        <v>416.3729248046875</v>
      </c>
      <c r="L187" s="2">
        <v>180</v>
      </c>
      <c r="M187" s="2">
        <v>171.11000061035159</v>
      </c>
      <c r="N187" s="12">
        <f t="shared" si="27"/>
        <v>6.4662261424137668E-3</v>
      </c>
      <c r="O187" s="12">
        <f t="shared" si="28"/>
        <v>2.2239846431216792E-2</v>
      </c>
      <c r="P187" s="12">
        <f t="shared" si="29"/>
        <v>-2.7759331249083141E-2</v>
      </c>
      <c r="Q187" s="12">
        <f t="shared" si="30"/>
        <v>3.5120681521660924E-2</v>
      </c>
      <c r="R187" s="12">
        <f t="shared" si="31"/>
        <v>-8.4034078738962625E-3</v>
      </c>
      <c r="S187" s="12">
        <f t="shared" si="32"/>
        <v>-7.1999965175448044E-2</v>
      </c>
      <c r="T187" s="12">
        <f t="shared" si="33"/>
        <v>-1.1750774789290319E-2</v>
      </c>
      <c r="U187" s="12">
        <f t="shared" si="34"/>
        <v>1.7718114269423602E-2</v>
      </c>
    </row>
    <row r="188" spans="1:21" x14ac:dyDescent="0.3">
      <c r="A188" s="13">
        <f t="shared" si="24"/>
        <v>184</v>
      </c>
      <c r="B188" s="1">
        <v>45392</v>
      </c>
      <c r="C188" s="7">
        <f t="shared" si="25"/>
        <v>2024</v>
      </c>
      <c r="D188" s="7">
        <f t="shared" si="26"/>
        <v>4</v>
      </c>
      <c r="E188" s="77">
        <v>16.41</v>
      </c>
      <c r="F188" s="2">
        <v>53.057598114013672</v>
      </c>
      <c r="G188" s="2">
        <v>36.839183807373047</v>
      </c>
      <c r="H188" s="2">
        <v>14.954049110412599</v>
      </c>
      <c r="I188" s="2">
        <v>281.60000610351563</v>
      </c>
      <c r="J188" s="2">
        <v>13.090000152587891</v>
      </c>
      <c r="K188" s="2">
        <v>448.67770385742188</v>
      </c>
      <c r="L188" s="2">
        <v>182.4100036621094</v>
      </c>
      <c r="M188" s="2">
        <v>168.3800048828125</v>
      </c>
      <c r="N188" s="12">
        <f t="shared" si="27"/>
        <v>-3.4915505984833839E-4</v>
      </c>
      <c r="O188" s="12">
        <f t="shared" si="28"/>
        <v>-3.4300922252001875E-3</v>
      </c>
      <c r="P188" s="12">
        <f t="shared" si="29"/>
        <v>8.6666902101140142E-3</v>
      </c>
      <c r="Q188" s="12">
        <f t="shared" si="30"/>
        <v>6.638390689243967E-2</v>
      </c>
      <c r="R188" s="12">
        <f t="shared" si="31"/>
        <v>2.2656246682163594E-2</v>
      </c>
      <c r="S188" s="12">
        <f t="shared" si="32"/>
        <v>0</v>
      </c>
      <c r="T188" s="12">
        <f t="shared" si="33"/>
        <v>1.1207499333693471E-2</v>
      </c>
      <c r="U188" s="12">
        <f t="shared" si="34"/>
        <v>1.2192381575035549E-2</v>
      </c>
    </row>
    <row r="189" spans="1:21" x14ac:dyDescent="0.3">
      <c r="A189" s="13">
        <f t="shared" si="24"/>
        <v>185</v>
      </c>
      <c r="B189" s="1">
        <v>45391</v>
      </c>
      <c r="C189" s="7">
        <f t="shared" si="25"/>
        <v>2024</v>
      </c>
      <c r="D189" s="7">
        <f t="shared" si="26"/>
        <v>4</v>
      </c>
      <c r="E189" s="77">
        <v>16.3826</v>
      </c>
      <c r="F189" s="2">
        <v>53.076129913330078</v>
      </c>
      <c r="G189" s="2">
        <v>36.965980529785163</v>
      </c>
      <c r="H189" s="2">
        <v>14.82556056976318</v>
      </c>
      <c r="I189" s="2">
        <v>264.07000732421881</v>
      </c>
      <c r="J189" s="2">
        <v>12.80000019073486</v>
      </c>
      <c r="K189" s="2">
        <v>448.67770385742188</v>
      </c>
      <c r="L189" s="2">
        <v>180.69000244140619</v>
      </c>
      <c r="M189" s="2">
        <v>166.6300048828125</v>
      </c>
      <c r="N189" s="12">
        <f t="shared" si="27"/>
        <v>-1.7441653150163106E-3</v>
      </c>
      <c r="O189" s="12">
        <f t="shared" si="28"/>
        <v>-2.8939546958464124E-3</v>
      </c>
      <c r="P189" s="12">
        <f t="shared" si="29"/>
        <v>-5.3051324558719415E-3</v>
      </c>
      <c r="Q189" s="12">
        <f t="shared" si="30"/>
        <v>2.0718240679434174E-2</v>
      </c>
      <c r="R189" s="12">
        <f t="shared" si="31"/>
        <v>2.4000015258788698E-2</v>
      </c>
      <c r="S189" s="12">
        <f t="shared" si="32"/>
        <v>-4.0511755047988429E-2</v>
      </c>
      <c r="T189" s="12">
        <f t="shared" si="33"/>
        <v>2.7127236451613967E-3</v>
      </c>
      <c r="U189" s="12">
        <f t="shared" si="34"/>
        <v>-4.4966689798803028E-2</v>
      </c>
    </row>
    <row r="190" spans="1:21" x14ac:dyDescent="0.3">
      <c r="A190" s="13">
        <f t="shared" si="24"/>
        <v>186</v>
      </c>
      <c r="B190" s="1">
        <v>45390</v>
      </c>
      <c r="C190" s="7">
        <f t="shared" si="25"/>
        <v>2024</v>
      </c>
      <c r="D190" s="7">
        <f t="shared" si="26"/>
        <v>4</v>
      </c>
      <c r="E190" s="77">
        <v>16.312999999999999</v>
      </c>
      <c r="F190" s="2">
        <v>53.168865203857422</v>
      </c>
      <c r="G190" s="2">
        <v>37.073268890380859</v>
      </c>
      <c r="H190" s="2">
        <v>14.90463161468506</v>
      </c>
      <c r="I190" s="2">
        <v>258.70999145507813</v>
      </c>
      <c r="J190" s="2">
        <v>12.5</v>
      </c>
      <c r="K190" s="2">
        <v>467.62188720703119</v>
      </c>
      <c r="L190" s="2">
        <v>180.9700012207031</v>
      </c>
      <c r="M190" s="2">
        <v>175.2200012207031</v>
      </c>
      <c r="N190" s="12">
        <f t="shared" si="27"/>
        <v>5.0832862985850102E-3</v>
      </c>
      <c r="O190" s="12">
        <f t="shared" si="28"/>
        <v>-2.7379783483319931E-2</v>
      </c>
      <c r="P190" s="12">
        <f t="shared" si="29"/>
        <v>2.6548676635281154E-2</v>
      </c>
      <c r="Q190" s="12">
        <f t="shared" si="30"/>
        <v>9.6414579140092549E-2</v>
      </c>
      <c r="R190" s="12">
        <f t="shared" si="31"/>
        <v>2.7115852229850024E-2</v>
      </c>
      <c r="S190" s="12">
        <f t="shared" si="32"/>
        <v>0</v>
      </c>
      <c r="T190" s="12">
        <f t="shared" si="33"/>
        <v>-2.0235458156595554E-3</v>
      </c>
      <c r="U190" s="12">
        <f t="shared" si="34"/>
        <v>-3.3732473112187966E-2</v>
      </c>
    </row>
    <row r="191" spans="1:21" x14ac:dyDescent="0.3">
      <c r="A191" s="13">
        <f t="shared" si="24"/>
        <v>187</v>
      </c>
      <c r="B191" s="1">
        <v>45387</v>
      </c>
      <c r="C191" s="7">
        <f t="shared" si="25"/>
        <v>2024</v>
      </c>
      <c r="D191" s="7">
        <f t="shared" si="26"/>
        <v>4</v>
      </c>
      <c r="E191" s="77">
        <v>16.4497</v>
      </c>
      <c r="F191" s="2">
        <v>52.899959564208977</v>
      </c>
      <c r="G191" s="2">
        <v>38.116901397705078</v>
      </c>
      <c r="H191" s="2">
        <v>14.519166946411129</v>
      </c>
      <c r="I191" s="2">
        <v>235.96000671386719</v>
      </c>
      <c r="J191" s="2">
        <v>12.170000076293951</v>
      </c>
      <c r="K191" s="2">
        <v>467.62188720703119</v>
      </c>
      <c r="L191" s="2">
        <v>179.83000183105469</v>
      </c>
      <c r="M191" s="2">
        <v>179.83000183105469</v>
      </c>
      <c r="N191" s="12">
        <f t="shared" si="27"/>
        <v>2.107855060738073E-3</v>
      </c>
      <c r="O191" s="12">
        <f t="shared" si="28"/>
        <v>5.1440602435575133E-3</v>
      </c>
      <c r="P191" s="12">
        <f t="shared" si="29"/>
        <v>2.0464205477153108E-3</v>
      </c>
      <c r="Q191" s="12">
        <f t="shared" si="30"/>
        <v>2.3598830212481436E-2</v>
      </c>
      <c r="R191" s="12">
        <f t="shared" si="31"/>
        <v>9.9584965692662841E-3</v>
      </c>
      <c r="S191" s="12">
        <f t="shared" si="32"/>
        <v>0</v>
      </c>
      <c r="T191" s="12">
        <f t="shared" si="33"/>
        <v>4.7973943366708127E-4</v>
      </c>
      <c r="U191" s="12">
        <f t="shared" si="34"/>
        <v>4.0273677755036097E-3</v>
      </c>
    </row>
    <row r="192" spans="1:21" x14ac:dyDescent="0.3">
      <c r="A192" s="13">
        <f t="shared" si="24"/>
        <v>188</v>
      </c>
      <c r="B192" s="1">
        <v>45386</v>
      </c>
      <c r="C192" s="7">
        <f t="shared" si="25"/>
        <v>2024</v>
      </c>
      <c r="D192" s="7">
        <f t="shared" si="26"/>
        <v>4</v>
      </c>
      <c r="E192" s="77">
        <v>16.582899999999999</v>
      </c>
      <c r="F192" s="2">
        <v>52.788688659667969</v>
      </c>
      <c r="G192" s="2">
        <v>37.921829223632813</v>
      </c>
      <c r="H192" s="2">
        <v>14.48951530456543</v>
      </c>
      <c r="I192" s="2">
        <v>230.52000427246091</v>
      </c>
      <c r="J192" s="2">
        <v>12.05000019073486</v>
      </c>
      <c r="K192" s="2">
        <v>467.62188720703119</v>
      </c>
      <c r="L192" s="2">
        <v>178.30000305175781</v>
      </c>
      <c r="M192" s="2">
        <v>177.66999816894531</v>
      </c>
      <c r="N192" s="12">
        <f t="shared" si="27"/>
        <v>1.1189978708233239E-2</v>
      </c>
      <c r="O192" s="12">
        <f t="shared" si="28"/>
        <v>1.0298312726133574E-3</v>
      </c>
      <c r="P192" s="12">
        <f t="shared" si="29"/>
        <v>1.6643506726530921E-2</v>
      </c>
      <c r="Q192" s="12">
        <f t="shared" si="30"/>
        <v>1.4166305224245335E-2</v>
      </c>
      <c r="R192" s="12">
        <f t="shared" si="31"/>
        <v>5.0042052345347088E-3</v>
      </c>
      <c r="S192" s="12">
        <f t="shared" si="32"/>
        <v>0</v>
      </c>
      <c r="T192" s="12">
        <f t="shared" si="33"/>
        <v>-4.9116569770134566E-3</v>
      </c>
      <c r="U192" s="12">
        <f t="shared" si="34"/>
        <v>3.2239237772031526E-2</v>
      </c>
    </row>
    <row r="193" spans="1:21" x14ac:dyDescent="0.3">
      <c r="A193" s="13">
        <f t="shared" si="24"/>
        <v>189</v>
      </c>
      <c r="B193" s="1">
        <v>45385</v>
      </c>
      <c r="C193" s="7">
        <f t="shared" si="25"/>
        <v>2024</v>
      </c>
      <c r="D193" s="7">
        <f t="shared" si="26"/>
        <v>4</v>
      </c>
      <c r="E193" s="77">
        <v>16.533999999999999</v>
      </c>
      <c r="F193" s="2">
        <v>52.204521179199219</v>
      </c>
      <c r="G193" s="2">
        <v>37.882816314697273</v>
      </c>
      <c r="H193" s="2">
        <v>14.25230693817139</v>
      </c>
      <c r="I193" s="2">
        <v>227.30000305175781</v>
      </c>
      <c r="J193" s="2">
        <v>11.989999771118161</v>
      </c>
      <c r="K193" s="2">
        <v>467.62188720703119</v>
      </c>
      <c r="L193" s="2">
        <v>179.71000671386719</v>
      </c>
      <c r="M193" s="2">
        <v>172.6300048828125</v>
      </c>
      <c r="N193" s="12">
        <f t="shared" si="27"/>
        <v>2.8762166268436751E-4</v>
      </c>
      <c r="O193" s="12">
        <f t="shared" si="28"/>
        <v>-1.044583060097215E-2</v>
      </c>
      <c r="P193" s="12">
        <f t="shared" si="29"/>
        <v>-6.9294596652957896E-4</v>
      </c>
      <c r="Q193" s="12">
        <f t="shared" si="30"/>
        <v>2.4473827259527736E-2</v>
      </c>
      <c r="R193" s="12">
        <f t="shared" si="31"/>
        <v>-1.5599386641795054E-2</v>
      </c>
      <c r="S193" s="12">
        <f t="shared" si="32"/>
        <v>0</v>
      </c>
      <c r="T193" s="12">
        <f t="shared" si="33"/>
        <v>3.7249054845780449E-3</v>
      </c>
      <c r="U193" s="12">
        <f t="shared" si="34"/>
        <v>9.5598546986661592E-3</v>
      </c>
    </row>
    <row r="194" spans="1:21" x14ac:dyDescent="0.3">
      <c r="A194" s="13">
        <f t="shared" si="24"/>
        <v>190</v>
      </c>
      <c r="B194" s="1">
        <v>45384</v>
      </c>
      <c r="C194" s="7">
        <f t="shared" si="25"/>
        <v>2024</v>
      </c>
      <c r="D194" s="7">
        <f t="shared" si="26"/>
        <v>4</v>
      </c>
      <c r="E194" s="77">
        <v>16.55</v>
      </c>
      <c r="F194" s="2">
        <v>52.189510345458977</v>
      </c>
      <c r="G194" s="2">
        <v>38.282711029052727</v>
      </c>
      <c r="H194" s="2">
        <v>14.262189865112299</v>
      </c>
      <c r="I194" s="2">
        <v>221.8699951171875</v>
      </c>
      <c r="J194" s="2">
        <v>12.180000305175779</v>
      </c>
      <c r="K194" s="2">
        <v>467.62188720703119</v>
      </c>
      <c r="L194" s="2">
        <v>178.8699951171875</v>
      </c>
      <c r="M194" s="2">
        <v>170.83000183105469</v>
      </c>
      <c r="N194" s="12">
        <f t="shared" si="27"/>
        <v>-8.8722118148754081E-4</v>
      </c>
      <c r="O194" s="12">
        <f t="shared" si="28"/>
        <v>9.516466183414396E-3</v>
      </c>
      <c r="P194" s="12">
        <f t="shared" si="29"/>
        <v>1.7630433532628942E-2</v>
      </c>
      <c r="Q194" s="12">
        <f t="shared" si="30"/>
        <v>-2.9694780180951508E-2</v>
      </c>
      <c r="R194" s="12">
        <f t="shared" si="31"/>
        <v>0</v>
      </c>
      <c r="S194" s="12">
        <f t="shared" si="32"/>
        <v>-1.8807817323846843E-2</v>
      </c>
      <c r="T194" s="12">
        <f t="shared" si="33"/>
        <v>3.062624210721232E-4</v>
      </c>
      <c r="U194" s="12">
        <f t="shared" si="34"/>
        <v>-1.519231103355756E-2</v>
      </c>
    </row>
    <row r="195" spans="1:21" x14ac:dyDescent="0.3">
      <c r="A195" s="13">
        <f t="shared" si="24"/>
        <v>191</v>
      </c>
      <c r="B195" s="1">
        <v>45383</v>
      </c>
      <c r="C195" s="7">
        <f t="shared" si="25"/>
        <v>2024</v>
      </c>
      <c r="D195" s="7">
        <f t="shared" si="26"/>
        <v>4</v>
      </c>
      <c r="E195" s="77">
        <v>16.611799999999999</v>
      </c>
      <c r="F195" s="2">
        <v>52.235855102539063</v>
      </c>
      <c r="G195" s="2">
        <v>37.921829223632813</v>
      </c>
      <c r="H195" s="2">
        <v>14.015097618103029</v>
      </c>
      <c r="I195" s="2">
        <v>228.6600036621094</v>
      </c>
      <c r="J195" s="2">
        <v>12.180000305175779</v>
      </c>
      <c r="K195" s="2">
        <v>476.58541870117188</v>
      </c>
      <c r="L195" s="2">
        <v>178.1499938964844</v>
      </c>
      <c r="M195" s="2">
        <v>172.82000732421881</v>
      </c>
      <c r="N195" s="12">
        <f t="shared" si="27"/>
        <v>5.3266010162467126E-4</v>
      </c>
      <c r="O195" s="12">
        <f t="shared" si="28"/>
        <v>-3.3324914963266394E-3</v>
      </c>
      <c r="P195" s="12">
        <f t="shared" si="29"/>
        <v>7.1022597806493781E-3</v>
      </c>
      <c r="Q195" s="12">
        <f t="shared" si="30"/>
        <v>7.3571440527393506E-3</v>
      </c>
      <c r="R195" s="12">
        <f t="shared" si="31"/>
        <v>2.1812099598800039E-2</v>
      </c>
      <c r="S195" s="12">
        <f t="shared" si="32"/>
        <v>7.5342890222383607E-2</v>
      </c>
      <c r="T195" s="12">
        <f t="shared" si="33"/>
        <v>5.3743266961203684E-3</v>
      </c>
      <c r="U195" s="12">
        <f t="shared" si="34"/>
        <v>-1.0880138443925991E-2</v>
      </c>
    </row>
    <row r="196" spans="1:21" x14ac:dyDescent="0.3">
      <c r="A196" s="13">
        <f t="shared" si="24"/>
        <v>192</v>
      </c>
      <c r="B196" s="1">
        <v>45378</v>
      </c>
      <c r="C196" s="7">
        <f t="shared" si="25"/>
        <v>2024</v>
      </c>
      <c r="D196" s="7">
        <f t="shared" si="26"/>
        <v>3</v>
      </c>
      <c r="E196" s="77">
        <v>16.523</v>
      </c>
      <c r="F196" s="2">
        <v>52.208045959472663</v>
      </c>
      <c r="G196" s="2">
        <v>38.048625946044922</v>
      </c>
      <c r="H196" s="2">
        <v>13.91626071929932</v>
      </c>
      <c r="I196" s="2">
        <v>226.99000549316409</v>
      </c>
      <c r="J196" s="2">
        <v>11.920000076293951</v>
      </c>
      <c r="K196" s="2">
        <v>443.19390869140619</v>
      </c>
      <c r="L196" s="2">
        <v>178.1499938964844</v>
      </c>
      <c r="M196" s="2">
        <v>175.6600036621094</v>
      </c>
      <c r="N196" s="12">
        <f t="shared" si="27"/>
        <v>1.8809907821923266E-2</v>
      </c>
      <c r="O196" s="12">
        <f t="shared" si="28"/>
        <v>1.4300571520501126E-2</v>
      </c>
      <c r="P196" s="12">
        <f t="shared" si="29"/>
        <v>1.2221499186568119E-2</v>
      </c>
      <c r="Q196" s="12">
        <f t="shared" si="30"/>
        <v>2.1281432121077026E-2</v>
      </c>
      <c r="R196" s="12">
        <f t="shared" si="31"/>
        <v>4.286962012558182E-2</v>
      </c>
      <c r="S196" s="12">
        <f t="shared" si="32"/>
        <v>5.8333329082289609E-2</v>
      </c>
      <c r="T196" s="12">
        <f t="shared" si="33"/>
        <v>5.9724453004157407E-3</v>
      </c>
      <c r="U196" s="12">
        <f t="shared" si="34"/>
        <v>1.8429336223971138E-2</v>
      </c>
    </row>
    <row r="197" spans="1:21" x14ac:dyDescent="0.3">
      <c r="A197" s="13">
        <f t="shared" ref="A197:A255" si="35">+A198-1</f>
        <v>193</v>
      </c>
      <c r="B197" s="1">
        <v>45377</v>
      </c>
      <c r="C197" s="7">
        <f t="shared" ref="C197:C257" si="36">+YEAR(B197)</f>
        <v>2024</v>
      </c>
      <c r="D197" s="7">
        <f t="shared" ref="D197:D257" si="37">+MONTH(B197)</f>
        <v>3</v>
      </c>
      <c r="E197" s="77">
        <v>16.635000000000002</v>
      </c>
      <c r="F197" s="2">
        <v>51.244148254394531</v>
      </c>
      <c r="G197" s="2">
        <v>37.512180328369141</v>
      </c>
      <c r="H197" s="2">
        <v>13.74823665618896</v>
      </c>
      <c r="I197" s="2">
        <v>222.25999450683591</v>
      </c>
      <c r="J197" s="2">
        <v>11.430000305175779</v>
      </c>
      <c r="K197" s="2">
        <v>418.76589965820313</v>
      </c>
      <c r="L197" s="2">
        <v>175.8999938964844</v>
      </c>
      <c r="M197" s="2">
        <v>171.32000732421881</v>
      </c>
      <c r="N197" s="12">
        <f t="shared" si="27"/>
        <v>-8.4289122074368006E-3</v>
      </c>
      <c r="O197" s="12">
        <f t="shared" si="28"/>
        <v>4.4398815704720374E-3</v>
      </c>
      <c r="P197" s="12">
        <f t="shared" si="29"/>
        <v>-1.2073937568397364E-2</v>
      </c>
      <c r="Q197" s="12">
        <f t="shared" si="30"/>
        <v>-2.6584361562393743E-2</v>
      </c>
      <c r="R197" s="12">
        <f t="shared" si="31"/>
        <v>-3.2994873072561548E-2</v>
      </c>
      <c r="S197" s="12">
        <f t="shared" si="32"/>
        <v>9.3750017435920929E-2</v>
      </c>
      <c r="T197" s="12">
        <f t="shared" si="33"/>
        <v>6.1867681151717147E-3</v>
      </c>
      <c r="U197" s="12">
        <f t="shared" si="34"/>
        <v>4.4993204310280088E-2</v>
      </c>
    </row>
    <row r="198" spans="1:21" x14ac:dyDescent="0.3">
      <c r="A198" s="13">
        <f t="shared" si="35"/>
        <v>194</v>
      </c>
      <c r="B198" s="1">
        <v>45376</v>
      </c>
      <c r="C198" s="7">
        <f t="shared" si="36"/>
        <v>2024</v>
      </c>
      <c r="D198" s="7">
        <f t="shared" si="37"/>
        <v>3</v>
      </c>
      <c r="E198" s="77">
        <v>16.672999999999998</v>
      </c>
      <c r="F198" s="2">
        <v>51.679752349853523</v>
      </c>
      <c r="G198" s="2">
        <v>37.346366882324219</v>
      </c>
      <c r="H198" s="2">
        <v>13.91626071929932</v>
      </c>
      <c r="I198" s="2">
        <v>228.33000183105469</v>
      </c>
      <c r="J198" s="2">
        <v>11.819999694824221</v>
      </c>
      <c r="K198" s="2">
        <v>382.87167358398438</v>
      </c>
      <c r="L198" s="2">
        <v>174.41999816894531</v>
      </c>
      <c r="M198" s="2">
        <v>163.57000732421881</v>
      </c>
      <c r="N198" s="12">
        <f t="shared" ref="N198:N256" si="38">+F198/F199-1</f>
        <v>0</v>
      </c>
      <c r="O198" s="12">
        <f t="shared" ref="O198:O256" si="39">+G198/G199-1</f>
        <v>-1.4160759007902257E-2</v>
      </c>
      <c r="P198" s="12">
        <f t="shared" ref="P198:P256" si="40">+H198/H199-1</f>
        <v>-1.4184644684164249E-3</v>
      </c>
      <c r="Q198" s="12">
        <f t="shared" ref="Q198:Q256" si="41">+I198/I199-1</f>
        <v>2.0697384648975969E-2</v>
      </c>
      <c r="R198" s="12">
        <f t="shared" ref="R198:R256" si="42">+J198/J199-1</f>
        <v>-1.5820194041354152E-2</v>
      </c>
      <c r="S198" s="12">
        <f t="shared" ref="S198:S256" si="43">+K198/K199-1</f>
        <v>0</v>
      </c>
      <c r="T198" s="12">
        <f t="shared" ref="T198:T256" si="44">(L198*$E198)/(L199*$E199)-1</f>
        <v>-2.9115187191717573E-2</v>
      </c>
      <c r="U198" s="12">
        <f t="shared" ref="U198:U256" si="45">(M198*$E198)/(M199*$E199)-1</f>
        <v>1.5388222113190686E-3</v>
      </c>
    </row>
    <row r="199" spans="1:21" x14ac:dyDescent="0.3">
      <c r="A199" s="13">
        <f t="shared" si="35"/>
        <v>195</v>
      </c>
      <c r="B199" s="1">
        <v>45373</v>
      </c>
      <c r="C199" s="7">
        <f t="shared" si="36"/>
        <v>2024</v>
      </c>
      <c r="D199" s="7">
        <f t="shared" si="37"/>
        <v>3</v>
      </c>
      <c r="E199" s="77">
        <v>16.757000000000001</v>
      </c>
      <c r="F199" s="2">
        <v>51.679752349853523</v>
      </c>
      <c r="G199" s="2">
        <v>37.882816314697273</v>
      </c>
      <c r="H199" s="2">
        <v>13.93602848052979</v>
      </c>
      <c r="I199" s="2">
        <v>223.69999694824219</v>
      </c>
      <c r="J199" s="2">
        <v>12.010000228881839</v>
      </c>
      <c r="K199" s="2">
        <v>382.87167358398438</v>
      </c>
      <c r="L199" s="2">
        <v>178.75</v>
      </c>
      <c r="M199" s="2">
        <v>162.5</v>
      </c>
      <c r="N199" s="12">
        <f t="shared" si="38"/>
        <v>3.2385689247267369E-3</v>
      </c>
      <c r="O199" s="12">
        <f t="shared" si="39"/>
        <v>-1.2709629198673134E-2</v>
      </c>
      <c r="P199" s="12">
        <f t="shared" si="40"/>
        <v>3.6764709012420349E-2</v>
      </c>
      <c r="Q199" s="12">
        <f t="shared" si="41"/>
        <v>8.3844240941952641E-3</v>
      </c>
      <c r="R199" s="12">
        <f t="shared" si="42"/>
        <v>-2.7530375877399593E-2</v>
      </c>
      <c r="S199" s="12">
        <f t="shared" si="43"/>
        <v>0</v>
      </c>
      <c r="T199" s="12">
        <f t="shared" si="44"/>
        <v>1.3722530617700457E-2</v>
      </c>
      <c r="U199" s="12">
        <f t="shared" si="45"/>
        <v>-3.9935781948133964E-2</v>
      </c>
    </row>
    <row r="200" spans="1:21" x14ac:dyDescent="0.3">
      <c r="A200" s="13">
        <f t="shared" si="35"/>
        <v>196</v>
      </c>
      <c r="B200" s="1">
        <v>45372</v>
      </c>
      <c r="C200" s="7">
        <f t="shared" si="36"/>
        <v>2024</v>
      </c>
      <c r="D200" s="7">
        <f t="shared" si="37"/>
        <v>3</v>
      </c>
      <c r="E200" s="77">
        <v>16.735199999999999</v>
      </c>
      <c r="F200" s="2">
        <v>51.512924194335938</v>
      </c>
      <c r="G200" s="2">
        <v>38.370491027832031</v>
      </c>
      <c r="H200" s="2">
        <v>13.441843032836911</v>
      </c>
      <c r="I200" s="2">
        <v>221.8399963378906</v>
      </c>
      <c r="J200" s="2">
        <v>12.35000038146973</v>
      </c>
      <c r="K200" s="2">
        <v>382.87167358398438</v>
      </c>
      <c r="L200" s="2">
        <v>176.55999755859381</v>
      </c>
      <c r="M200" s="2">
        <v>169.47999572753909</v>
      </c>
      <c r="N200" s="12">
        <f t="shared" si="38"/>
        <v>1.4418717018142457E-2</v>
      </c>
      <c r="O200" s="12">
        <f t="shared" si="39"/>
        <v>5.6237823477958138E-3</v>
      </c>
      <c r="P200" s="12">
        <f t="shared" si="40"/>
        <v>2.9497614090312485E-3</v>
      </c>
      <c r="Q200" s="12">
        <f t="shared" si="41"/>
        <v>2.4002940190603894E-2</v>
      </c>
      <c r="R200" s="12">
        <f t="shared" si="42"/>
        <v>2.7454235535649518E-2</v>
      </c>
      <c r="S200" s="12">
        <f t="shared" si="43"/>
        <v>1.0526408205520754E-2</v>
      </c>
      <c r="T200" s="12">
        <f t="shared" si="44"/>
        <v>1.0408125457648909E-2</v>
      </c>
      <c r="U200" s="12">
        <f t="shared" si="45"/>
        <v>-4.1854227533976163E-2</v>
      </c>
    </row>
    <row r="201" spans="1:21" x14ac:dyDescent="0.3">
      <c r="A201" s="13">
        <f t="shared" si="35"/>
        <v>197</v>
      </c>
      <c r="B201" s="1">
        <v>45371</v>
      </c>
      <c r="C201" s="7">
        <f t="shared" si="36"/>
        <v>2024</v>
      </c>
      <c r="D201" s="7">
        <f t="shared" si="37"/>
        <v>3</v>
      </c>
      <c r="E201" s="77">
        <v>16.673300000000001</v>
      </c>
      <c r="F201" s="2">
        <v>50.780731201171882</v>
      </c>
      <c r="G201" s="2">
        <v>38.155910491943359</v>
      </c>
      <c r="H201" s="2">
        <v>13.402309417724609</v>
      </c>
      <c r="I201" s="2">
        <v>216.63999938964841</v>
      </c>
      <c r="J201" s="2">
        <v>12.02000045776367</v>
      </c>
      <c r="K201" s="2">
        <v>378.88339233398438</v>
      </c>
      <c r="L201" s="2">
        <v>175.38999938964841</v>
      </c>
      <c r="M201" s="2">
        <v>177.53999328613281</v>
      </c>
      <c r="N201" s="12">
        <f t="shared" si="38"/>
        <v>0</v>
      </c>
      <c r="O201" s="12">
        <f t="shared" si="39"/>
        <v>-7.8621402185324873E-3</v>
      </c>
      <c r="P201" s="12">
        <f t="shared" si="40"/>
        <v>-7.3205600319896647E-3</v>
      </c>
      <c r="Q201" s="12">
        <f t="shared" si="41"/>
        <v>4.6373585736896317E-3</v>
      </c>
      <c r="R201" s="12">
        <f t="shared" si="42"/>
        <v>-2.355807895756834E-2</v>
      </c>
      <c r="S201" s="12">
        <f t="shared" si="43"/>
        <v>7.6487321637504158E-2</v>
      </c>
      <c r="T201" s="12">
        <f t="shared" si="44"/>
        <v>1.2133867499826811E-2</v>
      </c>
      <c r="U201" s="12">
        <f t="shared" si="45"/>
        <v>-8.9437600021370356E-3</v>
      </c>
    </row>
    <row r="202" spans="1:21" x14ac:dyDescent="0.3">
      <c r="A202" s="13">
        <f t="shared" si="35"/>
        <v>198</v>
      </c>
      <c r="B202" s="1">
        <v>45370</v>
      </c>
      <c r="C202" s="7">
        <f t="shared" si="36"/>
        <v>2024</v>
      </c>
      <c r="D202" s="7">
        <f t="shared" si="37"/>
        <v>3</v>
      </c>
      <c r="E202" s="77">
        <v>16.802</v>
      </c>
      <c r="F202" s="2">
        <v>50.780731201171882</v>
      </c>
      <c r="G202" s="2">
        <v>38.458274841308587</v>
      </c>
      <c r="H202" s="2">
        <v>13.501145362854</v>
      </c>
      <c r="I202" s="2">
        <v>215.63999938964841</v>
      </c>
      <c r="J202" s="2">
        <v>12.310000419616699</v>
      </c>
      <c r="K202" s="2">
        <v>351.96270751953119</v>
      </c>
      <c r="L202" s="2">
        <v>171.96000671386719</v>
      </c>
      <c r="M202" s="2">
        <v>177.77000427246091</v>
      </c>
      <c r="N202" s="12">
        <f t="shared" si="38"/>
        <v>1.828325269406017E-3</v>
      </c>
      <c r="O202" s="12">
        <f t="shared" si="39"/>
        <v>-1.1035788719481965E-2</v>
      </c>
      <c r="P202" s="12">
        <f t="shared" si="40"/>
        <v>2.7067707138172192E-2</v>
      </c>
      <c r="Q202" s="12">
        <f t="shared" si="41"/>
        <v>1.2156753347998706E-2</v>
      </c>
      <c r="R202" s="12">
        <f t="shared" si="42"/>
        <v>-8.0579717183689725E-3</v>
      </c>
      <c r="S202" s="12">
        <f t="shared" si="43"/>
        <v>8.5712404289213229E-3</v>
      </c>
      <c r="T202" s="12">
        <f t="shared" si="44"/>
        <v>-1.2929312579972652E-2</v>
      </c>
      <c r="U202" s="12">
        <f t="shared" si="45"/>
        <v>2.0479011077199072E-2</v>
      </c>
    </row>
    <row r="203" spans="1:21" x14ac:dyDescent="0.3">
      <c r="A203" s="13">
        <f t="shared" si="35"/>
        <v>199</v>
      </c>
      <c r="B203" s="1">
        <v>45366</v>
      </c>
      <c r="C203" s="7">
        <f t="shared" si="36"/>
        <v>2024</v>
      </c>
      <c r="D203" s="7">
        <f t="shared" si="37"/>
        <v>3</v>
      </c>
      <c r="E203" s="77">
        <v>16.693000000000001</v>
      </c>
      <c r="F203" s="2">
        <v>50.688056945800781</v>
      </c>
      <c r="G203" s="2">
        <v>38.887428283691413</v>
      </c>
      <c r="H203" s="2">
        <v>13.14533138275146</v>
      </c>
      <c r="I203" s="2">
        <v>213.05000305175781</v>
      </c>
      <c r="J203" s="2">
        <v>12.409999847412109</v>
      </c>
      <c r="K203" s="2">
        <v>348.97158813476563</v>
      </c>
      <c r="L203" s="2">
        <v>175.3500061035156</v>
      </c>
      <c r="M203" s="2">
        <v>175.3399963378906</v>
      </c>
      <c r="N203" s="12">
        <f t="shared" si="38"/>
        <v>-2.1893521117242187E-3</v>
      </c>
      <c r="O203" s="12">
        <f t="shared" si="39"/>
        <v>5.0415213689876115E-3</v>
      </c>
      <c r="P203" s="12">
        <f t="shared" si="40"/>
        <v>-2.9984809046934568E-3</v>
      </c>
      <c r="Q203" s="12">
        <f t="shared" si="41"/>
        <v>2.3475611153900289E-4</v>
      </c>
      <c r="R203" s="12">
        <f t="shared" si="42"/>
        <v>-3.2128483908299144E-3</v>
      </c>
      <c r="S203" s="12">
        <f t="shared" si="43"/>
        <v>8.6889049710929145E-2</v>
      </c>
      <c r="T203" s="12">
        <f t="shared" si="44"/>
        <v>-8.4917356991424109E-3</v>
      </c>
      <c r="U203" s="12">
        <f t="shared" si="45"/>
        <v>-1.8704189319772357E-2</v>
      </c>
    </row>
    <row r="204" spans="1:21" x14ac:dyDescent="0.3">
      <c r="A204" s="13">
        <f t="shared" si="35"/>
        <v>200</v>
      </c>
      <c r="B204" s="1">
        <v>45365</v>
      </c>
      <c r="C204" s="7">
        <f t="shared" si="36"/>
        <v>2024</v>
      </c>
      <c r="D204" s="7">
        <f t="shared" si="37"/>
        <v>3</v>
      </c>
      <c r="E204" s="77">
        <v>16.696000000000002</v>
      </c>
      <c r="F204" s="2">
        <v>50.799274444580078</v>
      </c>
      <c r="G204" s="2">
        <v>38.692359924316413</v>
      </c>
      <c r="H204" s="2">
        <v>13.184865951538089</v>
      </c>
      <c r="I204" s="2">
        <v>213</v>
      </c>
      <c r="J204" s="2">
        <v>12.44999980926514</v>
      </c>
      <c r="K204" s="2">
        <v>321.07379150390619</v>
      </c>
      <c r="L204" s="2">
        <v>176.82000732421881</v>
      </c>
      <c r="M204" s="2">
        <v>178.6499938964844</v>
      </c>
      <c r="N204" s="12">
        <f t="shared" si="38"/>
        <v>-3.2734651351824517E-3</v>
      </c>
      <c r="O204" s="12">
        <f t="shared" si="39"/>
        <v>9.9287551553268738E-3</v>
      </c>
      <c r="P204" s="12">
        <f t="shared" si="40"/>
        <v>6.0331423335511225E-3</v>
      </c>
      <c r="Q204" s="12">
        <f t="shared" si="41"/>
        <v>-9.3944946159580933E-3</v>
      </c>
      <c r="R204" s="12">
        <f t="shared" si="42"/>
        <v>-2.0456351542209483E-2</v>
      </c>
      <c r="S204" s="12">
        <f t="shared" si="43"/>
        <v>-2.1215843899825226E-2</v>
      </c>
      <c r="T204" s="12">
        <f t="shared" si="44"/>
        <v>2.130952298721267E-2</v>
      </c>
      <c r="U204" s="12">
        <f t="shared" si="45"/>
        <v>1.4169097650309492E-2</v>
      </c>
    </row>
    <row r="205" spans="1:21" x14ac:dyDescent="0.3">
      <c r="A205" s="13">
        <f t="shared" si="35"/>
        <v>201</v>
      </c>
      <c r="B205" s="1">
        <v>45364</v>
      </c>
      <c r="C205" s="7">
        <f t="shared" si="36"/>
        <v>2024</v>
      </c>
      <c r="D205" s="7">
        <f t="shared" si="37"/>
        <v>3</v>
      </c>
      <c r="E205" s="77">
        <v>16.659500000000001</v>
      </c>
      <c r="F205" s="2">
        <v>50.966110229492188</v>
      </c>
      <c r="G205" s="2">
        <v>38.311969757080078</v>
      </c>
      <c r="H205" s="2">
        <v>13.10579681396484</v>
      </c>
      <c r="I205" s="2">
        <v>215.02000427246091</v>
      </c>
      <c r="J205" s="2">
        <v>12.710000038146971</v>
      </c>
      <c r="K205" s="2">
        <v>328.03329467773438</v>
      </c>
      <c r="L205" s="2">
        <v>173.50999450683591</v>
      </c>
      <c r="M205" s="2">
        <v>176.53999328613281</v>
      </c>
      <c r="N205" s="12">
        <f t="shared" si="38"/>
        <v>-4.5256016247131603E-3</v>
      </c>
      <c r="O205" s="12">
        <f t="shared" si="39"/>
        <v>-1.4303670637520471E-2</v>
      </c>
      <c r="P205" s="12">
        <f t="shared" si="40"/>
        <v>1.1441700818269451E-2</v>
      </c>
      <c r="Q205" s="12">
        <f t="shared" si="41"/>
        <v>-9.8544821954332784E-3</v>
      </c>
      <c r="R205" s="12">
        <f t="shared" si="42"/>
        <v>3.165587280709059E-2</v>
      </c>
      <c r="S205" s="12">
        <f t="shared" si="43"/>
        <v>2.8735902248892886E-2</v>
      </c>
      <c r="T205" s="12">
        <f t="shared" si="44"/>
        <v>-1.1513519511115233E-2</v>
      </c>
      <c r="U205" s="12">
        <f t="shared" si="45"/>
        <v>-3.1089418862358942E-2</v>
      </c>
    </row>
    <row r="206" spans="1:21" x14ac:dyDescent="0.3">
      <c r="A206" s="13">
        <f t="shared" si="35"/>
        <v>202</v>
      </c>
      <c r="B206" s="1">
        <v>45363</v>
      </c>
      <c r="C206" s="7">
        <f t="shared" si="36"/>
        <v>2024</v>
      </c>
      <c r="D206" s="7">
        <f t="shared" si="37"/>
        <v>3</v>
      </c>
      <c r="E206" s="77">
        <v>16.794499999999999</v>
      </c>
      <c r="F206" s="2">
        <v>51.197811126708977</v>
      </c>
      <c r="G206" s="2">
        <v>38.867923736572273</v>
      </c>
      <c r="H206" s="2">
        <v>12.957540512084959</v>
      </c>
      <c r="I206" s="2">
        <v>217.1600036621094</v>
      </c>
      <c r="J206" s="2">
        <v>12.319999694824221</v>
      </c>
      <c r="K206" s="2">
        <v>318.87026977539063</v>
      </c>
      <c r="L206" s="2">
        <v>174.1199951171875</v>
      </c>
      <c r="M206" s="2">
        <v>180.74000549316409</v>
      </c>
      <c r="N206" s="12">
        <f t="shared" si="38"/>
        <v>1.6320217778036383E-3</v>
      </c>
      <c r="O206" s="12">
        <f t="shared" si="39"/>
        <v>-2.2533285337528186E-3</v>
      </c>
      <c r="P206" s="12">
        <f t="shared" si="40"/>
        <v>-9.0703076841842645E-3</v>
      </c>
      <c r="Q206" s="12">
        <f t="shared" si="41"/>
        <v>1.3960897972298936E-2</v>
      </c>
      <c r="R206" s="12">
        <f t="shared" si="42"/>
        <v>1.7341044104091319E-2</v>
      </c>
      <c r="S206" s="12">
        <f t="shared" si="43"/>
        <v>0</v>
      </c>
      <c r="T206" s="12">
        <f t="shared" si="44"/>
        <v>-1.857843899328937E-2</v>
      </c>
      <c r="U206" s="12">
        <f t="shared" si="45"/>
        <v>-3.8444940175509368E-2</v>
      </c>
    </row>
    <row r="207" spans="1:21" x14ac:dyDescent="0.3">
      <c r="A207" s="13">
        <f t="shared" si="35"/>
        <v>203</v>
      </c>
      <c r="B207" s="1">
        <v>45362</v>
      </c>
      <c r="C207" s="7">
        <f t="shared" si="36"/>
        <v>2024</v>
      </c>
      <c r="D207" s="7">
        <f t="shared" si="37"/>
        <v>3</v>
      </c>
      <c r="E207" s="77">
        <v>16.779</v>
      </c>
      <c r="F207" s="2">
        <v>51.114391326904297</v>
      </c>
      <c r="G207" s="2">
        <v>38.955703735351563</v>
      </c>
      <c r="H207" s="2">
        <v>13.076145172119141</v>
      </c>
      <c r="I207" s="2">
        <v>214.16999816894531</v>
      </c>
      <c r="J207" s="2">
        <v>12.10999965667725</v>
      </c>
      <c r="K207" s="2">
        <v>318.87026977539063</v>
      </c>
      <c r="L207" s="2">
        <v>177.58000183105469</v>
      </c>
      <c r="M207" s="2">
        <v>188.13999938964841</v>
      </c>
      <c r="N207" s="12">
        <f t="shared" si="38"/>
        <v>-2.3515153175726056E-3</v>
      </c>
      <c r="O207" s="12">
        <f t="shared" si="39"/>
        <v>-5.0053253764903438E-4</v>
      </c>
      <c r="P207" s="12">
        <f t="shared" si="40"/>
        <v>-8.9888483408032682E-3</v>
      </c>
      <c r="Q207" s="12">
        <f t="shared" si="41"/>
        <v>-9.572730630938775E-3</v>
      </c>
      <c r="R207" s="12">
        <f t="shared" si="42"/>
        <v>-2.2598924849618673E-2</v>
      </c>
      <c r="S207" s="12">
        <f t="shared" si="43"/>
        <v>-4.5343253701408015E-2</v>
      </c>
      <c r="T207" s="12">
        <f t="shared" si="44"/>
        <v>-5.3634954704557813E-3</v>
      </c>
      <c r="U207" s="12">
        <f t="shared" si="45"/>
        <v>-7.3207003328425224E-2</v>
      </c>
    </row>
    <row r="208" spans="1:21" x14ac:dyDescent="0.3">
      <c r="A208" s="13">
        <f t="shared" si="35"/>
        <v>204</v>
      </c>
      <c r="B208" s="1">
        <v>45359</v>
      </c>
      <c r="C208" s="7">
        <f t="shared" si="36"/>
        <v>2024</v>
      </c>
      <c r="D208" s="7">
        <f t="shared" si="37"/>
        <v>3</v>
      </c>
      <c r="E208" s="77">
        <v>16.808900000000001</v>
      </c>
      <c r="F208" s="2">
        <v>51.234870910644531</v>
      </c>
      <c r="G208" s="2">
        <v>38.975212097167969</v>
      </c>
      <c r="H208" s="2">
        <v>13.19475078582764</v>
      </c>
      <c r="I208" s="2">
        <v>216.24000549316409</v>
      </c>
      <c r="J208" s="2">
        <v>12.39000034332275</v>
      </c>
      <c r="K208" s="2">
        <v>334.015625</v>
      </c>
      <c r="L208" s="2">
        <v>178.2200012207031</v>
      </c>
      <c r="M208" s="2">
        <v>202.63999938964841</v>
      </c>
      <c r="N208" s="12">
        <f t="shared" si="38"/>
        <v>1.811865672660673E-3</v>
      </c>
      <c r="O208" s="12">
        <f t="shared" si="39"/>
        <v>2.3565579621251942E-2</v>
      </c>
      <c r="P208" s="12">
        <f t="shared" si="40"/>
        <v>2.3773127057848287E-2</v>
      </c>
      <c r="Q208" s="12">
        <f t="shared" si="41"/>
        <v>6.1418543433131578E-3</v>
      </c>
      <c r="R208" s="12">
        <f t="shared" si="42"/>
        <v>2.4272400872837885E-3</v>
      </c>
      <c r="S208" s="12">
        <f t="shared" si="43"/>
        <v>0</v>
      </c>
      <c r="T208" s="12">
        <f t="shared" si="44"/>
        <v>4.6080961004146825E-3</v>
      </c>
      <c r="U208" s="12">
        <f t="shared" si="45"/>
        <v>1.2913684189519437E-4</v>
      </c>
    </row>
    <row r="209" spans="1:21" x14ac:dyDescent="0.3">
      <c r="A209" s="13">
        <f t="shared" si="35"/>
        <v>205</v>
      </c>
      <c r="B209" s="1">
        <v>45358</v>
      </c>
      <c r="C209" s="7">
        <f t="shared" si="36"/>
        <v>2024</v>
      </c>
      <c r="D209" s="7">
        <f t="shared" si="37"/>
        <v>3</v>
      </c>
      <c r="E209" s="77">
        <v>16.87</v>
      </c>
      <c r="F209" s="2">
        <v>51.142208099365227</v>
      </c>
      <c r="G209" s="2">
        <v>38.077884674072273</v>
      </c>
      <c r="H209" s="2">
        <v>12.88835430145264</v>
      </c>
      <c r="I209" s="2">
        <v>214.91999816894531</v>
      </c>
      <c r="J209" s="2">
        <v>12.35999965667725</v>
      </c>
      <c r="K209" s="2">
        <v>334.015625</v>
      </c>
      <c r="L209" s="2">
        <v>176.75999450683591</v>
      </c>
      <c r="M209" s="2">
        <v>201.8800048828125</v>
      </c>
      <c r="N209" s="12">
        <f t="shared" si="38"/>
        <v>2.1794858473580536E-3</v>
      </c>
      <c r="O209" s="12">
        <f t="shared" si="39"/>
        <v>-2.0817617552730927E-2</v>
      </c>
      <c r="P209" s="12">
        <f t="shared" si="40"/>
        <v>-1.1372231906126462E-2</v>
      </c>
      <c r="Q209" s="12">
        <f t="shared" si="41"/>
        <v>1.9580334216564577E-3</v>
      </c>
      <c r="R209" s="12">
        <f t="shared" si="42"/>
        <v>-4.8309516302841304E-3</v>
      </c>
      <c r="S209" s="12">
        <f t="shared" si="43"/>
        <v>0</v>
      </c>
      <c r="T209" s="12">
        <f t="shared" si="44"/>
        <v>2.0366578856650497E-2</v>
      </c>
      <c r="U209" s="12">
        <f t="shared" si="45"/>
        <v>-1.2063022389680045E-3</v>
      </c>
    </row>
    <row r="210" spans="1:21" x14ac:dyDescent="0.3">
      <c r="A210" s="13">
        <f t="shared" si="35"/>
        <v>206</v>
      </c>
      <c r="B210" s="1">
        <v>45357</v>
      </c>
      <c r="C210" s="7">
        <f t="shared" si="36"/>
        <v>2024</v>
      </c>
      <c r="D210" s="7">
        <f t="shared" si="37"/>
        <v>3</v>
      </c>
      <c r="E210" s="77">
        <v>16.876999999999999</v>
      </c>
      <c r="F210" s="2">
        <v>51.030986785888672</v>
      </c>
      <c r="G210" s="2">
        <v>38.887428283691413</v>
      </c>
      <c r="H210" s="2">
        <v>13.0366096496582</v>
      </c>
      <c r="I210" s="2">
        <v>214.5</v>
      </c>
      <c r="J210" s="2">
        <v>12.420000076293951</v>
      </c>
      <c r="K210" s="2">
        <v>334.015625</v>
      </c>
      <c r="L210" s="2">
        <v>173.1600036621094</v>
      </c>
      <c r="M210" s="2">
        <v>202.03999328613281</v>
      </c>
      <c r="N210" s="12">
        <f t="shared" si="38"/>
        <v>-1.5906853910267249E-2</v>
      </c>
      <c r="O210" s="12">
        <f t="shared" si="39"/>
        <v>-4.1356110590657247E-2</v>
      </c>
      <c r="P210" s="12">
        <f t="shared" si="40"/>
        <v>-3.2281800396931182E-2</v>
      </c>
      <c r="Q210" s="12">
        <f t="shared" si="41"/>
        <v>-2.5111295712062498E-3</v>
      </c>
      <c r="R210" s="12">
        <f t="shared" si="42"/>
        <v>-1.035857469841972E-2</v>
      </c>
      <c r="S210" s="12">
        <f t="shared" si="43"/>
        <v>0</v>
      </c>
      <c r="T210" s="12">
        <f t="shared" si="44"/>
        <v>-6.0530560203677641E-3</v>
      </c>
      <c r="U210" s="12">
        <f t="shared" si="45"/>
        <v>7.6489239101624751E-3</v>
      </c>
    </row>
    <row r="211" spans="1:21" x14ac:dyDescent="0.3">
      <c r="A211" s="13">
        <f t="shared" si="35"/>
        <v>207</v>
      </c>
      <c r="B211" s="1">
        <v>45356</v>
      </c>
      <c r="C211" s="7">
        <f t="shared" si="36"/>
        <v>2024</v>
      </c>
      <c r="D211" s="7">
        <f t="shared" si="37"/>
        <v>3</v>
      </c>
      <c r="E211" s="77">
        <v>16.942599999999999</v>
      </c>
      <c r="F211" s="2">
        <v>51.855850219726563</v>
      </c>
      <c r="G211" s="2">
        <v>40.565040588378913</v>
      </c>
      <c r="H211" s="2">
        <v>13.471493721008301</v>
      </c>
      <c r="I211" s="2">
        <v>215.03999328613281</v>
      </c>
      <c r="J211" s="2">
        <v>12.55000019073486</v>
      </c>
      <c r="K211" s="2">
        <v>334.015625</v>
      </c>
      <c r="L211" s="2">
        <v>173.53999328613281</v>
      </c>
      <c r="M211" s="2">
        <v>199.72999572753909</v>
      </c>
      <c r="N211" s="12">
        <f t="shared" si="38"/>
        <v>1.0736335584606849E-3</v>
      </c>
      <c r="O211" s="12">
        <f t="shared" si="39"/>
        <v>-9.5261283461229862E-3</v>
      </c>
      <c r="P211" s="12">
        <f t="shared" si="40"/>
        <v>-1.5884475628869521E-2</v>
      </c>
      <c r="Q211" s="12">
        <f t="shared" si="41"/>
        <v>9.5774332682292407E-3</v>
      </c>
      <c r="R211" s="12">
        <f t="shared" si="42"/>
        <v>3.1974389385438506E-3</v>
      </c>
      <c r="S211" s="12">
        <f t="shared" si="43"/>
        <v>5.70406159287562E-3</v>
      </c>
      <c r="T211" s="12">
        <f t="shared" si="44"/>
        <v>-7.8294779657215319E-3</v>
      </c>
      <c r="U211" s="12">
        <f t="shared" si="45"/>
        <v>6.2733282215932107E-4</v>
      </c>
    </row>
    <row r="212" spans="1:21" x14ac:dyDescent="0.3">
      <c r="A212" s="13">
        <f t="shared" si="35"/>
        <v>208</v>
      </c>
      <c r="B212" s="1">
        <v>45355</v>
      </c>
      <c r="C212" s="7">
        <f t="shared" si="36"/>
        <v>2024</v>
      </c>
      <c r="D212" s="7">
        <f t="shared" si="37"/>
        <v>3</v>
      </c>
      <c r="E212" s="77">
        <v>16.96</v>
      </c>
      <c r="F212" s="2">
        <v>51.800235748291023</v>
      </c>
      <c r="G212" s="2">
        <v>40.955184936523438</v>
      </c>
      <c r="H212" s="2">
        <v>13.68893527984619</v>
      </c>
      <c r="I212" s="2">
        <v>213</v>
      </c>
      <c r="J212" s="2">
        <v>12.510000228881839</v>
      </c>
      <c r="K212" s="2">
        <v>332.12118530273438</v>
      </c>
      <c r="L212" s="2">
        <v>174.72999572753909</v>
      </c>
      <c r="M212" s="2">
        <v>199.3999938964844</v>
      </c>
      <c r="N212" s="12">
        <f t="shared" si="38"/>
        <v>-9.0427419212416593E-3</v>
      </c>
      <c r="O212" s="12">
        <f t="shared" si="39"/>
        <v>-2.1668150029237498E-2</v>
      </c>
      <c r="P212" s="12">
        <f t="shared" si="40"/>
        <v>-1.0714266514838311E-2</v>
      </c>
      <c r="Q212" s="12">
        <f t="shared" si="41"/>
        <v>-4.6920365680769294E-5</v>
      </c>
      <c r="R212" s="12">
        <f t="shared" si="42"/>
        <v>-9.5011785013267014E-3</v>
      </c>
      <c r="S212" s="12">
        <f t="shared" si="43"/>
        <v>1.2461816197700371E-2</v>
      </c>
      <c r="T212" s="12">
        <f t="shared" si="44"/>
        <v>-4.4677557745065322E-3</v>
      </c>
      <c r="U212" s="12">
        <f t="shared" si="45"/>
        <v>3.5602004663148668E-2</v>
      </c>
    </row>
    <row r="213" spans="1:21" x14ac:dyDescent="0.3">
      <c r="A213" s="13">
        <f t="shared" si="35"/>
        <v>209</v>
      </c>
      <c r="B213" s="1">
        <v>45352</v>
      </c>
      <c r="C213" s="7">
        <f t="shared" si="36"/>
        <v>2024</v>
      </c>
      <c r="D213" s="7">
        <f t="shared" si="37"/>
        <v>3</v>
      </c>
      <c r="E213" s="77">
        <v>17.0108</v>
      </c>
      <c r="F213" s="2">
        <v>52.272926330566413</v>
      </c>
      <c r="G213" s="2">
        <v>41.862262725830078</v>
      </c>
      <c r="H213" s="2">
        <v>13.83719062805176</v>
      </c>
      <c r="I213" s="2">
        <v>213.00999450683591</v>
      </c>
      <c r="J213" s="2">
        <v>12.63000011444092</v>
      </c>
      <c r="K213" s="2">
        <v>328.03329467773438</v>
      </c>
      <c r="L213" s="2">
        <v>174.99000549316409</v>
      </c>
      <c r="M213" s="2">
        <v>191.9700012207031</v>
      </c>
      <c r="N213" s="12">
        <f t="shared" si="38"/>
        <v>-7.9154438794513116E-3</v>
      </c>
      <c r="O213" s="12">
        <f t="shared" si="39"/>
        <v>1.2264105866385044E-2</v>
      </c>
      <c r="P213" s="12">
        <f t="shared" si="40"/>
        <v>2.1152390392542797E-2</v>
      </c>
      <c r="Q213" s="12">
        <f t="shared" si="41"/>
        <v>2.2584845918032226E-3</v>
      </c>
      <c r="R213" s="12">
        <f t="shared" si="42"/>
        <v>2.3809311161060442E-3</v>
      </c>
      <c r="S213" s="12">
        <f t="shared" si="43"/>
        <v>-6.9855377799621365E-4</v>
      </c>
      <c r="T213" s="12">
        <f t="shared" si="44"/>
        <v>1.0265177463408826E-4</v>
      </c>
      <c r="U213" s="12">
        <f t="shared" si="45"/>
        <v>-2.973572988501505E-2</v>
      </c>
    </row>
    <row r="214" spans="1:21" x14ac:dyDescent="0.3">
      <c r="A214" s="13">
        <f t="shared" si="35"/>
        <v>210</v>
      </c>
      <c r="B214" s="1">
        <v>45351</v>
      </c>
      <c r="C214" s="7">
        <f t="shared" si="36"/>
        <v>2024</v>
      </c>
      <c r="D214" s="7">
        <f t="shared" si="37"/>
        <v>2</v>
      </c>
      <c r="E214" s="77">
        <v>17.048999999999999</v>
      </c>
      <c r="F214" s="2">
        <v>52.689990997314453</v>
      </c>
      <c r="G214" s="2">
        <v>41.355079650878913</v>
      </c>
      <c r="H214" s="2">
        <v>13.550563812255859</v>
      </c>
      <c r="I214" s="2">
        <v>212.5299987792969</v>
      </c>
      <c r="J214" s="2">
        <v>12.60000038146973</v>
      </c>
      <c r="K214" s="2">
        <v>328.26260375976563</v>
      </c>
      <c r="L214" s="2">
        <v>174.58000183105469</v>
      </c>
      <c r="M214" s="2">
        <v>197.4100036621094</v>
      </c>
      <c r="N214" s="12">
        <f t="shared" si="38"/>
        <v>2.1151820138283206E-3</v>
      </c>
      <c r="O214" s="12">
        <f t="shared" si="39"/>
        <v>2.5145069893121486E-2</v>
      </c>
      <c r="P214" s="12">
        <f t="shared" si="40"/>
        <v>1.1061854334983634E-2</v>
      </c>
      <c r="Q214" s="12">
        <f t="shared" si="41"/>
        <v>-1.3232454447506758E-2</v>
      </c>
      <c r="R214" s="12">
        <f t="shared" si="42"/>
        <v>0</v>
      </c>
      <c r="S214" s="12">
        <f t="shared" si="43"/>
        <v>0</v>
      </c>
      <c r="T214" s="12">
        <f t="shared" si="44"/>
        <v>3.3057804399256208E-2</v>
      </c>
      <c r="U214" s="12">
        <f t="shared" si="45"/>
        <v>1.1134696703756441E-2</v>
      </c>
    </row>
    <row r="215" spans="1:21" x14ac:dyDescent="0.3">
      <c r="A215" s="13">
        <f t="shared" si="35"/>
        <v>211</v>
      </c>
      <c r="B215" s="1">
        <v>45350</v>
      </c>
      <c r="C215" s="7">
        <f t="shared" si="36"/>
        <v>2024</v>
      </c>
      <c r="D215" s="7">
        <f t="shared" si="37"/>
        <v>2</v>
      </c>
      <c r="E215" s="77">
        <v>17.0898</v>
      </c>
      <c r="F215" s="2">
        <v>52.578777313232422</v>
      </c>
      <c r="G215" s="2">
        <v>40.340709686279297</v>
      </c>
      <c r="H215" s="2">
        <v>13.402309417724609</v>
      </c>
      <c r="I215" s="2">
        <v>215.3800048828125</v>
      </c>
      <c r="J215" s="2">
        <v>12.60000038146973</v>
      </c>
      <c r="K215" s="2">
        <v>328.26260375976563</v>
      </c>
      <c r="L215" s="2">
        <v>168.5899963378906</v>
      </c>
      <c r="M215" s="2">
        <v>194.77000427246091</v>
      </c>
      <c r="N215" s="12">
        <f t="shared" si="38"/>
        <v>-2.987591678636492E-3</v>
      </c>
      <c r="O215" s="12">
        <f t="shared" si="39"/>
        <v>-2.3607209799423989E-2</v>
      </c>
      <c r="P215" s="12">
        <f t="shared" si="40"/>
        <v>9.6799909876046364E-3</v>
      </c>
      <c r="Q215" s="12">
        <f t="shared" si="41"/>
        <v>3.2607240120809955E-3</v>
      </c>
      <c r="R215" s="12">
        <f t="shared" si="42"/>
        <v>-2.7026983239412994E-2</v>
      </c>
      <c r="S215" s="12">
        <f t="shared" si="43"/>
        <v>0</v>
      </c>
      <c r="T215" s="12">
        <f t="shared" si="44"/>
        <v>1.0877146973260921E-2</v>
      </c>
      <c r="U215" s="12">
        <f t="shared" si="45"/>
        <v>7.0453047175160766E-3</v>
      </c>
    </row>
    <row r="216" spans="1:21" x14ac:dyDescent="0.3">
      <c r="A216" s="13">
        <f t="shared" si="35"/>
        <v>212</v>
      </c>
      <c r="B216" s="1">
        <v>45349</v>
      </c>
      <c r="C216" s="7">
        <f t="shared" si="36"/>
        <v>2024</v>
      </c>
      <c r="D216" s="7">
        <f t="shared" si="37"/>
        <v>2</v>
      </c>
      <c r="E216" s="77">
        <v>17.058700000000002</v>
      </c>
      <c r="F216" s="2">
        <v>52.736331939697273</v>
      </c>
      <c r="G216" s="2">
        <v>41.316066741943359</v>
      </c>
      <c r="H216" s="2">
        <v>13.273818969726561</v>
      </c>
      <c r="I216" s="2">
        <v>214.67999267578119</v>
      </c>
      <c r="J216" s="2">
        <v>12.94999980926514</v>
      </c>
      <c r="K216" s="2">
        <v>328.26260375976563</v>
      </c>
      <c r="L216" s="2">
        <v>167.08000183105469</v>
      </c>
      <c r="M216" s="2">
        <v>193.75999450683591</v>
      </c>
      <c r="N216" s="12">
        <f t="shared" si="38"/>
        <v>1.7604794359045162E-3</v>
      </c>
      <c r="O216" s="12">
        <f t="shared" si="39"/>
        <v>-8.4269562626083649E-3</v>
      </c>
      <c r="P216" s="12">
        <f t="shared" si="40"/>
        <v>2.9872842073586092E-3</v>
      </c>
      <c r="Q216" s="12">
        <f t="shared" si="41"/>
        <v>-1.1511189263792576E-2</v>
      </c>
      <c r="R216" s="12">
        <f t="shared" si="42"/>
        <v>9.3530698575738924E-3</v>
      </c>
      <c r="S216" s="12">
        <f t="shared" si="43"/>
        <v>-5.9342895178625898E-2</v>
      </c>
      <c r="T216" s="12">
        <f t="shared" si="44"/>
        <v>-1.6393859829025859E-2</v>
      </c>
      <c r="U216" s="12">
        <f t="shared" si="45"/>
        <v>-3.2981503068007512E-2</v>
      </c>
    </row>
    <row r="217" spans="1:21" x14ac:dyDescent="0.3">
      <c r="A217" s="13">
        <f t="shared" si="35"/>
        <v>213</v>
      </c>
      <c r="B217" s="1">
        <v>45348</v>
      </c>
      <c r="C217" s="7">
        <f t="shared" si="36"/>
        <v>2024</v>
      </c>
      <c r="D217" s="7">
        <f t="shared" si="37"/>
        <v>2</v>
      </c>
      <c r="E217" s="77">
        <v>17.0944</v>
      </c>
      <c r="F217" s="2">
        <v>52.643653869628913</v>
      </c>
      <c r="G217" s="2">
        <v>41.667194366455078</v>
      </c>
      <c r="H217" s="2">
        <v>13.23428440093994</v>
      </c>
      <c r="I217" s="2">
        <v>217.17999267578119</v>
      </c>
      <c r="J217" s="2">
        <v>12.829999923706049</v>
      </c>
      <c r="K217" s="2">
        <v>348.97158813476563</v>
      </c>
      <c r="L217" s="2">
        <v>169.50999450683591</v>
      </c>
      <c r="M217" s="2">
        <v>199.94999694824219</v>
      </c>
      <c r="N217" s="12">
        <f t="shared" si="38"/>
        <v>-1.9327483980187132E-3</v>
      </c>
      <c r="O217" s="12">
        <f t="shared" si="39"/>
        <v>2.9149582962262555E-2</v>
      </c>
      <c r="P217" s="12">
        <f t="shared" si="40"/>
        <v>1.8250902415554604E-2</v>
      </c>
      <c r="Q217" s="12">
        <f t="shared" si="41"/>
        <v>4.0219829273111518E-3</v>
      </c>
      <c r="R217" s="12">
        <f t="shared" si="42"/>
        <v>1.2628243602891942E-2</v>
      </c>
      <c r="S217" s="12">
        <f t="shared" si="43"/>
        <v>0</v>
      </c>
      <c r="T217" s="12">
        <f t="shared" si="44"/>
        <v>-2.4432245588212886E-3</v>
      </c>
      <c r="U217" s="12">
        <f t="shared" si="45"/>
        <v>-3.2290910454478849E-3</v>
      </c>
    </row>
    <row r="218" spans="1:21" x14ac:dyDescent="0.3">
      <c r="A218" s="13">
        <f t="shared" si="35"/>
        <v>214</v>
      </c>
      <c r="B218" s="1">
        <v>45345</v>
      </c>
      <c r="C218" s="7">
        <f t="shared" si="36"/>
        <v>2024</v>
      </c>
      <c r="D218" s="7">
        <f t="shared" si="37"/>
        <v>2</v>
      </c>
      <c r="E218" s="77">
        <v>17.106999999999999</v>
      </c>
      <c r="F218" s="2">
        <v>52.745597839355469</v>
      </c>
      <c r="G218" s="2">
        <v>40.487014770507813</v>
      </c>
      <c r="H218" s="2">
        <v>12.9970760345459</v>
      </c>
      <c r="I218" s="2">
        <v>216.30999755859381</v>
      </c>
      <c r="J218" s="2">
        <v>12.670000076293951</v>
      </c>
      <c r="K218" s="2">
        <v>348.97158813476563</v>
      </c>
      <c r="L218" s="2">
        <v>169.80000305175781</v>
      </c>
      <c r="M218" s="2">
        <v>200.44999694824219</v>
      </c>
      <c r="N218" s="12">
        <f t="shared" si="38"/>
        <v>-1.7571296802199043E-4</v>
      </c>
      <c r="O218" s="12">
        <f t="shared" si="39"/>
        <v>-2.2834173001001656E-2</v>
      </c>
      <c r="P218" s="12">
        <f t="shared" si="40"/>
        <v>1.231715921759835E-2</v>
      </c>
      <c r="Q218" s="12">
        <f t="shared" si="41"/>
        <v>7.4024365777236589E-4</v>
      </c>
      <c r="R218" s="12">
        <f t="shared" si="42"/>
        <v>1.7670704449737284E-2</v>
      </c>
      <c r="S218" s="12">
        <f t="shared" si="43"/>
        <v>2.0408252500044854E-2</v>
      </c>
      <c r="T218" s="12">
        <f t="shared" si="44"/>
        <v>-6.3786046713361078E-3</v>
      </c>
      <c r="U218" s="12">
        <f t="shared" si="45"/>
        <v>6.2770929743826809E-2</v>
      </c>
    </row>
    <row r="219" spans="1:21" x14ac:dyDescent="0.3">
      <c r="A219" s="13">
        <f t="shared" si="35"/>
        <v>215</v>
      </c>
      <c r="B219" s="1">
        <v>45344</v>
      </c>
      <c r="C219" s="7">
        <f t="shared" si="36"/>
        <v>2024</v>
      </c>
      <c r="D219" s="7">
        <f t="shared" si="37"/>
        <v>2</v>
      </c>
      <c r="E219" s="77">
        <v>17.097999999999999</v>
      </c>
      <c r="F219" s="2">
        <v>52.754867553710938</v>
      </c>
      <c r="G219" s="2">
        <v>41.43310546875</v>
      </c>
      <c r="H219" s="2">
        <v>12.838936805725099</v>
      </c>
      <c r="I219" s="2">
        <v>216.1499938964844</v>
      </c>
      <c r="J219" s="2">
        <v>12.44999980926514</v>
      </c>
      <c r="K219" s="2">
        <v>341.99212646484381</v>
      </c>
      <c r="L219" s="2">
        <v>170.97999572753909</v>
      </c>
      <c r="M219" s="2">
        <v>188.71000671386719</v>
      </c>
      <c r="N219" s="12">
        <f t="shared" si="38"/>
        <v>5.1209714023192632E-3</v>
      </c>
      <c r="O219" s="12">
        <f t="shared" si="39"/>
        <v>3.3064077654119117E-3</v>
      </c>
      <c r="P219" s="12">
        <f t="shared" si="40"/>
        <v>-9.1532576146872158E-3</v>
      </c>
      <c r="Q219" s="12">
        <f t="shared" si="41"/>
        <v>4.1345322510459859E-3</v>
      </c>
      <c r="R219" s="12">
        <f t="shared" si="42"/>
        <v>1.9656000849168853E-2</v>
      </c>
      <c r="S219" s="12">
        <f t="shared" si="43"/>
        <v>0</v>
      </c>
      <c r="T219" s="12">
        <f t="shared" si="44"/>
        <v>1.7434150677584803E-2</v>
      </c>
      <c r="U219" s="12">
        <f t="shared" si="45"/>
        <v>2.9085584336995707E-2</v>
      </c>
    </row>
    <row r="220" spans="1:21" x14ac:dyDescent="0.3">
      <c r="A220" s="13">
        <f t="shared" si="35"/>
        <v>216</v>
      </c>
      <c r="B220" s="1">
        <v>45343</v>
      </c>
      <c r="C220" s="7">
        <f t="shared" si="36"/>
        <v>2024</v>
      </c>
      <c r="D220" s="7">
        <f t="shared" si="37"/>
        <v>2</v>
      </c>
      <c r="E220" s="77">
        <v>17.0382</v>
      </c>
      <c r="F220" s="2">
        <v>52.486087799072273</v>
      </c>
      <c r="G220" s="2">
        <v>41.296562194824219</v>
      </c>
      <c r="H220" s="2">
        <v>12.957540512084959</v>
      </c>
      <c r="I220" s="2">
        <v>215.25999450683591</v>
      </c>
      <c r="J220" s="2">
        <v>12.210000038146971</v>
      </c>
      <c r="K220" s="2">
        <v>341.99212646484381</v>
      </c>
      <c r="L220" s="2">
        <v>168.63999938964841</v>
      </c>
      <c r="M220" s="2">
        <v>184.02000427246091</v>
      </c>
      <c r="N220" s="12">
        <f t="shared" si="38"/>
        <v>-8.2312497287916342E-3</v>
      </c>
      <c r="O220" s="12">
        <f t="shared" si="39"/>
        <v>-6.1031266451111454E-3</v>
      </c>
      <c r="P220" s="12">
        <f t="shared" si="40"/>
        <v>-1.7241391781204429E-2</v>
      </c>
      <c r="Q220" s="12">
        <f t="shared" si="41"/>
        <v>-1.3699910621599476E-2</v>
      </c>
      <c r="R220" s="12">
        <f t="shared" si="42"/>
        <v>-5.0544295169773323E-2</v>
      </c>
      <c r="S220" s="12">
        <f t="shared" si="43"/>
        <v>0</v>
      </c>
      <c r="T220" s="12">
        <f t="shared" si="44"/>
        <v>-2.203167755131219E-2</v>
      </c>
      <c r="U220" s="12">
        <f t="shared" si="45"/>
        <v>-2.2408887143976153E-2</v>
      </c>
    </row>
    <row r="221" spans="1:21" x14ac:dyDescent="0.3">
      <c r="A221" s="13">
        <f t="shared" si="35"/>
        <v>217</v>
      </c>
      <c r="B221" s="1">
        <v>45342</v>
      </c>
      <c r="C221" s="7">
        <f t="shared" si="36"/>
        <v>2024</v>
      </c>
      <c r="D221" s="7">
        <f t="shared" si="37"/>
        <v>2</v>
      </c>
      <c r="E221" s="77">
        <v>17.047999999999998</v>
      </c>
      <c r="F221" s="2">
        <v>52.921699523925781</v>
      </c>
      <c r="G221" s="2">
        <v>41.550148010253913</v>
      </c>
      <c r="H221" s="2">
        <v>13.184865951538089</v>
      </c>
      <c r="I221" s="2">
        <v>218.25</v>
      </c>
      <c r="J221" s="2">
        <v>12.85999965667725</v>
      </c>
      <c r="K221" s="2">
        <v>341.99212646484381</v>
      </c>
      <c r="L221" s="2">
        <v>172.3399963378906</v>
      </c>
      <c r="M221" s="2">
        <v>188.1300048828125</v>
      </c>
      <c r="N221" s="12">
        <f t="shared" si="38"/>
        <v>1.5787035369183577E-3</v>
      </c>
      <c r="O221" s="12">
        <f t="shared" si="39"/>
        <v>2.3472009811986716E-4</v>
      </c>
      <c r="P221" s="12">
        <f t="shared" si="40"/>
        <v>1.6768292010269414E-2</v>
      </c>
      <c r="Q221" s="12">
        <f t="shared" si="41"/>
        <v>1.3654741882601629E-2</v>
      </c>
      <c r="R221" s="12">
        <f t="shared" si="42"/>
        <v>5.4730019572322153E-3</v>
      </c>
      <c r="S221" s="12">
        <f t="shared" si="43"/>
        <v>-4.0072043823546899E-3</v>
      </c>
      <c r="T221" s="12">
        <f t="shared" si="44"/>
        <v>-1.1689354277322317E-2</v>
      </c>
      <c r="U221" s="12">
        <f t="shared" si="45"/>
        <v>-2.7704310176843383E-2</v>
      </c>
    </row>
    <row r="222" spans="1:21" x14ac:dyDescent="0.3">
      <c r="A222" s="13">
        <f t="shared" si="35"/>
        <v>218</v>
      </c>
      <c r="B222" s="1">
        <v>45341</v>
      </c>
      <c r="C222" s="7">
        <f t="shared" si="36"/>
        <v>2024</v>
      </c>
      <c r="D222" s="7">
        <f t="shared" si="37"/>
        <v>2</v>
      </c>
      <c r="E222" s="77">
        <v>17.041</v>
      </c>
      <c r="F222" s="2">
        <v>52.838283538818359</v>
      </c>
      <c r="G222" s="2">
        <v>41.540397644042969</v>
      </c>
      <c r="H222" s="2">
        <v>12.967424392700201</v>
      </c>
      <c r="I222" s="2">
        <v>215.30999755859381</v>
      </c>
      <c r="J222" s="2">
        <v>12.789999961853029</v>
      </c>
      <c r="K222" s="2">
        <v>343.36807250976563</v>
      </c>
      <c r="L222" s="2">
        <v>174.44999694824219</v>
      </c>
      <c r="M222" s="2">
        <v>193.57000732421881</v>
      </c>
      <c r="N222" s="12">
        <f t="shared" si="38"/>
        <v>-7.1402095829136147E-3</v>
      </c>
      <c r="O222" s="12">
        <f t="shared" si="39"/>
        <v>-6.9946292591163139E-3</v>
      </c>
      <c r="P222" s="12">
        <f t="shared" si="40"/>
        <v>-3.9531532755897714E-2</v>
      </c>
      <c r="Q222" s="12">
        <f t="shared" si="41"/>
        <v>-7.8794888959649034E-3</v>
      </c>
      <c r="R222" s="12">
        <f t="shared" si="42"/>
        <v>-8.527105420935932E-3</v>
      </c>
      <c r="S222" s="12">
        <f t="shared" si="43"/>
        <v>0</v>
      </c>
      <c r="T222" s="12">
        <f t="shared" si="44"/>
        <v>2.6540803075969288E-2</v>
      </c>
      <c r="U222" s="12">
        <f t="shared" si="45"/>
        <v>2.0555421386535988E-2</v>
      </c>
    </row>
    <row r="223" spans="1:21" x14ac:dyDescent="0.3">
      <c r="A223" s="13">
        <f t="shared" si="35"/>
        <v>219</v>
      </c>
      <c r="B223" s="1">
        <v>45338</v>
      </c>
      <c r="C223" s="7">
        <f t="shared" si="36"/>
        <v>2024</v>
      </c>
      <c r="D223" s="7">
        <f t="shared" si="37"/>
        <v>2</v>
      </c>
      <c r="E223" s="77">
        <v>17.050999999999998</v>
      </c>
      <c r="F223" s="2">
        <v>53.218273162841797</v>
      </c>
      <c r="G223" s="2">
        <v>41.833003997802727</v>
      </c>
      <c r="H223" s="2">
        <v>13.501145362854</v>
      </c>
      <c r="I223" s="2">
        <v>217.02000427246091</v>
      </c>
      <c r="J223" s="2">
        <v>12.89999961853027</v>
      </c>
      <c r="K223" s="2">
        <v>343.36807250976563</v>
      </c>
      <c r="L223" s="2">
        <v>169.8399963378906</v>
      </c>
      <c r="M223" s="2">
        <v>189.55999755859381</v>
      </c>
      <c r="N223" s="12">
        <f t="shared" si="38"/>
        <v>-1.6107072616107665E-2</v>
      </c>
      <c r="O223" s="12">
        <f t="shared" si="39"/>
        <v>9.4140305819301329E-3</v>
      </c>
      <c r="P223" s="12">
        <f t="shared" si="40"/>
        <v>-8.3836268584671081E-2</v>
      </c>
      <c r="Q223" s="12">
        <f t="shared" si="41"/>
        <v>-1.336607724890071E-2</v>
      </c>
      <c r="R223" s="12">
        <f t="shared" si="42"/>
        <v>-1.6018309965402766E-2</v>
      </c>
      <c r="S223" s="12">
        <f t="shared" si="43"/>
        <v>0</v>
      </c>
      <c r="T223" s="12">
        <f t="shared" si="44"/>
        <v>-3.3448061616356828E-3</v>
      </c>
      <c r="U223" s="12">
        <f t="shared" si="45"/>
        <v>1.1267173992370649E-2</v>
      </c>
    </row>
    <row r="224" spans="1:21" x14ac:dyDescent="0.3">
      <c r="A224" s="13">
        <f t="shared" si="35"/>
        <v>220</v>
      </c>
      <c r="B224" s="1">
        <v>45337</v>
      </c>
      <c r="C224" s="7">
        <f t="shared" si="36"/>
        <v>2024</v>
      </c>
      <c r="D224" s="7">
        <f t="shared" si="37"/>
        <v>2</v>
      </c>
      <c r="E224" s="77">
        <v>17.039000000000001</v>
      </c>
      <c r="F224" s="2">
        <v>54.089496612548828</v>
      </c>
      <c r="G224" s="2">
        <v>41.442859649658203</v>
      </c>
      <c r="H224" s="2">
        <v>14.736607551574711</v>
      </c>
      <c r="I224" s="2">
        <v>219.96000671386719</v>
      </c>
      <c r="J224" s="2">
        <v>13.10999965667725</v>
      </c>
      <c r="K224" s="2">
        <v>343.36807250976563</v>
      </c>
      <c r="L224" s="2">
        <v>170.5299987792969</v>
      </c>
      <c r="M224" s="2">
        <v>187.58000183105469</v>
      </c>
      <c r="N224" s="12">
        <f t="shared" si="38"/>
        <v>1.7126562119873512E-4</v>
      </c>
      <c r="O224" s="12">
        <f t="shared" si="39"/>
        <v>3.6341404760017459E-2</v>
      </c>
      <c r="P224" s="12">
        <f t="shared" si="40"/>
        <v>7.4323010280117341E-3</v>
      </c>
      <c r="Q224" s="12">
        <f t="shared" si="41"/>
        <v>-7.4454848244214222E-3</v>
      </c>
      <c r="R224" s="12">
        <f t="shared" si="42"/>
        <v>-2.5278822112226207E-2</v>
      </c>
      <c r="S224" s="12">
        <f t="shared" si="43"/>
        <v>0</v>
      </c>
      <c r="T224" s="12">
        <f t="shared" si="44"/>
        <v>6.1507727607568174E-3</v>
      </c>
      <c r="U224" s="12">
        <f t="shared" si="45"/>
        <v>1.1380009440556282E-2</v>
      </c>
    </row>
    <row r="225" spans="1:21" x14ac:dyDescent="0.3">
      <c r="A225" s="13">
        <f t="shared" si="35"/>
        <v>221</v>
      </c>
      <c r="B225" s="1">
        <v>45336</v>
      </c>
      <c r="C225" s="7">
        <f t="shared" si="36"/>
        <v>2024</v>
      </c>
      <c r="D225" s="7">
        <f t="shared" si="37"/>
        <v>2</v>
      </c>
      <c r="E225" s="77">
        <v>17.073</v>
      </c>
      <c r="F225" s="2">
        <v>54.080234527587891</v>
      </c>
      <c r="G225" s="2">
        <v>39.989582061767578</v>
      </c>
      <c r="H225" s="2">
        <v>14.627888679504389</v>
      </c>
      <c r="I225" s="2">
        <v>221.61000061035159</v>
      </c>
      <c r="J225" s="2">
        <v>13.44999980926514</v>
      </c>
      <c r="K225" s="2">
        <v>343.36807250976563</v>
      </c>
      <c r="L225" s="2">
        <v>169.1499938964844</v>
      </c>
      <c r="M225" s="2">
        <v>185.1000061035156</v>
      </c>
      <c r="N225" s="12">
        <f t="shared" si="38"/>
        <v>7.0764107588778824E-3</v>
      </c>
      <c r="O225" s="12">
        <f t="shared" si="39"/>
        <v>1.6864993430602659E-2</v>
      </c>
      <c r="P225" s="12">
        <f t="shared" si="40"/>
        <v>4.7523553141688435E-3</v>
      </c>
      <c r="Q225" s="12">
        <f t="shared" si="41"/>
        <v>1.7773468446564245E-2</v>
      </c>
      <c r="R225" s="12">
        <f t="shared" si="42"/>
        <v>-3.2374087885961411E-2</v>
      </c>
      <c r="S225" s="12">
        <f t="shared" si="43"/>
        <v>1.587031440873754E-2</v>
      </c>
      <c r="T225" s="12">
        <f t="shared" si="44"/>
        <v>-2.132915796460999E-2</v>
      </c>
      <c r="U225" s="12">
        <f t="shared" si="45"/>
        <v>-2.0804009161034309E-2</v>
      </c>
    </row>
    <row r="226" spans="1:21" x14ac:dyDescent="0.3">
      <c r="A226" s="13">
        <f t="shared" si="35"/>
        <v>222</v>
      </c>
      <c r="B226" s="1">
        <v>45335</v>
      </c>
      <c r="C226" s="7">
        <f t="shared" si="36"/>
        <v>2024</v>
      </c>
      <c r="D226" s="7">
        <f t="shared" si="37"/>
        <v>2</v>
      </c>
      <c r="E226" s="77">
        <v>17.175000000000001</v>
      </c>
      <c r="F226" s="2">
        <v>53.700229644775391</v>
      </c>
      <c r="G226" s="2">
        <v>39.326343536376953</v>
      </c>
      <c r="H226" s="2">
        <v>14.558700561523439</v>
      </c>
      <c r="I226" s="2">
        <v>217.74000549316409</v>
      </c>
      <c r="J226" s="2">
        <v>13.89999961853027</v>
      </c>
      <c r="K226" s="2">
        <v>338.00384521484381</v>
      </c>
      <c r="L226" s="2">
        <v>171.80999755859381</v>
      </c>
      <c r="M226" s="2">
        <v>187.9100036621094</v>
      </c>
      <c r="N226" s="12">
        <f t="shared" si="38"/>
        <v>7.8272531739465023E-3</v>
      </c>
      <c r="O226" s="12">
        <f t="shared" si="39"/>
        <v>-4.4444388648472444E-3</v>
      </c>
      <c r="P226" s="12">
        <f t="shared" si="40"/>
        <v>2.505216108689301E-2</v>
      </c>
      <c r="Q226" s="12">
        <f t="shared" si="41"/>
        <v>-3.5609856185675803E-2</v>
      </c>
      <c r="R226" s="12">
        <f t="shared" si="42"/>
        <v>1.238165200013186E-2</v>
      </c>
      <c r="S226" s="12">
        <f t="shared" si="43"/>
        <v>0</v>
      </c>
      <c r="T226" s="12">
        <f t="shared" si="44"/>
        <v>8.5657685197721545E-2</v>
      </c>
      <c r="U226" s="12">
        <f t="shared" si="45"/>
        <v>1.418562483664676E-3</v>
      </c>
    </row>
    <row r="227" spans="1:21" x14ac:dyDescent="0.3">
      <c r="A227" s="13">
        <f t="shared" si="35"/>
        <v>223</v>
      </c>
      <c r="B227" s="1">
        <v>45334</v>
      </c>
      <c r="C227" s="7">
        <f t="shared" si="36"/>
        <v>2024</v>
      </c>
      <c r="D227" s="7">
        <f t="shared" si="37"/>
        <v>2</v>
      </c>
      <c r="E227" s="77">
        <v>17.064399999999999</v>
      </c>
      <c r="F227" s="2">
        <v>53.283168792724609</v>
      </c>
      <c r="G227" s="2">
        <v>39.501907348632813</v>
      </c>
      <c r="H227" s="2">
        <v>14.20288753509521</v>
      </c>
      <c r="I227" s="2">
        <v>225.7799987792969</v>
      </c>
      <c r="J227" s="2">
        <v>13.72999954223633</v>
      </c>
      <c r="K227" s="2">
        <v>338.00384521484381</v>
      </c>
      <c r="L227" s="2">
        <v>159.2799987792969</v>
      </c>
      <c r="M227" s="2">
        <v>188.86000061035159</v>
      </c>
      <c r="N227" s="12">
        <f t="shared" si="38"/>
        <v>7.536109321625295E-3</v>
      </c>
      <c r="O227" s="12">
        <f t="shared" si="39"/>
        <v>6.4613548696925704E-3</v>
      </c>
      <c r="P227" s="12">
        <f t="shared" si="40"/>
        <v>7.0076959699356678E-3</v>
      </c>
      <c r="Q227" s="12">
        <f t="shared" si="41"/>
        <v>-1.1944448963315812E-3</v>
      </c>
      <c r="R227" s="12">
        <f t="shared" si="42"/>
        <v>1.4587530294465356E-3</v>
      </c>
      <c r="S227" s="12">
        <f t="shared" si="43"/>
        <v>0</v>
      </c>
      <c r="T227" s="12">
        <f t="shared" si="44"/>
        <v>2.5591497794151152E-2</v>
      </c>
      <c r="U227" s="12">
        <f t="shared" si="45"/>
        <v>7.6977508457620747E-3</v>
      </c>
    </row>
    <row r="228" spans="1:21" x14ac:dyDescent="0.3">
      <c r="A228" s="13">
        <f t="shared" si="35"/>
        <v>224</v>
      </c>
      <c r="B228" s="1">
        <v>45331</v>
      </c>
      <c r="C228" s="7">
        <f t="shared" si="36"/>
        <v>2024</v>
      </c>
      <c r="D228" s="7">
        <f t="shared" si="37"/>
        <v>2</v>
      </c>
      <c r="E228" s="77">
        <v>17.076000000000001</v>
      </c>
      <c r="F228" s="2">
        <v>52.884624481201172</v>
      </c>
      <c r="G228" s="2">
        <v>39.248310089111328</v>
      </c>
      <c r="H228" s="2">
        <v>14.1040506362915</v>
      </c>
      <c r="I228" s="2">
        <v>226.05000305175781</v>
      </c>
      <c r="J228" s="2">
        <v>13.710000038146971</v>
      </c>
      <c r="K228" s="2">
        <v>338.00384521484381</v>
      </c>
      <c r="L228" s="2">
        <v>155.19999694824219</v>
      </c>
      <c r="M228" s="2">
        <v>187.28999328613281</v>
      </c>
      <c r="N228" s="12">
        <f t="shared" si="38"/>
        <v>-2.2731244078793011E-3</v>
      </c>
      <c r="O228" s="12">
        <f t="shared" si="39"/>
        <v>-6.9102239404048582E-3</v>
      </c>
      <c r="P228" s="12">
        <f t="shared" si="40"/>
        <v>-5.5749431148838235E-3</v>
      </c>
      <c r="Q228" s="12">
        <f t="shared" si="41"/>
        <v>-2.9786695900180571E-2</v>
      </c>
      <c r="R228" s="12">
        <f t="shared" si="42"/>
        <v>-1.0822483567524022E-2</v>
      </c>
      <c r="S228" s="12">
        <f t="shared" si="43"/>
        <v>0</v>
      </c>
      <c r="T228" s="12">
        <f t="shared" si="44"/>
        <v>-2.7589493379808872E-2</v>
      </c>
      <c r="U228" s="12">
        <f t="shared" si="45"/>
        <v>-2.613938246798575E-2</v>
      </c>
    </row>
    <row r="229" spans="1:21" x14ac:dyDescent="0.3">
      <c r="A229" s="13">
        <f t="shared" si="35"/>
        <v>225</v>
      </c>
      <c r="B229" s="1">
        <v>45330</v>
      </c>
      <c r="C229" s="7">
        <f t="shared" si="36"/>
        <v>2024</v>
      </c>
      <c r="D229" s="7">
        <f t="shared" si="37"/>
        <v>2</v>
      </c>
      <c r="E229" s="77">
        <v>17.140799999999999</v>
      </c>
      <c r="F229" s="2">
        <v>53.005111694335938</v>
      </c>
      <c r="G229" s="2">
        <v>39.521411895751953</v>
      </c>
      <c r="H229" s="2">
        <v>14.183120727539061</v>
      </c>
      <c r="I229" s="2">
        <v>232.99000549316409</v>
      </c>
      <c r="J229" s="2">
        <v>13.85999965667725</v>
      </c>
      <c r="K229" s="2">
        <v>338.00384521484381</v>
      </c>
      <c r="L229" s="2">
        <v>159</v>
      </c>
      <c r="M229" s="2">
        <v>191.5899963378906</v>
      </c>
      <c r="N229" s="12">
        <f t="shared" si="38"/>
        <v>6.1575226592269772E-3</v>
      </c>
      <c r="O229" s="12">
        <f t="shared" si="39"/>
        <v>-9.8616001036788692E-4</v>
      </c>
      <c r="P229" s="12">
        <f t="shared" si="40"/>
        <v>2.0949412468396211E-3</v>
      </c>
      <c r="Q229" s="12">
        <f t="shared" si="41"/>
        <v>-1.9030731835336434E-2</v>
      </c>
      <c r="R229" s="12">
        <f t="shared" si="42"/>
        <v>-3.0090994144412853E-2</v>
      </c>
      <c r="S229" s="12">
        <f t="shared" si="43"/>
        <v>0</v>
      </c>
      <c r="T229" s="12">
        <f t="shared" si="44"/>
        <v>-7.3664674993532131E-3</v>
      </c>
      <c r="U229" s="12">
        <f t="shared" si="45"/>
        <v>1.0222720301494181E-2</v>
      </c>
    </row>
    <row r="230" spans="1:21" x14ac:dyDescent="0.3">
      <c r="A230" s="13">
        <f t="shared" si="35"/>
        <v>226</v>
      </c>
      <c r="B230" s="1">
        <v>45329</v>
      </c>
      <c r="C230" s="7">
        <f t="shared" si="36"/>
        <v>2024</v>
      </c>
      <c r="D230" s="7">
        <f t="shared" si="37"/>
        <v>2</v>
      </c>
      <c r="E230" s="77">
        <v>17.026</v>
      </c>
      <c r="F230" s="2">
        <v>52.680728912353523</v>
      </c>
      <c r="G230" s="2">
        <v>39.5604248046875</v>
      </c>
      <c r="H230" s="2">
        <v>14.153470039367679</v>
      </c>
      <c r="I230" s="2">
        <v>237.50999450683591</v>
      </c>
      <c r="J230" s="2">
        <v>14.289999961853029</v>
      </c>
      <c r="K230" s="2">
        <v>338.00384521484381</v>
      </c>
      <c r="L230" s="2">
        <v>161.25999450683591</v>
      </c>
      <c r="M230" s="2">
        <v>190.92999267578119</v>
      </c>
      <c r="N230" s="12">
        <f t="shared" si="38"/>
        <v>5.8386248746702396E-3</v>
      </c>
      <c r="O230" s="12">
        <f t="shared" si="39"/>
        <v>-2.9499449631393837E-3</v>
      </c>
      <c r="P230" s="12">
        <f t="shared" si="40"/>
        <v>1.2729862075930631E-2</v>
      </c>
      <c r="Q230" s="12">
        <f t="shared" si="41"/>
        <v>6.9431304530642279E-2</v>
      </c>
      <c r="R230" s="12">
        <f t="shared" si="42"/>
        <v>2.2906205347716702E-2</v>
      </c>
      <c r="S230" s="12">
        <f t="shared" si="43"/>
        <v>0</v>
      </c>
      <c r="T230" s="12">
        <f t="shared" si="44"/>
        <v>1.3091950067724456E-2</v>
      </c>
      <c r="U230" s="12">
        <f t="shared" si="45"/>
        <v>4.1542877093835973E-2</v>
      </c>
    </row>
    <row r="231" spans="1:21" x14ac:dyDescent="0.3">
      <c r="A231" s="13">
        <f t="shared" si="35"/>
        <v>227</v>
      </c>
      <c r="B231" s="1">
        <v>45328</v>
      </c>
      <c r="C231" s="7">
        <f t="shared" si="36"/>
        <v>2024</v>
      </c>
      <c r="D231" s="7">
        <f t="shared" si="37"/>
        <v>2</v>
      </c>
      <c r="E231" s="77">
        <v>17.032</v>
      </c>
      <c r="F231" s="2">
        <v>52.374931335449219</v>
      </c>
      <c r="G231" s="2">
        <v>39.677471160888672</v>
      </c>
      <c r="H231" s="2">
        <v>13.97556304931641</v>
      </c>
      <c r="I231" s="2">
        <v>222.0899963378906</v>
      </c>
      <c r="J231" s="2">
        <v>13.97000026702881</v>
      </c>
      <c r="K231" s="2">
        <v>338.00384521484381</v>
      </c>
      <c r="L231" s="2">
        <v>159.1199951171875</v>
      </c>
      <c r="M231" s="2">
        <v>183.25</v>
      </c>
      <c r="N231" s="12">
        <f t="shared" si="38"/>
        <v>1.0366471765017149E-2</v>
      </c>
      <c r="O231" s="12">
        <f t="shared" si="39"/>
        <v>-1.9286317798908659E-2</v>
      </c>
      <c r="P231" s="12">
        <f t="shared" si="40"/>
        <v>1.1444983917720863E-2</v>
      </c>
      <c r="Q231" s="12">
        <f t="shared" si="41"/>
        <v>1.6104629618511002E-2</v>
      </c>
      <c r="R231" s="12">
        <f t="shared" si="42"/>
        <v>-1.2720802569191614E-2</v>
      </c>
      <c r="S231" s="12">
        <f t="shared" si="43"/>
        <v>6.2696004471192834E-2</v>
      </c>
      <c r="T231" s="12">
        <f t="shared" si="44"/>
        <v>3.9102465770548545E-3</v>
      </c>
      <c r="U231" s="12">
        <f t="shared" si="45"/>
        <v>-1.3544970171422976E-3</v>
      </c>
    </row>
    <row r="232" spans="1:21" x14ac:dyDescent="0.3">
      <c r="A232" s="13">
        <f t="shared" si="35"/>
        <v>228</v>
      </c>
      <c r="B232" s="1">
        <v>45324</v>
      </c>
      <c r="C232" s="7">
        <f t="shared" si="36"/>
        <v>2024</v>
      </c>
      <c r="D232" s="7">
        <f t="shared" si="37"/>
        <v>2</v>
      </c>
      <c r="E232" s="77">
        <v>17.113</v>
      </c>
      <c r="F232" s="2">
        <v>51.837558746337891</v>
      </c>
      <c r="G232" s="2">
        <v>40.457752227783203</v>
      </c>
      <c r="H232" s="2">
        <v>13.817422866821291</v>
      </c>
      <c r="I232" s="2">
        <v>218.57000732421881</v>
      </c>
      <c r="J232" s="2">
        <v>14.14999961853027</v>
      </c>
      <c r="K232" s="2">
        <v>318.06259155273438</v>
      </c>
      <c r="L232" s="2">
        <v>157.75</v>
      </c>
      <c r="M232" s="2">
        <v>182.6300048828125</v>
      </c>
      <c r="N232" s="12">
        <f t="shared" si="38"/>
        <v>1.4873766491067197E-2</v>
      </c>
      <c r="O232" s="12">
        <f t="shared" si="39"/>
        <v>3.725925297822763E-2</v>
      </c>
      <c r="P232" s="12">
        <f t="shared" si="40"/>
        <v>4.4062712286879302E-2</v>
      </c>
      <c r="Q232" s="12">
        <f t="shared" si="41"/>
        <v>-1.2782234192783015E-2</v>
      </c>
      <c r="R232" s="12">
        <f t="shared" si="42"/>
        <v>-2.0761259148426747E-2</v>
      </c>
      <c r="S232" s="12">
        <f t="shared" si="43"/>
        <v>0</v>
      </c>
      <c r="T232" s="12">
        <f t="shared" si="44"/>
        <v>7.5526947119062271E-3</v>
      </c>
      <c r="U232" s="12">
        <f t="shared" si="45"/>
        <v>-0.11955511794504725</v>
      </c>
    </row>
    <row r="233" spans="1:21" x14ac:dyDescent="0.3">
      <c r="A233" s="13">
        <f t="shared" si="35"/>
        <v>229</v>
      </c>
      <c r="B233" s="1">
        <v>45323</v>
      </c>
      <c r="C233" s="7">
        <f t="shared" si="36"/>
        <v>2024</v>
      </c>
      <c r="D233" s="7">
        <f t="shared" si="37"/>
        <v>2</v>
      </c>
      <c r="E233" s="77">
        <v>17.079999999999998</v>
      </c>
      <c r="F233" s="2">
        <v>51.077838897705078</v>
      </c>
      <c r="G233" s="2">
        <v>39.004474639892578</v>
      </c>
      <c r="H233" s="2">
        <v>13.23428440093994</v>
      </c>
      <c r="I233" s="2">
        <v>221.3999938964844</v>
      </c>
      <c r="J233" s="2">
        <v>14.44999980926514</v>
      </c>
      <c r="K233" s="2">
        <v>318.06259155273438</v>
      </c>
      <c r="L233" s="2">
        <v>156.8699951171875</v>
      </c>
      <c r="M233" s="2">
        <v>207.83000183105469</v>
      </c>
      <c r="N233" s="12">
        <f t="shared" si="38"/>
        <v>-3.2541867086555154E-3</v>
      </c>
      <c r="O233" s="12">
        <f t="shared" si="39"/>
        <v>-2.4991823391129486E-4</v>
      </c>
      <c r="P233" s="12">
        <f t="shared" si="40"/>
        <v>2.7628513981280634E-2</v>
      </c>
      <c r="Q233" s="12">
        <f t="shared" si="41"/>
        <v>4.4339593851341563E-2</v>
      </c>
      <c r="R233" s="12">
        <f t="shared" si="42"/>
        <v>1.1904767470088728E-2</v>
      </c>
      <c r="S233" s="12">
        <f t="shared" si="43"/>
        <v>0</v>
      </c>
      <c r="T233" s="12">
        <f t="shared" si="44"/>
        <v>-2.2628882178904464E-3</v>
      </c>
      <c r="U233" s="12">
        <f t="shared" si="45"/>
        <v>-1.3884766198131171E-2</v>
      </c>
    </row>
    <row r="234" spans="1:21" x14ac:dyDescent="0.3">
      <c r="A234" s="13">
        <f t="shared" si="35"/>
        <v>230</v>
      </c>
      <c r="B234" s="1">
        <v>45322</v>
      </c>
      <c r="C234" s="7">
        <f t="shared" si="36"/>
        <v>2024</v>
      </c>
      <c r="D234" s="7">
        <f t="shared" si="37"/>
        <v>1</v>
      </c>
      <c r="E234" s="77">
        <v>17.212</v>
      </c>
      <c r="F234" s="2">
        <v>51.244598388671882</v>
      </c>
      <c r="G234" s="2">
        <v>39.014225006103523</v>
      </c>
      <c r="H234" s="2">
        <v>12.878471374511721</v>
      </c>
      <c r="I234" s="2">
        <v>212</v>
      </c>
      <c r="J234" s="2">
        <v>14.27999973297119</v>
      </c>
      <c r="K234" s="2">
        <v>318.06259155273438</v>
      </c>
      <c r="L234" s="2">
        <v>156.02000427246091</v>
      </c>
      <c r="M234" s="2">
        <v>209.13999938964841</v>
      </c>
      <c r="N234" s="12">
        <f t="shared" si="38"/>
        <v>1.5607748381721853E-2</v>
      </c>
      <c r="O234" s="12">
        <f t="shared" si="39"/>
        <v>2.406558044145779E-2</v>
      </c>
      <c r="P234" s="12">
        <f t="shared" si="40"/>
        <v>1.6380793192203758E-2</v>
      </c>
      <c r="Q234" s="12">
        <f t="shared" si="41"/>
        <v>2.168674698795181E-2</v>
      </c>
      <c r="R234" s="12">
        <f t="shared" si="42"/>
        <v>2.5862044159778774E-2</v>
      </c>
      <c r="S234" s="12">
        <f t="shared" si="43"/>
        <v>0</v>
      </c>
      <c r="T234" s="12">
        <f t="shared" si="44"/>
        <v>1.2245760164524722E-2</v>
      </c>
      <c r="U234" s="12">
        <f t="shared" si="45"/>
        <v>5.8358751911913309E-3</v>
      </c>
    </row>
    <row r="235" spans="1:21" x14ac:dyDescent="0.3">
      <c r="A235" s="13">
        <f t="shared" si="35"/>
        <v>231</v>
      </c>
      <c r="B235" s="1">
        <v>45321</v>
      </c>
      <c r="C235" s="7">
        <f t="shared" si="36"/>
        <v>2024</v>
      </c>
      <c r="D235" s="7">
        <f t="shared" si="37"/>
        <v>1</v>
      </c>
      <c r="E235" s="77">
        <v>17.14</v>
      </c>
      <c r="F235" s="2">
        <v>50.457077026367188</v>
      </c>
      <c r="G235" s="2">
        <v>38.097389221191413</v>
      </c>
      <c r="H235" s="2">
        <v>12.67091178894043</v>
      </c>
      <c r="I235" s="2">
        <v>207.5</v>
      </c>
      <c r="J235" s="2">
        <v>13.920000076293951</v>
      </c>
      <c r="K235" s="2">
        <v>318.06259155273438</v>
      </c>
      <c r="L235" s="2">
        <v>154.7799987792969</v>
      </c>
      <c r="M235" s="2">
        <v>208.80000305175781</v>
      </c>
      <c r="N235" s="12">
        <f t="shared" si="38"/>
        <v>-1.2869396333270999E-2</v>
      </c>
      <c r="O235" s="12">
        <f t="shared" si="39"/>
        <v>-2.7148275743159256E-2</v>
      </c>
      <c r="P235" s="12">
        <f t="shared" si="40"/>
        <v>2.3454726568734596E-3</v>
      </c>
      <c r="Q235" s="12">
        <f t="shared" si="41"/>
        <v>-1.8773354129599462E-2</v>
      </c>
      <c r="R235" s="12">
        <f t="shared" si="42"/>
        <v>-1.9718291319165804E-2</v>
      </c>
      <c r="S235" s="12">
        <f t="shared" si="43"/>
        <v>0</v>
      </c>
      <c r="T235" s="12">
        <f t="shared" si="44"/>
        <v>-8.1187916621129341E-3</v>
      </c>
      <c r="U235" s="12">
        <f t="shared" si="45"/>
        <v>-2.0434012845194416E-2</v>
      </c>
    </row>
    <row r="236" spans="1:21" x14ac:dyDescent="0.3">
      <c r="A236" s="13">
        <f t="shared" si="35"/>
        <v>232</v>
      </c>
      <c r="B236" s="1">
        <v>45320</v>
      </c>
      <c r="C236" s="7">
        <f t="shared" si="36"/>
        <v>2024</v>
      </c>
      <c r="D236" s="7">
        <f t="shared" si="37"/>
        <v>1</v>
      </c>
      <c r="E236" s="77">
        <v>17.218</v>
      </c>
      <c r="F236" s="2">
        <v>51.114894866943359</v>
      </c>
      <c r="G236" s="2">
        <v>39.160530090332031</v>
      </c>
      <c r="H236" s="2">
        <v>12.641262054443359</v>
      </c>
      <c r="I236" s="2">
        <v>211.4700012207031</v>
      </c>
      <c r="J236" s="2">
        <v>14.19999980926514</v>
      </c>
      <c r="K236" s="2">
        <v>318.06259155273438</v>
      </c>
      <c r="L236" s="2">
        <v>155.3399963378906</v>
      </c>
      <c r="M236" s="2">
        <v>212.19000244140619</v>
      </c>
      <c r="N236" s="12">
        <f t="shared" si="38"/>
        <v>1.396804525687223E-2</v>
      </c>
      <c r="O236" s="12">
        <f t="shared" si="39"/>
        <v>4.0009627582535678E-3</v>
      </c>
      <c r="P236" s="12">
        <f t="shared" si="40"/>
        <v>3.9246397074113037E-3</v>
      </c>
      <c r="Q236" s="12">
        <f t="shared" si="41"/>
        <v>1.7661203633530187E-2</v>
      </c>
      <c r="R236" s="12">
        <f t="shared" si="42"/>
        <v>7.0921578077991487E-3</v>
      </c>
      <c r="S236" s="12">
        <f t="shared" si="43"/>
        <v>0</v>
      </c>
      <c r="T236" s="12">
        <f t="shared" si="44"/>
        <v>1.5744813280707426E-2</v>
      </c>
      <c r="U236" s="12">
        <f t="shared" si="45"/>
        <v>5.1818683669624388E-3</v>
      </c>
    </row>
    <row r="237" spans="1:21" x14ac:dyDescent="0.3">
      <c r="A237" s="13">
        <f t="shared" si="35"/>
        <v>233</v>
      </c>
      <c r="B237" s="1">
        <v>45317</v>
      </c>
      <c r="C237" s="7">
        <f t="shared" si="36"/>
        <v>2024</v>
      </c>
      <c r="D237" s="7">
        <f t="shared" si="37"/>
        <v>1</v>
      </c>
      <c r="E237" s="77">
        <v>17.154299999999999</v>
      </c>
      <c r="F237" s="2">
        <v>50.410755157470703</v>
      </c>
      <c r="G237" s="2">
        <v>39.004474639892578</v>
      </c>
      <c r="H237" s="2">
        <v>12.5918436050415</v>
      </c>
      <c r="I237" s="2">
        <v>207.80000305175781</v>
      </c>
      <c r="J237" s="2">
        <v>14.10000038146973</v>
      </c>
      <c r="K237" s="2">
        <v>318.06259155273438</v>
      </c>
      <c r="L237" s="2">
        <v>153.5</v>
      </c>
      <c r="M237" s="2">
        <v>211.8800048828125</v>
      </c>
      <c r="N237" s="12">
        <f t="shared" si="38"/>
        <v>-1.1015575099495578E-3</v>
      </c>
      <c r="O237" s="12">
        <f t="shared" si="39"/>
        <v>6.6684547693989016E-2</v>
      </c>
      <c r="P237" s="12">
        <f t="shared" si="40"/>
        <v>-9.3312727891798897E-3</v>
      </c>
      <c r="Q237" s="12">
        <f t="shared" si="41"/>
        <v>-1.4416292309408218E-3</v>
      </c>
      <c r="R237" s="12">
        <f t="shared" si="42"/>
        <v>5.3024646747006132E-2</v>
      </c>
      <c r="S237" s="12">
        <f t="shared" si="43"/>
        <v>-5.899712072634633E-2</v>
      </c>
      <c r="T237" s="12">
        <f t="shared" si="44"/>
        <v>9.6974895228416624E-3</v>
      </c>
      <c r="U237" s="12">
        <f t="shared" si="45"/>
        <v>-1.9067632281828395E-2</v>
      </c>
    </row>
    <row r="238" spans="1:21" x14ac:dyDescent="0.3">
      <c r="A238" s="13">
        <f t="shared" si="35"/>
        <v>234</v>
      </c>
      <c r="B238" s="1">
        <v>45316</v>
      </c>
      <c r="C238" s="7">
        <f t="shared" si="36"/>
        <v>2024</v>
      </c>
      <c r="D238" s="7">
        <f t="shared" si="37"/>
        <v>1</v>
      </c>
      <c r="E238" s="77">
        <v>17.190000000000001</v>
      </c>
      <c r="F238" s="2">
        <v>50.466346740722663</v>
      </c>
      <c r="G238" s="2">
        <v>36.566082000732422</v>
      </c>
      <c r="H238" s="2">
        <v>12.71044826507568</v>
      </c>
      <c r="I238" s="2">
        <v>208.1000061035156</v>
      </c>
      <c r="J238" s="2">
        <v>13.39000034332275</v>
      </c>
      <c r="K238" s="2">
        <v>338.00384521484381</v>
      </c>
      <c r="L238" s="2">
        <v>151.71000671386719</v>
      </c>
      <c r="M238" s="2">
        <v>215.55000305175781</v>
      </c>
      <c r="N238" s="12">
        <f t="shared" si="38"/>
        <v>-6.5656500424572384E-3</v>
      </c>
      <c r="O238" s="12">
        <f t="shared" si="39"/>
        <v>-4.9442278947692486E-2</v>
      </c>
      <c r="P238" s="12">
        <f t="shared" si="40"/>
        <v>4.6875065959639528E-3</v>
      </c>
      <c r="Q238" s="12">
        <f t="shared" si="41"/>
        <v>-3.7287182744467406E-2</v>
      </c>
      <c r="R238" s="12">
        <f t="shared" si="42"/>
        <v>-5.1027592549499179E-2</v>
      </c>
      <c r="S238" s="12">
        <f t="shared" si="43"/>
        <v>0</v>
      </c>
      <c r="T238" s="12">
        <f t="shared" si="44"/>
        <v>-1.0618316736106026E-2</v>
      </c>
      <c r="U238" s="12">
        <f t="shared" si="45"/>
        <v>-2.0965369633107134E-2</v>
      </c>
    </row>
    <row r="239" spans="1:21" x14ac:dyDescent="0.3">
      <c r="A239" s="13">
        <f t="shared" si="35"/>
        <v>235</v>
      </c>
      <c r="B239" s="1">
        <v>45315</v>
      </c>
      <c r="C239" s="7">
        <f t="shared" si="36"/>
        <v>2024</v>
      </c>
      <c r="D239" s="7">
        <f t="shared" si="37"/>
        <v>1</v>
      </c>
      <c r="E239" s="77">
        <v>17.21</v>
      </c>
      <c r="F239" s="2">
        <v>50.799880981445313</v>
      </c>
      <c r="G239" s="2">
        <v>38.468029022216797</v>
      </c>
      <c r="H239" s="2">
        <v>12.65114593505859</v>
      </c>
      <c r="I239" s="2">
        <v>216.1600036621094</v>
      </c>
      <c r="J239" s="2">
        <v>14.10999965667725</v>
      </c>
      <c r="K239" s="2">
        <v>338.00384521484381</v>
      </c>
      <c r="L239" s="2">
        <v>153.1600036621094</v>
      </c>
      <c r="M239" s="2">
        <v>219.9100036621094</v>
      </c>
      <c r="N239" s="12">
        <f t="shared" si="38"/>
        <v>-9.0366199765582467E-3</v>
      </c>
      <c r="O239" s="12">
        <f t="shared" si="39"/>
        <v>-1.3999918845018167E-2</v>
      </c>
      <c r="P239" s="12">
        <f t="shared" si="40"/>
        <v>-3.1770018001648248E-2</v>
      </c>
      <c r="Q239" s="12">
        <f t="shared" si="41"/>
        <v>-4.0142066645811103E-2</v>
      </c>
      <c r="R239" s="12">
        <f t="shared" si="42"/>
        <v>-1.3976293296629194E-2</v>
      </c>
      <c r="S239" s="12">
        <f t="shared" si="43"/>
        <v>-3.1428756073076936E-2</v>
      </c>
      <c r="T239" s="12">
        <f t="shared" si="44"/>
        <v>-1.4595638808465483E-2</v>
      </c>
      <c r="U239" s="12">
        <f t="shared" si="45"/>
        <v>-5.6666000897276358E-4</v>
      </c>
    </row>
    <row r="240" spans="1:21" x14ac:dyDescent="0.3">
      <c r="A240" s="13">
        <f t="shared" si="35"/>
        <v>236</v>
      </c>
      <c r="B240" s="1">
        <v>45314</v>
      </c>
      <c r="C240" s="7">
        <f t="shared" si="36"/>
        <v>2024</v>
      </c>
      <c r="D240" s="7">
        <f t="shared" si="37"/>
        <v>1</v>
      </c>
      <c r="E240" s="77">
        <v>17.3</v>
      </c>
      <c r="F240" s="2">
        <v>51.263126373291023</v>
      </c>
      <c r="G240" s="2">
        <v>39.014225006103523</v>
      </c>
      <c r="H240" s="2">
        <v>13.06626129150391</v>
      </c>
      <c r="I240" s="2">
        <v>225.19999694824219</v>
      </c>
      <c r="J240" s="2">
        <v>14.310000419616699</v>
      </c>
      <c r="K240" s="2">
        <v>348.97158813476563</v>
      </c>
      <c r="L240" s="2">
        <v>154.6199951171875</v>
      </c>
      <c r="M240" s="2">
        <v>218.88999938964841</v>
      </c>
      <c r="N240" s="12">
        <f t="shared" si="38"/>
        <v>2.8999669613627432E-3</v>
      </c>
      <c r="O240" s="12">
        <f t="shared" si="39"/>
        <v>-3.3583060578038948E-2</v>
      </c>
      <c r="P240" s="12">
        <f t="shared" si="40"/>
        <v>-2.2641905147513519E-3</v>
      </c>
      <c r="Q240" s="12">
        <f t="shared" si="41"/>
        <v>-2.2595797725155631E-3</v>
      </c>
      <c r="R240" s="12">
        <f t="shared" si="42"/>
        <v>-3.7012062568481441E-2</v>
      </c>
      <c r="S240" s="12">
        <f t="shared" si="43"/>
        <v>0</v>
      </c>
      <c r="T240" s="12">
        <f t="shared" si="44"/>
        <v>3.7014989880514992E-3</v>
      </c>
      <c r="U240" s="12">
        <f t="shared" si="45"/>
        <v>-2.9592807535155696E-2</v>
      </c>
    </row>
    <row r="241" spans="1:21" x14ac:dyDescent="0.3">
      <c r="A241" s="13">
        <f t="shared" si="35"/>
        <v>237</v>
      </c>
      <c r="B241" s="1">
        <v>45313</v>
      </c>
      <c r="C241" s="7">
        <f t="shared" si="36"/>
        <v>2024</v>
      </c>
      <c r="D241" s="7">
        <f t="shared" si="37"/>
        <v>1</v>
      </c>
      <c r="E241" s="77">
        <v>17.173999999999999</v>
      </c>
      <c r="F241" s="2">
        <v>51.114894866943359</v>
      </c>
      <c r="G241" s="2">
        <v>40.369972229003913</v>
      </c>
      <c r="H241" s="2">
        <v>13.095912933349609</v>
      </c>
      <c r="I241" s="2">
        <v>225.71000671386719</v>
      </c>
      <c r="J241" s="2">
        <v>14.85999965667725</v>
      </c>
      <c r="K241" s="2">
        <v>348.97158813476563</v>
      </c>
      <c r="L241" s="2">
        <v>155.17999267578119</v>
      </c>
      <c r="M241" s="2">
        <v>227.2200012207031</v>
      </c>
      <c r="N241" s="12">
        <f t="shared" si="38"/>
        <v>2.5440199930253371E-3</v>
      </c>
      <c r="O241" s="12">
        <f t="shared" si="39"/>
        <v>1.7203288001355732E-2</v>
      </c>
      <c r="P241" s="12">
        <f t="shared" si="40"/>
        <v>-8.2335323935422977E-3</v>
      </c>
      <c r="Q241" s="12">
        <f t="shared" si="41"/>
        <v>-1.8652144722316577E-2</v>
      </c>
      <c r="R241" s="12">
        <f t="shared" si="42"/>
        <v>8.8255341806469101E-3</v>
      </c>
      <c r="S241" s="12">
        <f t="shared" si="43"/>
        <v>-7.0921733331712478E-3</v>
      </c>
      <c r="T241" s="12">
        <f t="shared" si="44"/>
        <v>1.5106389152581334E-2</v>
      </c>
      <c r="U241" s="12">
        <f t="shared" si="45"/>
        <v>-2.3265524666050585E-2</v>
      </c>
    </row>
    <row r="242" spans="1:21" x14ac:dyDescent="0.3">
      <c r="A242" s="13">
        <f t="shared" si="35"/>
        <v>238</v>
      </c>
      <c r="B242" s="1">
        <v>45310</v>
      </c>
      <c r="C242" s="7">
        <f t="shared" si="36"/>
        <v>2024</v>
      </c>
      <c r="D242" s="7">
        <f t="shared" si="37"/>
        <v>1</v>
      </c>
      <c r="E242" s="77">
        <v>17.077999999999999</v>
      </c>
      <c r="F242" s="2">
        <v>50.985187530517578</v>
      </c>
      <c r="G242" s="2">
        <v>39.687221527099609</v>
      </c>
      <c r="H242" s="2">
        <v>13.204633712768549</v>
      </c>
      <c r="I242" s="2">
        <v>230</v>
      </c>
      <c r="J242" s="2">
        <v>14.72999954223633</v>
      </c>
      <c r="K242" s="2">
        <v>351.4642333984375</v>
      </c>
      <c r="L242" s="2">
        <v>153.72999572753909</v>
      </c>
      <c r="M242" s="2">
        <v>233.94000244140619</v>
      </c>
      <c r="N242" s="12">
        <f t="shared" si="38"/>
        <v>3.4646679250898149E-3</v>
      </c>
      <c r="O242" s="12">
        <f t="shared" si="39"/>
        <v>-5.377715411197137E-3</v>
      </c>
      <c r="P242" s="12">
        <f t="shared" si="40"/>
        <v>8.3018862428503315E-3</v>
      </c>
      <c r="Q242" s="12">
        <f t="shared" si="41"/>
        <v>3.2715376226826187E-3</v>
      </c>
      <c r="R242" s="12">
        <f t="shared" si="42"/>
        <v>-2.0325668143829079E-3</v>
      </c>
      <c r="S242" s="12">
        <f t="shared" si="43"/>
        <v>0</v>
      </c>
      <c r="T242" s="12">
        <f t="shared" si="44"/>
        <v>1.156316834557769E-2</v>
      </c>
      <c r="U242" s="12">
        <f t="shared" si="45"/>
        <v>-8.2899052234576276E-3</v>
      </c>
    </row>
    <row r="243" spans="1:21" x14ac:dyDescent="0.3">
      <c r="A243" s="13">
        <f t="shared" si="35"/>
        <v>239</v>
      </c>
      <c r="B243" s="1">
        <v>45309</v>
      </c>
      <c r="C243" s="7">
        <f t="shared" si="36"/>
        <v>2024</v>
      </c>
      <c r="D243" s="7">
        <f t="shared" si="37"/>
        <v>1</v>
      </c>
      <c r="E243" s="77">
        <v>17.146000000000001</v>
      </c>
      <c r="F243" s="2">
        <v>50.809150695800781</v>
      </c>
      <c r="G243" s="2">
        <v>39.901802062988281</v>
      </c>
      <c r="H243" s="2">
        <v>13.095912933349609</v>
      </c>
      <c r="I243" s="2">
        <v>229.25</v>
      </c>
      <c r="J243" s="2">
        <v>14.760000228881839</v>
      </c>
      <c r="K243" s="2">
        <v>351.4642333984375</v>
      </c>
      <c r="L243" s="2">
        <v>151.3699951171875</v>
      </c>
      <c r="M243" s="2">
        <v>234.96000671386719</v>
      </c>
      <c r="N243" s="12">
        <f t="shared" si="38"/>
        <v>-1.8611315065939715E-2</v>
      </c>
      <c r="O243" s="12">
        <f t="shared" si="39"/>
        <v>-1.5166040271919368E-2</v>
      </c>
      <c r="P243" s="12">
        <f t="shared" si="40"/>
        <v>1.4548197034860877E-2</v>
      </c>
      <c r="Q243" s="12">
        <f t="shared" si="41"/>
        <v>-2.5214698785862577E-2</v>
      </c>
      <c r="R243" s="12">
        <f t="shared" si="42"/>
        <v>-3.9687681276456388E-2</v>
      </c>
      <c r="S243" s="12">
        <f t="shared" si="43"/>
        <v>0</v>
      </c>
      <c r="T243" s="12">
        <f t="shared" si="44"/>
        <v>1.2390433499040343E-2</v>
      </c>
      <c r="U243" s="12">
        <f t="shared" si="45"/>
        <v>-2.5560080972719446E-2</v>
      </c>
    </row>
    <row r="244" spans="1:21" x14ac:dyDescent="0.3">
      <c r="A244" s="13">
        <f t="shared" si="35"/>
        <v>240</v>
      </c>
      <c r="B244" s="1">
        <v>45308</v>
      </c>
      <c r="C244" s="7">
        <f t="shared" si="36"/>
        <v>2024</v>
      </c>
      <c r="D244" s="7">
        <f t="shared" si="37"/>
        <v>1</v>
      </c>
      <c r="E244" s="77">
        <v>17.193999999999999</v>
      </c>
      <c r="F244" s="2">
        <v>51.772708892822273</v>
      </c>
      <c r="G244" s="2">
        <v>40.516273498535163</v>
      </c>
      <c r="H244" s="2">
        <v>12.90812301635742</v>
      </c>
      <c r="I244" s="2">
        <v>235.17999267578119</v>
      </c>
      <c r="J244" s="2">
        <v>15.36999988555908</v>
      </c>
      <c r="K244" s="2">
        <v>351.4642333984375</v>
      </c>
      <c r="L244" s="2">
        <v>149.1000061035156</v>
      </c>
      <c r="M244" s="2">
        <v>240.44999694824219</v>
      </c>
      <c r="N244" s="12">
        <f t="shared" si="38"/>
        <v>-8.9391615812883796E-4</v>
      </c>
      <c r="O244" s="12">
        <f t="shared" si="39"/>
        <v>-2.1206384945166801E-2</v>
      </c>
      <c r="P244" s="12">
        <f t="shared" si="40"/>
        <v>3.843264808213398E-3</v>
      </c>
      <c r="Q244" s="12">
        <f t="shared" si="41"/>
        <v>2.3278035078549975E-2</v>
      </c>
      <c r="R244" s="12">
        <f t="shared" si="42"/>
        <v>3.0160844970780198E-2</v>
      </c>
      <c r="S244" s="12">
        <f t="shared" si="43"/>
        <v>0</v>
      </c>
      <c r="T244" s="12">
        <f t="shared" si="44"/>
        <v>2.6099281808157349E-2</v>
      </c>
      <c r="U244" s="12">
        <f t="shared" si="45"/>
        <v>1.1992787840040986E-2</v>
      </c>
    </row>
    <row r="245" spans="1:21" x14ac:dyDescent="0.3">
      <c r="A245" s="13">
        <f t="shared" si="35"/>
        <v>241</v>
      </c>
      <c r="B245" s="1">
        <v>45307</v>
      </c>
      <c r="C245" s="7">
        <f t="shared" si="36"/>
        <v>2024</v>
      </c>
      <c r="D245" s="7">
        <f t="shared" si="37"/>
        <v>1</v>
      </c>
      <c r="E245" s="77">
        <v>17.202000000000002</v>
      </c>
      <c r="F245" s="2">
        <v>51.81903076171875</v>
      </c>
      <c r="G245" s="2">
        <v>41.394092559814453</v>
      </c>
      <c r="H245" s="2">
        <v>12.85870361328125</v>
      </c>
      <c r="I245" s="2">
        <v>229.83000183105469</v>
      </c>
      <c r="J245" s="2">
        <v>14.920000076293951</v>
      </c>
      <c r="K245" s="2">
        <v>351.4642333984375</v>
      </c>
      <c r="L245" s="2">
        <v>145.24000549316409</v>
      </c>
      <c r="M245" s="2">
        <v>237.49000549316409</v>
      </c>
      <c r="N245" s="12">
        <f t="shared" si="38"/>
        <v>1.4695175337197774E-2</v>
      </c>
      <c r="O245" s="12">
        <f t="shared" si="39"/>
        <v>3.3106161070570517E-2</v>
      </c>
      <c r="P245" s="12">
        <f t="shared" si="40"/>
        <v>2.7646156873689876E-2</v>
      </c>
      <c r="Q245" s="12">
        <f t="shared" si="41"/>
        <v>5.7765846394053355E-3</v>
      </c>
      <c r="R245" s="12">
        <f t="shared" si="42"/>
        <v>9.4722832105638144E-3</v>
      </c>
      <c r="S245" s="12">
        <f t="shared" si="43"/>
        <v>-7.0421430159076648E-3</v>
      </c>
      <c r="T245" s="12">
        <f t="shared" si="44"/>
        <v>2.3980642121002704E-2</v>
      </c>
      <c r="U245" s="12">
        <f t="shared" si="45"/>
        <v>1.7372136790091419E-2</v>
      </c>
    </row>
    <row r="246" spans="1:21" x14ac:dyDescent="0.3">
      <c r="A246" s="13">
        <f t="shared" si="35"/>
        <v>242</v>
      </c>
      <c r="B246" s="1">
        <v>45306</v>
      </c>
      <c r="C246" s="7">
        <f t="shared" si="36"/>
        <v>2024</v>
      </c>
      <c r="D246" s="7">
        <f t="shared" si="37"/>
        <v>1</v>
      </c>
      <c r="E246" s="77">
        <v>16.876999999999999</v>
      </c>
      <c r="F246" s="2">
        <v>51.068569183349609</v>
      </c>
      <c r="G246" s="2">
        <v>40.067607879638672</v>
      </c>
      <c r="H246" s="2">
        <v>12.512773513793951</v>
      </c>
      <c r="I246" s="2">
        <v>228.50999450683591</v>
      </c>
      <c r="J246" s="2">
        <v>14.77999973297119</v>
      </c>
      <c r="K246" s="2">
        <v>353.95684814453119</v>
      </c>
      <c r="L246" s="2">
        <v>144.57000732421881</v>
      </c>
      <c r="M246" s="2">
        <v>237.92999267578119</v>
      </c>
      <c r="N246" s="12">
        <f t="shared" si="38"/>
        <v>-5.9512304726642151E-3</v>
      </c>
      <c r="O246" s="12">
        <f t="shared" si="39"/>
        <v>-1.0597415124456333E-2</v>
      </c>
      <c r="P246" s="12">
        <f t="shared" si="40"/>
        <v>0</v>
      </c>
      <c r="Q246" s="12">
        <f t="shared" si="41"/>
        <v>-3.4804669453702641E-2</v>
      </c>
      <c r="R246" s="12">
        <f t="shared" si="42"/>
        <v>-2.3132873682906951E-2</v>
      </c>
      <c r="S246" s="12">
        <f t="shared" si="43"/>
        <v>0</v>
      </c>
      <c r="T246" s="12">
        <f t="shared" si="44"/>
        <v>-2.5343882709822019E-2</v>
      </c>
      <c r="U246" s="12">
        <f t="shared" si="45"/>
        <v>-1.2339026225283156E-3</v>
      </c>
    </row>
    <row r="247" spans="1:21" x14ac:dyDescent="0.3">
      <c r="A247" s="13">
        <f t="shared" si="35"/>
        <v>243</v>
      </c>
      <c r="B247" s="1">
        <v>45303</v>
      </c>
      <c r="C247" s="7">
        <f t="shared" si="36"/>
        <v>2024</v>
      </c>
      <c r="D247" s="7">
        <f t="shared" si="37"/>
        <v>1</v>
      </c>
      <c r="E247" s="77">
        <v>16.861000000000001</v>
      </c>
      <c r="F247" s="2">
        <v>51.374309539794922</v>
      </c>
      <c r="G247" s="2">
        <v>40.496768951416023</v>
      </c>
      <c r="H247" s="2">
        <v>12.512773513793951</v>
      </c>
      <c r="I247" s="2">
        <v>236.75</v>
      </c>
      <c r="J247" s="2">
        <v>15.13000011444092</v>
      </c>
      <c r="K247" s="2">
        <v>353.95684814453119</v>
      </c>
      <c r="L247" s="2">
        <v>148.4700012207031</v>
      </c>
      <c r="M247" s="2">
        <v>238.44999694824219</v>
      </c>
      <c r="N247" s="12">
        <f t="shared" si="38"/>
        <v>-2.1873269617490143E-2</v>
      </c>
      <c r="O247" s="12">
        <f t="shared" si="39"/>
        <v>-3.7105678526718533E-2</v>
      </c>
      <c r="P247" s="12">
        <f t="shared" si="40"/>
        <v>-2.6902408663498689E-2</v>
      </c>
      <c r="Q247" s="12">
        <f t="shared" si="41"/>
        <v>-4.6746660419631603E-2</v>
      </c>
      <c r="R247" s="12">
        <f t="shared" si="42"/>
        <v>-1.433226459683945E-2</v>
      </c>
      <c r="S247" s="12">
        <f t="shared" si="43"/>
        <v>0</v>
      </c>
      <c r="T247" s="12">
        <f t="shared" si="44"/>
        <v>-1.2607297608835055E-2</v>
      </c>
      <c r="U247" s="12">
        <f t="shared" si="45"/>
        <v>-4.2915048492954022E-2</v>
      </c>
    </row>
    <row r="248" spans="1:21" x14ac:dyDescent="0.3">
      <c r="A248" s="13">
        <f t="shared" si="35"/>
        <v>244</v>
      </c>
      <c r="B248" s="1">
        <v>45302</v>
      </c>
      <c r="C248" s="7">
        <f t="shared" si="36"/>
        <v>2024</v>
      </c>
      <c r="D248" s="7">
        <f t="shared" si="37"/>
        <v>1</v>
      </c>
      <c r="E248" s="77">
        <v>16.91</v>
      </c>
      <c r="F248" s="2">
        <v>52.523162841796882</v>
      </c>
      <c r="G248" s="2">
        <v>42.057334899902337</v>
      </c>
      <c r="H248" s="2">
        <v>12.85870361328125</v>
      </c>
      <c r="I248" s="2">
        <v>248.36000061035159</v>
      </c>
      <c r="J248" s="2">
        <v>15.35000038146973</v>
      </c>
      <c r="K248" s="2">
        <v>353.95684814453119</v>
      </c>
      <c r="L248" s="2">
        <v>149.92999267578119</v>
      </c>
      <c r="M248" s="2">
        <v>248.41999816894531</v>
      </c>
      <c r="N248" s="12">
        <f t="shared" si="38"/>
        <v>-7.5280386769501773E-3</v>
      </c>
      <c r="O248" s="12">
        <f t="shared" si="39"/>
        <v>-1.5525125898042336E-2</v>
      </c>
      <c r="P248" s="12">
        <f t="shared" si="40"/>
        <v>-1.5140090594973787E-2</v>
      </c>
      <c r="Q248" s="12">
        <f t="shared" si="41"/>
        <v>2.6240114604463294E-3</v>
      </c>
      <c r="R248" s="12">
        <f t="shared" si="42"/>
        <v>-4.0624976158141868E-2</v>
      </c>
      <c r="S248" s="12">
        <f t="shared" si="43"/>
        <v>4.2273480002719133E-4</v>
      </c>
      <c r="T248" s="12">
        <f t="shared" si="44"/>
        <v>-1.555763340465155E-2</v>
      </c>
      <c r="U248" s="12">
        <f t="shared" si="45"/>
        <v>-2.6007704977863977E-3</v>
      </c>
    </row>
    <row r="249" spans="1:21" x14ac:dyDescent="0.3">
      <c r="A249" s="13">
        <f t="shared" si="35"/>
        <v>245</v>
      </c>
      <c r="B249" s="1">
        <v>45301</v>
      </c>
      <c r="C249" s="7">
        <f t="shared" si="36"/>
        <v>2024</v>
      </c>
      <c r="D249" s="7">
        <f t="shared" si="37"/>
        <v>1</v>
      </c>
      <c r="E249" s="77">
        <v>16.95</v>
      </c>
      <c r="F249" s="2">
        <v>52.921558380126953</v>
      </c>
      <c r="G249" s="2">
        <v>42.720577239990227</v>
      </c>
      <c r="H249" s="2">
        <v>13.05637836456299</v>
      </c>
      <c r="I249" s="2">
        <v>247.71000671386719</v>
      </c>
      <c r="J249" s="2">
        <v>16</v>
      </c>
      <c r="K249" s="2">
        <v>353.80728149414063</v>
      </c>
      <c r="L249" s="2">
        <v>151.94000244140619</v>
      </c>
      <c r="M249" s="2">
        <v>248.47999572753909</v>
      </c>
      <c r="N249" s="12">
        <f t="shared" si="38"/>
        <v>-1.3986683462299254E-3</v>
      </c>
      <c r="O249" s="12">
        <f t="shared" si="39"/>
        <v>1.624134162325741E-2</v>
      </c>
      <c r="P249" s="12">
        <f t="shared" si="40"/>
        <v>-1.6381163978466562E-2</v>
      </c>
      <c r="Q249" s="12">
        <f t="shared" si="41"/>
        <v>-1.2950270613060311E-2</v>
      </c>
      <c r="R249" s="12">
        <f t="shared" si="42"/>
        <v>-9.900980750178201E-3</v>
      </c>
      <c r="S249" s="12">
        <f t="shared" si="43"/>
        <v>8.5226640073265969E-3</v>
      </c>
      <c r="T249" s="12">
        <f t="shared" si="44"/>
        <v>-1.0030920422639422E-2</v>
      </c>
      <c r="U249" s="12">
        <f t="shared" si="45"/>
        <v>-1.9200363226308803E-2</v>
      </c>
    </row>
    <row r="250" spans="1:21" x14ac:dyDescent="0.3">
      <c r="A250" s="13">
        <f t="shared" si="35"/>
        <v>246</v>
      </c>
      <c r="B250" s="1">
        <v>45300</v>
      </c>
      <c r="C250" s="7">
        <f t="shared" si="36"/>
        <v>2024</v>
      </c>
      <c r="D250" s="7">
        <f t="shared" si="37"/>
        <v>1</v>
      </c>
      <c r="E250" s="77">
        <v>16.960999999999999</v>
      </c>
      <c r="F250" s="2">
        <v>52.995681762695313</v>
      </c>
      <c r="G250" s="2">
        <v>42.037826538085938</v>
      </c>
      <c r="H250" s="2">
        <v>13.273818969726561</v>
      </c>
      <c r="I250" s="2">
        <v>250.96000671386719</v>
      </c>
      <c r="J250" s="2">
        <v>16.159999847412109</v>
      </c>
      <c r="K250" s="2">
        <v>350.8173828125</v>
      </c>
      <c r="L250" s="2">
        <v>153.3800048828125</v>
      </c>
      <c r="M250" s="2">
        <v>253.17999267578119</v>
      </c>
      <c r="N250" s="12">
        <f t="shared" si="38"/>
        <v>-2.4416752402468545E-3</v>
      </c>
      <c r="O250" s="12">
        <f t="shared" si="39"/>
        <v>5.8342226445968759E-3</v>
      </c>
      <c r="P250" s="12">
        <f t="shared" si="40"/>
        <v>-2.327278305483893E-2</v>
      </c>
      <c r="Q250" s="12">
        <f t="shared" si="41"/>
        <v>-1.1929598463583879E-2</v>
      </c>
      <c r="R250" s="12">
        <f t="shared" si="42"/>
        <v>-5.5384709284855838E-3</v>
      </c>
      <c r="S250" s="12">
        <f t="shared" si="43"/>
        <v>-2.1406902770158887E-2</v>
      </c>
      <c r="T250" s="12">
        <f t="shared" si="44"/>
        <v>8.8259119695968113E-3</v>
      </c>
      <c r="U250" s="12">
        <f t="shared" si="45"/>
        <v>-2.3302054830443675E-2</v>
      </c>
    </row>
    <row r="251" spans="1:21" x14ac:dyDescent="0.3">
      <c r="A251" s="13">
        <f t="shared" si="35"/>
        <v>247</v>
      </c>
      <c r="B251" s="1">
        <v>45299</v>
      </c>
      <c r="C251" s="7">
        <f t="shared" si="36"/>
        <v>2024</v>
      </c>
      <c r="D251" s="7">
        <f t="shared" si="37"/>
        <v>1</v>
      </c>
      <c r="E251" s="77">
        <v>16.817</v>
      </c>
      <c r="F251" s="2">
        <v>53.125396728515618</v>
      </c>
      <c r="G251" s="2">
        <v>41.793991088867188</v>
      </c>
      <c r="H251" s="2">
        <v>13.59009838104248</v>
      </c>
      <c r="I251" s="2">
        <v>253.99000549316409</v>
      </c>
      <c r="J251" s="2">
        <v>16.25</v>
      </c>
      <c r="K251" s="2">
        <v>358.4915771484375</v>
      </c>
      <c r="L251" s="2">
        <v>153.3399963378906</v>
      </c>
      <c r="M251" s="2">
        <v>261.44000244140619</v>
      </c>
      <c r="N251" s="12">
        <f t="shared" si="38"/>
        <v>-1.6994723807782774E-3</v>
      </c>
      <c r="O251" s="12">
        <f t="shared" si="39"/>
        <v>-3.0245834077240463E-3</v>
      </c>
      <c r="P251" s="12">
        <f t="shared" si="40"/>
        <v>-3.6231121525144294E-3</v>
      </c>
      <c r="Q251" s="12">
        <f t="shared" si="41"/>
        <v>1.6325884403455282E-2</v>
      </c>
      <c r="R251" s="12">
        <f t="shared" si="42"/>
        <v>2.7180803632787853E-2</v>
      </c>
      <c r="S251" s="12">
        <f t="shared" si="43"/>
        <v>-1.0998020405158182E-2</v>
      </c>
      <c r="T251" s="12">
        <f t="shared" si="44"/>
        <v>-3.3602687091960348E-3</v>
      </c>
      <c r="U251" s="12">
        <f t="shared" si="45"/>
        <v>1.5862468048038814E-2</v>
      </c>
    </row>
    <row r="252" spans="1:21" x14ac:dyDescent="0.3">
      <c r="A252" s="13">
        <f t="shared" si="35"/>
        <v>248</v>
      </c>
      <c r="B252" s="1">
        <v>45296</v>
      </c>
      <c r="C252" s="7">
        <f t="shared" si="36"/>
        <v>2024</v>
      </c>
      <c r="D252" s="7">
        <f t="shared" si="37"/>
        <v>1</v>
      </c>
      <c r="E252" s="77">
        <v>16.866</v>
      </c>
      <c r="F252" s="2">
        <v>53.215835571289063</v>
      </c>
      <c r="G252" s="2">
        <v>41.920783996582031</v>
      </c>
      <c r="H252" s="2">
        <v>13.63951587677002</v>
      </c>
      <c r="I252" s="2">
        <v>249.9100036621094</v>
      </c>
      <c r="J252" s="2">
        <v>15.819999694824221</v>
      </c>
      <c r="K252" s="2">
        <v>362.47811889648438</v>
      </c>
      <c r="L252" s="2">
        <v>153.4100036621094</v>
      </c>
      <c r="M252" s="2">
        <v>256.6099853515625</v>
      </c>
      <c r="N252" s="12">
        <f t="shared" si="38"/>
        <v>7.5042397589653032E-3</v>
      </c>
      <c r="O252" s="12">
        <f t="shared" si="39"/>
        <v>9.8684098679504562E-3</v>
      </c>
      <c r="P252" s="12">
        <f t="shared" si="40"/>
        <v>-1.0752806427212325E-2</v>
      </c>
      <c r="Q252" s="12">
        <f t="shared" si="41"/>
        <v>5.9574569494904583E-3</v>
      </c>
      <c r="R252" s="12">
        <f t="shared" si="42"/>
        <v>-1.7391346584548883E-2</v>
      </c>
      <c r="S252" s="12">
        <f t="shared" si="43"/>
        <v>1.0278011636794204E-2</v>
      </c>
      <c r="T252" s="12">
        <f t="shared" si="44"/>
        <v>-8.4136130814123078E-3</v>
      </c>
      <c r="U252" s="12">
        <f t="shared" si="45"/>
        <v>7.6326610071766332E-3</v>
      </c>
    </row>
    <row r="253" spans="1:21" x14ac:dyDescent="0.3">
      <c r="A253" s="13">
        <f t="shared" si="35"/>
        <v>249</v>
      </c>
      <c r="B253" s="1">
        <v>45295</v>
      </c>
      <c r="C253" s="7">
        <f t="shared" si="36"/>
        <v>2024</v>
      </c>
      <c r="D253" s="7">
        <f t="shared" si="37"/>
        <v>1</v>
      </c>
      <c r="E253" s="77">
        <v>17.007999999999999</v>
      </c>
      <c r="F253" s="2">
        <v>52.819465637207031</v>
      </c>
      <c r="G253" s="2">
        <v>41.511135101318359</v>
      </c>
      <c r="H253" s="2">
        <v>13.787773132324221</v>
      </c>
      <c r="I253" s="2">
        <v>248.42999267578119</v>
      </c>
      <c r="J253" s="2">
        <v>16.10000038146973</v>
      </c>
      <c r="K253" s="2">
        <v>358.79046630859381</v>
      </c>
      <c r="L253" s="2">
        <v>153.41999816894531</v>
      </c>
      <c r="M253" s="2">
        <v>252.53999328613281</v>
      </c>
      <c r="N253" s="12">
        <f t="shared" si="38"/>
        <v>-2.9580800879303037E-3</v>
      </c>
      <c r="O253" s="12">
        <f t="shared" si="39"/>
        <v>2.1603431539141793E-2</v>
      </c>
      <c r="P253" s="12">
        <f t="shared" si="40"/>
        <v>1.1602744389140218E-2</v>
      </c>
      <c r="Q253" s="12">
        <f t="shared" si="41"/>
        <v>1.8155707687627753E-2</v>
      </c>
      <c r="R253" s="12">
        <f t="shared" si="42"/>
        <v>1.9632705532972139E-2</v>
      </c>
      <c r="S253" s="12">
        <f t="shared" si="43"/>
        <v>0</v>
      </c>
      <c r="T253" s="12">
        <f t="shared" si="44"/>
        <v>-2.4368344420613308E-3</v>
      </c>
      <c r="U253" s="12">
        <f t="shared" si="45"/>
        <v>-7.4096005915640362E-3</v>
      </c>
    </row>
    <row r="254" spans="1:21" x14ac:dyDescent="0.3">
      <c r="A254" s="13">
        <f t="shared" si="35"/>
        <v>250</v>
      </c>
      <c r="B254" s="1">
        <v>45294</v>
      </c>
      <c r="C254" s="7">
        <f t="shared" si="36"/>
        <v>2024</v>
      </c>
      <c r="D254" s="7">
        <f t="shared" si="37"/>
        <v>1</v>
      </c>
      <c r="E254" s="77">
        <v>17.003</v>
      </c>
      <c r="F254" s="2">
        <v>52.976173400878913</v>
      </c>
      <c r="G254" s="2">
        <v>40.633316040039063</v>
      </c>
      <c r="H254" s="2">
        <v>13.62963199615479</v>
      </c>
      <c r="I254" s="2">
        <v>244</v>
      </c>
      <c r="J254" s="2">
        <v>15.789999961853029</v>
      </c>
      <c r="K254" s="2">
        <v>358.79046630859381</v>
      </c>
      <c r="L254" s="2">
        <v>153.8399963378906</v>
      </c>
      <c r="M254" s="2">
        <v>254.5</v>
      </c>
      <c r="N254" s="12">
        <f t="shared" si="38"/>
        <v>9.485497999367043E-3</v>
      </c>
      <c r="O254" s="12">
        <f t="shared" si="39"/>
        <v>-7.8590512283912561E-3</v>
      </c>
      <c r="P254" s="12">
        <f t="shared" si="40"/>
        <v>2.6805625964895885E-2</v>
      </c>
      <c r="Q254" s="12">
        <f t="shared" si="41"/>
        <v>1.2112154250735419E-2</v>
      </c>
      <c r="R254" s="12">
        <f t="shared" si="42"/>
        <v>2.4659319805556912E-2</v>
      </c>
      <c r="S254" s="12">
        <f t="shared" si="43"/>
        <v>1.4084460877709981E-2</v>
      </c>
      <c r="T254" s="12">
        <f t="shared" si="44"/>
        <v>1.065303480965718E-2</v>
      </c>
      <c r="U254" s="12">
        <f t="shared" si="45"/>
        <v>2.9114913255073427E-2</v>
      </c>
    </row>
    <row r="255" spans="1:21" x14ac:dyDescent="0.3">
      <c r="A255" s="13">
        <f t="shared" si="35"/>
        <v>251</v>
      </c>
      <c r="B255" s="1">
        <v>45293</v>
      </c>
      <c r="C255" s="7">
        <f t="shared" si="36"/>
        <v>2024</v>
      </c>
      <c r="D255" s="7">
        <f t="shared" si="37"/>
        <v>1</v>
      </c>
      <c r="E255" s="77">
        <v>17.013999999999999</v>
      </c>
      <c r="F255" s="2">
        <v>52.478389739990227</v>
      </c>
      <c r="G255" s="2">
        <v>40.955184936523438</v>
      </c>
      <c r="H255" s="2">
        <v>13.273818969726561</v>
      </c>
      <c r="I255" s="2">
        <v>241.08000183105469</v>
      </c>
      <c r="J255" s="2">
        <v>15.409999847412109</v>
      </c>
      <c r="K255" s="2">
        <v>353.80728149414063</v>
      </c>
      <c r="L255" s="2">
        <v>152.1199951171875</v>
      </c>
      <c r="M255" s="2">
        <v>247.13999938964841</v>
      </c>
      <c r="N255" s="12">
        <f t="shared" si="38"/>
        <v>-1.3173945039603008E-2</v>
      </c>
      <c r="O255" s="12">
        <f t="shared" si="39"/>
        <v>2.6650448579291774E-2</v>
      </c>
      <c r="P255" s="12">
        <f t="shared" si="40"/>
        <v>-1.322558834332721E-2</v>
      </c>
      <c r="Q255" s="12">
        <f t="shared" si="41"/>
        <v>-3.0015255719789802E-2</v>
      </c>
      <c r="R255" s="12">
        <f t="shared" si="42"/>
        <v>-3.2642840414429775E-2</v>
      </c>
      <c r="S255" s="12">
        <f t="shared" si="43"/>
        <v>5.6657385979352881E-3</v>
      </c>
      <c r="T255" s="12">
        <f t="shared" si="44"/>
        <v>-7.3583939395712727E-3</v>
      </c>
      <c r="U255" s="12">
        <f t="shared" si="45"/>
        <v>-3.5787949352340531E-2</v>
      </c>
    </row>
    <row r="256" spans="1:21" x14ac:dyDescent="0.3">
      <c r="A256" s="13">
        <f>+A257-1</f>
        <v>252</v>
      </c>
      <c r="B256" s="1">
        <v>45289</v>
      </c>
      <c r="C256" s="7">
        <f t="shared" si="36"/>
        <v>2023</v>
      </c>
      <c r="D256" s="7">
        <f t="shared" si="37"/>
        <v>12</v>
      </c>
      <c r="E256" s="77">
        <v>16.954000000000001</v>
      </c>
      <c r="F256" s="2">
        <v>53.178966522216797</v>
      </c>
      <c r="G256" s="2">
        <v>39.892044067382813</v>
      </c>
      <c r="H256" s="2">
        <v>13.45172595977783</v>
      </c>
      <c r="I256" s="2">
        <v>248.53999328613281</v>
      </c>
      <c r="J256" s="2">
        <v>15.930000305175779</v>
      </c>
      <c r="K256" s="2">
        <v>351.81399536132813</v>
      </c>
      <c r="L256" s="2">
        <v>153.78999328613281</v>
      </c>
      <c r="M256" s="2">
        <v>257.22000122070313</v>
      </c>
      <c r="N256" s="12">
        <f t="shared" si="38"/>
        <v>-1.0390506029825941E-3</v>
      </c>
      <c r="O256" s="12">
        <f t="shared" si="39"/>
        <v>6.0959738262793106E-2</v>
      </c>
      <c r="P256" s="12">
        <f t="shared" si="40"/>
        <v>2.9475878436850955E-3</v>
      </c>
      <c r="Q256" s="12">
        <f t="shared" si="41"/>
        <v>-2.1341995922377732E-2</v>
      </c>
      <c r="R256" s="12">
        <f t="shared" si="42"/>
        <v>6.2815507750646482E-4</v>
      </c>
      <c r="S256" s="12">
        <f t="shared" si="43"/>
        <v>-3.0219864110800909E-2</v>
      </c>
      <c r="T256" s="12">
        <f t="shared" si="44"/>
        <v>-3.4337483843671635E-4</v>
      </c>
      <c r="U256" s="12">
        <f t="shared" si="45"/>
        <v>2.189721713093129E-2</v>
      </c>
    </row>
    <row r="257" spans="1:21" x14ac:dyDescent="0.3">
      <c r="A257" s="13">
        <v>253</v>
      </c>
      <c r="B257" s="1">
        <v>45288</v>
      </c>
      <c r="C257" s="7">
        <f t="shared" si="36"/>
        <v>2023</v>
      </c>
      <c r="D257" s="7">
        <f t="shared" si="37"/>
        <v>12</v>
      </c>
      <c r="E257" s="77">
        <v>16.928999999999998</v>
      </c>
      <c r="F257" s="2">
        <v>53.234279632568359</v>
      </c>
      <c r="G257" s="2">
        <v>37.599960327148438</v>
      </c>
      <c r="H257" s="2">
        <v>13.412192344665529</v>
      </c>
      <c r="I257" s="2">
        <v>253.96000671386719</v>
      </c>
      <c r="J257" s="2">
        <v>15.920000076293951</v>
      </c>
      <c r="K257" s="2">
        <v>362.77706909179688</v>
      </c>
      <c r="L257" s="2">
        <v>154.07000732421881</v>
      </c>
      <c r="M257" s="2">
        <v>252.08000183105469</v>
      </c>
      <c r="N257" s="12"/>
      <c r="O257" s="12"/>
      <c r="P257" s="12"/>
      <c r="Q257" s="12"/>
      <c r="R257" s="12"/>
      <c r="S257" s="12"/>
      <c r="T257" s="12"/>
      <c r="U257" s="12"/>
    </row>
    <row r="259" spans="1:21" s="59" customFormat="1" x14ac:dyDescent="0.3">
      <c r="N259" s="62">
        <f>AVERAGE(N5:N256)</f>
        <v>-4.1156529440333767E-4</v>
      </c>
      <c r="O259" s="62">
        <f t="shared" ref="O259:U259" si="46">AVERAGE(O5:O256)</f>
        <v>-3.9310673113138623E-4</v>
      </c>
      <c r="P259" s="62">
        <f t="shared" si="46"/>
        <v>-3.5862617070029636E-4</v>
      </c>
      <c r="Q259" s="62">
        <f t="shared" si="46"/>
        <v>5.9558458105095509E-4</v>
      </c>
      <c r="R259" s="62">
        <f t="shared" si="46"/>
        <v>1.6099477409993216E-4</v>
      </c>
      <c r="S259" s="62">
        <f t="shared" si="46"/>
        <v>1.6944740484441201E-3</v>
      </c>
      <c r="T259" s="62">
        <f t="shared" si="46"/>
        <v>2.4139821017585268E-3</v>
      </c>
      <c r="U259" s="62">
        <f t="shared" si="46"/>
        <v>3.4983285538567909E-3</v>
      </c>
    </row>
    <row r="261" spans="1:21" x14ac:dyDescent="0.3">
      <c r="N261" s="12"/>
      <c r="O261" s="12"/>
      <c r="P261" s="12"/>
      <c r="Q261" s="12"/>
      <c r="R261" s="12"/>
      <c r="S261" s="12"/>
      <c r="T261" s="12"/>
      <c r="U261" s="12"/>
    </row>
    <row r="262" spans="1:21" x14ac:dyDescent="0.3">
      <c r="N262" s="12"/>
      <c r="O262" s="12"/>
      <c r="P262" s="12"/>
      <c r="Q262" s="12"/>
      <c r="R262" s="12"/>
      <c r="S262" s="12"/>
      <c r="T262" s="12"/>
      <c r="U262" s="12"/>
    </row>
  </sheetData>
  <autoFilter ref="A4:U257" xr:uid="{20CEF9E4-EE11-4B71-B04F-5EC9B5730581}"/>
  <mergeCells count="2">
    <mergeCell ref="F3:M3"/>
    <mergeCell ref="N3:U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/>
  <dimension ref="A2:N57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5" sqref="A5"/>
      <selection pane="bottomRight" activeCell="G11" sqref="G11"/>
    </sheetView>
  </sheetViews>
  <sheetFormatPr baseColWidth="10" defaultColWidth="8.88671875" defaultRowHeight="14.4" x14ac:dyDescent="0.3"/>
  <cols>
    <col min="1" max="1" width="10.6640625" bestFit="1" customWidth="1"/>
    <col min="2" max="2" width="16" bestFit="1" customWidth="1"/>
    <col min="3" max="3" width="21.109375" customWidth="1"/>
    <col min="4" max="4" width="16" customWidth="1"/>
    <col min="5" max="5" width="18.44140625" bestFit="1" customWidth="1"/>
    <col min="6" max="6" width="16" customWidth="1"/>
    <col min="7" max="7" width="16.5546875" customWidth="1"/>
    <col min="8" max="8" width="17.109375" customWidth="1"/>
    <col min="9" max="9" width="16.33203125" customWidth="1"/>
    <col min="10" max="11" width="13.6640625" customWidth="1"/>
  </cols>
  <sheetData>
    <row r="2" spans="1:13" x14ac:dyDescent="0.3">
      <c r="B2" s="14" t="s">
        <v>29</v>
      </c>
    </row>
    <row r="3" spans="1:13" x14ac:dyDescent="0.3">
      <c r="B3" s="15" t="s">
        <v>30</v>
      </c>
      <c r="C3" s="30">
        <v>45657</v>
      </c>
    </row>
    <row r="4" spans="1:13" x14ac:dyDescent="0.3">
      <c r="A4" s="1"/>
    </row>
    <row r="5" spans="1:13" ht="18" x14ac:dyDescent="0.35">
      <c r="A5" s="1"/>
      <c r="B5" s="90" t="s">
        <v>31</v>
      </c>
      <c r="C5" s="91"/>
      <c r="D5" s="91"/>
      <c r="E5" s="91"/>
      <c r="F5" s="91"/>
      <c r="G5" s="91"/>
      <c r="H5" s="91"/>
      <c r="I5" s="91"/>
      <c r="J5" s="91"/>
      <c r="K5" s="91"/>
      <c r="L5" s="91"/>
      <c r="M5" s="92"/>
    </row>
    <row r="6" spans="1:13" ht="18.600000000000001" x14ac:dyDescent="0.35">
      <c r="A6" s="1"/>
      <c r="H6" s="18" t="s">
        <v>55</v>
      </c>
    </row>
    <row r="7" spans="1:13" x14ac:dyDescent="0.3">
      <c r="A7" s="1"/>
      <c r="E7" s="13"/>
      <c r="G7" s="51" t="s">
        <v>42</v>
      </c>
      <c r="H7" s="93" t="s">
        <v>54</v>
      </c>
      <c r="I7" s="94"/>
    </row>
    <row r="8" spans="1:13" ht="28.8" x14ac:dyDescent="0.3">
      <c r="A8" s="1"/>
      <c r="B8" s="3" t="s">
        <v>32</v>
      </c>
      <c r="C8" s="3" t="s">
        <v>33</v>
      </c>
      <c r="D8" s="3" t="s">
        <v>5</v>
      </c>
      <c r="E8" s="3" t="s">
        <v>34</v>
      </c>
      <c r="F8" s="50" t="s">
        <v>35</v>
      </c>
      <c r="G8" s="31" t="s">
        <v>10</v>
      </c>
      <c r="H8" s="3" t="s">
        <v>8</v>
      </c>
      <c r="I8" s="3" t="s">
        <v>9</v>
      </c>
    </row>
    <row r="9" spans="1:13" x14ac:dyDescent="0.3">
      <c r="A9" s="1"/>
      <c r="B9" s="32" t="s">
        <v>13</v>
      </c>
      <c r="C9" s="33">
        <f>Portafolio!F5</f>
        <v>47.460735321044922</v>
      </c>
      <c r="D9" s="34">
        <v>20000</v>
      </c>
      <c r="E9" s="35">
        <f>C9*D9</f>
        <v>949214.70642089844</v>
      </c>
      <c r="F9" s="36">
        <f>E9/$E$17</f>
        <v>0.14694926486621088</v>
      </c>
      <c r="G9" s="54" cm="1">
        <f t="array" ref="G9">Vol_Dinamica(Portafolio!N5:N256)</f>
        <v>0.13119414409716454</v>
      </c>
      <c r="H9" s="55">
        <f>-NORMSINV(0.99)*E9*G9*SQRT(1/252)</f>
        <v>-18249.597758084132</v>
      </c>
      <c r="I9" s="37">
        <f>+H9/E9</f>
        <v>-1.9225995588391085E-2</v>
      </c>
    </row>
    <row r="10" spans="1:13" x14ac:dyDescent="0.3">
      <c r="A10" s="1"/>
      <c r="B10" s="32" t="s">
        <v>19</v>
      </c>
      <c r="C10" s="33">
        <f>Portafolio!G5</f>
        <v>32.366432189941413</v>
      </c>
      <c r="D10" s="34">
        <v>28500</v>
      </c>
      <c r="E10" s="35">
        <f t="shared" ref="E10:E16" si="0">C10*D10</f>
        <v>922443.31741333031</v>
      </c>
      <c r="F10" s="36">
        <f t="shared" ref="F10:F16" si="1">E10/$E$17</f>
        <v>0.14280474844911581</v>
      </c>
      <c r="G10" s="54" cm="1">
        <f t="array" ref="G10">Vol_Dinamica(Portafolio!O5:O256)</f>
        <v>0.3114248454116138</v>
      </c>
      <c r="H10" s="55">
        <f t="shared" ref="H10:H16" si="2">-NORMSINV(0.99)*E10*G10*SQRT(1/252)</f>
        <v>-42098.569056876673</v>
      </c>
      <c r="I10" s="37">
        <f t="shared" ref="I10:I16" si="3">+H10/E10</f>
        <v>-4.563810942327317E-2</v>
      </c>
    </row>
    <row r="11" spans="1:13" x14ac:dyDescent="0.3">
      <c r="A11" s="1"/>
      <c r="B11" s="32" t="s">
        <v>20</v>
      </c>
      <c r="C11" s="33">
        <f>Portafolio!H5</f>
        <v>11.62109470367432</v>
      </c>
      <c r="D11" s="34">
        <v>88800</v>
      </c>
      <c r="E11" s="35">
        <f t="shared" si="0"/>
        <v>1031953.2096862796</v>
      </c>
      <c r="F11" s="36">
        <f t="shared" si="1"/>
        <v>0.15975812902384975</v>
      </c>
      <c r="G11" s="54" cm="1">
        <f t="array" ref="G11">Vol_Dinamica(Portafolio!P5:P256)</f>
        <v>0.33227923109379703</v>
      </c>
      <c r="H11" s="55">
        <f t="shared" si="2"/>
        <v>-50250.176410632303</v>
      </c>
      <c r="I11" s="37">
        <f t="shared" si="3"/>
        <v>-4.8694239175736155E-2</v>
      </c>
    </row>
    <row r="12" spans="1:13" x14ac:dyDescent="0.3">
      <c r="A12" s="1"/>
      <c r="B12" s="32" t="s">
        <v>12</v>
      </c>
      <c r="C12" s="33">
        <f>Portafolio!I5</f>
        <v>265.39999389648438</v>
      </c>
      <c r="D12" s="34">
        <v>3800</v>
      </c>
      <c r="E12" s="35">
        <f t="shared" si="0"/>
        <v>1008519.9768066406</v>
      </c>
      <c r="F12" s="36">
        <f t="shared" si="1"/>
        <v>0.15613039725588579</v>
      </c>
      <c r="G12" s="54" cm="1">
        <f t="array" ref="G12">Vol_Dinamica(Portafolio!Q5:Q256)</f>
        <v>0.48784692388216427</v>
      </c>
      <c r="H12" s="55">
        <f t="shared" si="2"/>
        <v>-72101.195176324065</v>
      </c>
      <c r="I12" s="37">
        <f t="shared" si="3"/>
        <v>-7.1492084276430487E-2</v>
      </c>
    </row>
    <row r="13" spans="1:13" x14ac:dyDescent="0.3">
      <c r="A13" s="1"/>
      <c r="B13" s="32" t="s">
        <v>21</v>
      </c>
      <c r="C13" s="33">
        <f>Portafolio!J5</f>
        <v>15.560000419616699</v>
      </c>
      <c r="D13" s="34">
        <v>44700</v>
      </c>
      <c r="E13" s="35">
        <f t="shared" si="0"/>
        <v>695532.01875686646</v>
      </c>
      <c r="F13" s="36">
        <f t="shared" si="1"/>
        <v>0.1076762908916756</v>
      </c>
      <c r="G13" s="54" cm="1">
        <f t="array" ref="G13">Vol_Dinamica(Portafolio!R5:R256)</f>
        <v>0.25958857904759886</v>
      </c>
      <c r="H13" s="55">
        <f t="shared" si="2"/>
        <v>-26459.223600421155</v>
      </c>
      <c r="I13" s="37">
        <f t="shared" si="3"/>
        <v>-3.8041704604357504E-2</v>
      </c>
    </row>
    <row r="14" spans="1:13" x14ac:dyDescent="0.3">
      <c r="A14" s="1"/>
      <c r="B14" s="32" t="s">
        <v>22</v>
      </c>
      <c r="C14" s="33">
        <f>Portafolio!K5</f>
        <v>487.20687866210938</v>
      </c>
      <c r="D14" s="34">
        <v>3500</v>
      </c>
      <c r="E14" s="35">
        <f t="shared" si="0"/>
        <v>1705224.0753173828</v>
      </c>
      <c r="F14" s="36">
        <f t="shared" si="1"/>
        <v>0.26398813946414079</v>
      </c>
      <c r="G14" s="54" cm="1">
        <f t="array" ref="G14">Vol_Dinamica(Portafolio!S5:S256)</f>
        <v>0.38940640360363271</v>
      </c>
      <c r="H14" s="55">
        <f t="shared" si="2"/>
        <v>-97310.327099737115</v>
      </c>
      <c r="I14" s="37">
        <f t="shared" si="3"/>
        <v>-5.7066005874697345E-2</v>
      </c>
    </row>
    <row r="15" spans="1:13" x14ac:dyDescent="0.3">
      <c r="A15" s="1"/>
      <c r="B15" s="38" t="s">
        <v>14</v>
      </c>
      <c r="C15" s="33">
        <f>Portafolio!L5</f>
        <v>219.38999938964841</v>
      </c>
      <c r="D15" s="34">
        <v>300</v>
      </c>
      <c r="E15" s="35">
        <f t="shared" si="0"/>
        <v>65816.999816894517</v>
      </c>
      <c r="F15" s="36">
        <f t="shared" si="1"/>
        <v>1.0189222389168881E-2</v>
      </c>
      <c r="G15" s="54" cm="1">
        <f t="array" ref="G15">Vol_Dinamica(Portafolio!T5:T256)</f>
        <v>0.28227915138968462</v>
      </c>
      <c r="H15" s="55">
        <f t="shared" si="2"/>
        <v>-2722.6465941478164</v>
      </c>
      <c r="I15" s="37">
        <f t="shared" si="3"/>
        <v>-4.1366920426672837E-2</v>
      </c>
    </row>
    <row r="16" spans="1:13" x14ac:dyDescent="0.3">
      <c r="A16" s="1"/>
      <c r="B16" s="38" t="s">
        <v>27</v>
      </c>
      <c r="C16" s="33">
        <f>Portafolio!M5</f>
        <v>403.83999633789063</v>
      </c>
      <c r="D16" s="34">
        <v>200</v>
      </c>
      <c r="E16" s="35">
        <f t="shared" si="0"/>
        <v>80767.999267578125</v>
      </c>
      <c r="F16" s="36">
        <f t="shared" si="1"/>
        <v>1.2503807659952574E-2</v>
      </c>
      <c r="G16" s="54" cm="1">
        <f t="array" ref="G16">Vol_Dinamica(Portafolio!U5:U256)</f>
        <v>0.72086624673518107</v>
      </c>
      <c r="H16" s="55">
        <f t="shared" si="2"/>
        <v>-8532.3449233130195</v>
      </c>
      <c r="I16" s="37">
        <f t="shared" si="3"/>
        <v>-0.1056401669062771</v>
      </c>
    </row>
    <row r="17" spans="1:11" ht="15" thickBot="1" x14ac:dyDescent="0.35">
      <c r="A17" s="1"/>
      <c r="E17" s="39">
        <f>SUM(E9:E16)</f>
        <v>6459472.3034858704</v>
      </c>
      <c r="F17" s="57" t="s">
        <v>53</v>
      </c>
    </row>
    <row r="18" spans="1:11" ht="15" thickTop="1" x14ac:dyDescent="0.3">
      <c r="A18" s="1"/>
      <c r="F18" s="57"/>
      <c r="H18" s="58"/>
      <c r="I18" s="58"/>
    </row>
    <row r="19" spans="1:11" x14ac:dyDescent="0.3">
      <c r="A19" s="1"/>
      <c r="F19" s="57"/>
      <c r="H19" s="40"/>
    </row>
    <row r="20" spans="1:11" ht="18" x14ac:dyDescent="0.4">
      <c r="A20" s="1"/>
      <c r="C20" s="11" t="s">
        <v>36</v>
      </c>
      <c r="D20" s="17" cm="1">
        <f t="array" ref="D20">SQRT(MMULT(MMULT(TRANSPOSE(F9:F16),MMULT(MMULT(D38:K45,D27:K34),D38:K45)),F9:F16))</f>
        <v>0.15862517049505329</v>
      </c>
      <c r="E20" s="18" t="s">
        <v>37</v>
      </c>
      <c r="H20" s="60"/>
    </row>
    <row r="21" spans="1:11" x14ac:dyDescent="0.3">
      <c r="A21" s="1"/>
    </row>
    <row r="22" spans="1:11" x14ac:dyDescent="0.3">
      <c r="A22" s="1"/>
      <c r="D22" s="41" t="s">
        <v>8</v>
      </c>
      <c r="E22" s="41" t="s">
        <v>38</v>
      </c>
    </row>
    <row r="23" spans="1:11" ht="18" x14ac:dyDescent="0.4">
      <c r="A23" s="1"/>
      <c r="C23" s="11" t="s">
        <v>23</v>
      </c>
      <c r="D23" s="42">
        <f>-NORMSINV(0.99)*E17*D20*SQRT(1/252)</f>
        <v>-150156.29024581276</v>
      </c>
      <c r="E23" s="17">
        <f>D23/E17</f>
        <v>-2.3245906660948223E-2</v>
      </c>
    </row>
    <row r="24" spans="1:11" x14ac:dyDescent="0.3">
      <c r="A24" s="1"/>
    </row>
    <row r="25" spans="1:11" ht="15.6" x14ac:dyDescent="0.3">
      <c r="A25" s="1"/>
      <c r="B25" s="43" t="s">
        <v>39</v>
      </c>
    </row>
    <row r="26" spans="1:11" x14ac:dyDescent="0.3">
      <c r="A26" s="1"/>
      <c r="D26" s="18" t="s">
        <v>13</v>
      </c>
      <c r="E26" s="18" t="s">
        <v>19</v>
      </c>
      <c r="F26" s="18" t="s">
        <v>20</v>
      </c>
      <c r="G26" s="18" t="s">
        <v>12</v>
      </c>
      <c r="H26" s="18" t="s">
        <v>21</v>
      </c>
      <c r="I26" s="18" t="s">
        <v>22</v>
      </c>
      <c r="J26" s="18" t="s">
        <v>14</v>
      </c>
      <c r="K26" s="18" t="s">
        <v>27</v>
      </c>
    </row>
    <row r="27" spans="1:11" x14ac:dyDescent="0.3">
      <c r="A27" s="1"/>
      <c r="C27" s="44" t="s">
        <v>13</v>
      </c>
      <c r="D27" s="56">
        <f>CORREL(Portafolio!$N$5:$N$256,Portafolio!N5:N256)</f>
        <v>0.99999999999999989</v>
      </c>
      <c r="E27" s="56">
        <f>CORREL(Portafolio!$N$5:$N$256,Portafolio!O5:O256)</f>
        <v>0.39343418827750209</v>
      </c>
      <c r="F27" s="56">
        <f>CORREL(Portafolio!$N$5:$N$256,Portafolio!P5:P256)</f>
        <v>0.47424822414296808</v>
      </c>
      <c r="G27" s="56">
        <f>CORREL(Portafolio!$N$5:$N$256,Portafolio!Q5:Q256)</f>
        <v>0.4312054068443289</v>
      </c>
      <c r="H27" s="56">
        <f>CORREL(Portafolio!$N$5:$N$256,Portafolio!R5:R256)</f>
        <v>0.2445799697522873</v>
      </c>
      <c r="I27" s="56">
        <f>CORREL(Portafolio!$N$5:$N$256,Portafolio!S5:S256)</f>
        <v>-4.9886362109746916E-2</v>
      </c>
      <c r="J27" s="56">
        <f>CORREL(Portafolio!$N$5:$N$256,Portafolio!T5:T256)</f>
        <v>0.15566158472055441</v>
      </c>
      <c r="K27" s="56">
        <f>CORREL(Portafolio!$N$5:$N$256,Portafolio!U5:U256)</f>
        <v>9.3984273339687285E-2</v>
      </c>
    </row>
    <row r="28" spans="1:11" x14ac:dyDescent="0.3">
      <c r="A28" s="1"/>
      <c r="C28" s="44" t="s">
        <v>19</v>
      </c>
      <c r="D28" s="56">
        <f>CORREL(Portafolio!$O$5:$O$256,Portafolio!N5:N256)</f>
        <v>0.39343418827750209</v>
      </c>
      <c r="E28" s="56">
        <f>CORREL(Portafolio!$O$5:$O$256,Portafolio!O5:O256)</f>
        <v>0.99999999999999989</v>
      </c>
      <c r="F28" s="56">
        <f>CORREL(Portafolio!$O$5:$O$256,Portafolio!P5:P256)</f>
        <v>0.17165442742853237</v>
      </c>
      <c r="G28" s="56">
        <f>CORREL(Portafolio!$O$5:$O$256,Portafolio!Q5:Q256)</f>
        <v>0.21330874826902754</v>
      </c>
      <c r="H28" s="56">
        <f>CORREL(Portafolio!$O$5:$O$256,Portafolio!R5:R256)</f>
        <v>0.25395318683997581</v>
      </c>
      <c r="I28" s="56">
        <f>CORREL(Portafolio!$O$5:$O$256,Portafolio!S5:S256)</f>
        <v>-7.5192022928146265E-2</v>
      </c>
      <c r="J28" s="56">
        <f>CORREL(Portafolio!$O$5:$O$256,Portafolio!T5:T256)</f>
        <v>9.6348214351602193E-2</v>
      </c>
      <c r="K28" s="56">
        <f>CORREL(Portafolio!$O$5:$O$256,Portafolio!U5:U256)</f>
        <v>-5.0798434615144765E-3</v>
      </c>
    </row>
    <row r="29" spans="1:11" x14ac:dyDescent="0.3">
      <c r="A29" s="1"/>
      <c r="C29" s="44" t="s">
        <v>20</v>
      </c>
      <c r="D29" s="56">
        <f>CORREL(Portafolio!$P$5:$P$256,Portafolio!N5:N256)</f>
        <v>0.47424822414296808</v>
      </c>
      <c r="E29" s="56">
        <f>CORREL(Portafolio!$P$5:$P$256,Portafolio!O5:O256)</f>
        <v>0.17165442742853237</v>
      </c>
      <c r="F29" s="56">
        <f>CORREL(Portafolio!$P$5:$P$256,Portafolio!P5:P256)</f>
        <v>1.0000000000000002</v>
      </c>
      <c r="G29" s="56">
        <f>CORREL(Portafolio!$P$5:$P$256,Portafolio!Q5:Q256)</f>
        <v>0.20270755809156041</v>
      </c>
      <c r="H29" s="56">
        <f>CORREL(Portafolio!$P$5:$P$256,Portafolio!R5:R256)</f>
        <v>0.13828127604649817</v>
      </c>
      <c r="I29" s="56">
        <f>CORREL(Portafolio!$P$5:$P$256,Portafolio!S5:S256)</f>
        <v>7.528690991232774E-2</v>
      </c>
      <c r="J29" s="56">
        <f>CORREL(Portafolio!$P$5:$P$256,Portafolio!T5:T256)</f>
        <v>0.14691641362311977</v>
      </c>
      <c r="K29" s="56">
        <f>CORREL(Portafolio!$P$5:$P$256,Portafolio!U5:U256)</f>
        <v>0.11685790420176169</v>
      </c>
    </row>
    <row r="30" spans="1:11" x14ac:dyDescent="0.3">
      <c r="A30" s="1"/>
      <c r="C30" s="44" t="s">
        <v>12</v>
      </c>
      <c r="D30" s="56">
        <f>CORREL(Portafolio!$Q$5:$Q$256,Portafolio!N5:N256)</f>
        <v>0.4312054068443289</v>
      </c>
      <c r="E30" s="56">
        <f>CORREL(Portafolio!$Q$5:$Q$256,Portafolio!O5:O256)</f>
        <v>0.21330874826902754</v>
      </c>
      <c r="F30" s="56">
        <f>CORREL(Portafolio!$Q$5:$Q$256,Portafolio!P5:P256)</f>
        <v>0.20270755809156041</v>
      </c>
      <c r="G30" s="56">
        <f>CORREL(Portafolio!$Q$5:$Q$256,Portafolio!Q5:Q256)</f>
        <v>1</v>
      </c>
      <c r="H30" s="56">
        <f>CORREL(Portafolio!$Q$5:$Q$256,Portafolio!R5:R256)</f>
        <v>0.22436762489213322</v>
      </c>
      <c r="I30" s="56">
        <f>CORREL(Portafolio!$Q$5:$Q$256,Portafolio!S5:S256)</f>
        <v>1.0637497234761574E-2</v>
      </c>
      <c r="J30" s="56">
        <f>CORREL(Portafolio!$Q$5:$Q$256,Portafolio!T5:T256)</f>
        <v>0.12545851859988819</v>
      </c>
      <c r="K30" s="56">
        <f>CORREL(Portafolio!$Q$5:$Q$256,Portafolio!U5:U256)</f>
        <v>0.14491570061226594</v>
      </c>
    </row>
    <row r="31" spans="1:11" x14ac:dyDescent="0.3">
      <c r="A31" s="1"/>
      <c r="C31" s="44" t="s">
        <v>21</v>
      </c>
      <c r="D31" s="56">
        <f>CORREL(Portafolio!$R$5:$R$256,Portafolio!N5:N256)</f>
        <v>0.2445799697522873</v>
      </c>
      <c r="E31" s="56">
        <f>CORREL(Portafolio!$R$5:$R$256,Portafolio!O5:O256)</f>
        <v>0.25395318683997581</v>
      </c>
      <c r="F31" s="56">
        <f>CORREL(Portafolio!$R$5:$R$256,Portafolio!P5:P256)</f>
        <v>0.13828127604649817</v>
      </c>
      <c r="G31" s="56">
        <f>CORREL(Portafolio!$R$5:$R$256,Portafolio!Q5:Q256)</f>
        <v>0.22436762489213322</v>
      </c>
      <c r="H31" s="56">
        <f>CORREL(Portafolio!$R$5:$R$256,Portafolio!R5:R256)</f>
        <v>1.0000000000000002</v>
      </c>
      <c r="I31" s="56">
        <f>CORREL(Portafolio!$R$5:$R$256,Portafolio!S5:S256)</f>
        <v>-5.1124853528387838E-2</v>
      </c>
      <c r="J31" s="56">
        <f>CORREL(Portafolio!$R$5:$R$256,Portafolio!T5:T256)</f>
        <v>0.20792987678168748</v>
      </c>
      <c r="K31" s="56">
        <f>CORREL(Portafolio!$R$5:$R$256,Portafolio!U5:U256)</f>
        <v>0.12590062535995913</v>
      </c>
    </row>
    <row r="32" spans="1:11" x14ac:dyDescent="0.3">
      <c r="A32" s="1"/>
      <c r="C32" s="44" t="s">
        <v>22</v>
      </c>
      <c r="D32" s="56">
        <f>CORREL(Portafolio!$S$5:$S$256,Portafolio!N5:N256)</f>
        <v>-4.9886362109746916E-2</v>
      </c>
      <c r="E32" s="56">
        <f>CORREL(Portafolio!$S$5:$S$256,Portafolio!O5:O256)</f>
        <v>-7.5192022928146265E-2</v>
      </c>
      <c r="F32" s="56">
        <f>CORREL(Portafolio!$S$5:$S$256,Portafolio!P5:P256)</f>
        <v>7.528690991232774E-2</v>
      </c>
      <c r="G32" s="56">
        <f>CORREL(Portafolio!$S$5:$S$256,Portafolio!Q5:Q256)</f>
        <v>1.0637497234761574E-2</v>
      </c>
      <c r="H32" s="56">
        <f>CORREL(Portafolio!$S$5:$S$256,Portafolio!R5:R256)</f>
        <v>-5.1124853528387838E-2</v>
      </c>
      <c r="I32" s="56">
        <f>CORREL(Portafolio!$S$5:$S$256,Portafolio!S5:S256)</f>
        <v>1</v>
      </c>
      <c r="J32" s="56">
        <f>CORREL(Portafolio!$S$5:$S$256,Portafolio!T5:T256)</f>
        <v>5.2136803133999689E-2</v>
      </c>
      <c r="K32" s="56">
        <f>CORREL(Portafolio!$S$5:$S$256,Portafolio!U5:U256)</f>
        <v>9.9638291283261002E-2</v>
      </c>
    </row>
    <row r="33" spans="1:11" x14ac:dyDescent="0.3">
      <c r="A33" s="1"/>
      <c r="C33" s="44" t="s">
        <v>14</v>
      </c>
      <c r="D33" s="56">
        <f>CORREL(Portafolio!$T$5:$T$256,Portafolio!N5:N256)</f>
        <v>0.15566158472055441</v>
      </c>
      <c r="E33" s="56">
        <f>CORREL(Portafolio!$T$5:$T$256,Portafolio!O5:O256)</f>
        <v>9.6348214351602193E-2</v>
      </c>
      <c r="F33" s="56">
        <f>CORREL(Portafolio!$T$5:$T$256,Portafolio!P5:P256)</f>
        <v>0.14691641362311977</v>
      </c>
      <c r="G33" s="56">
        <f>CORREL(Portafolio!$T$5:$T$256,Portafolio!Q5:Q256)</f>
        <v>0.12545851859988819</v>
      </c>
      <c r="H33" s="56">
        <f>CORREL(Portafolio!$T$5:$T$256,Portafolio!R5:R256)</f>
        <v>0.20792987678168748</v>
      </c>
      <c r="I33" s="56">
        <f>CORREL(Portafolio!$T$5:$T$256,Portafolio!S5:S256)</f>
        <v>5.2136803133999689E-2</v>
      </c>
      <c r="J33" s="56">
        <f>CORREL(Portafolio!$T$5:$T$256,Portafolio!T5:T256)</f>
        <v>0.99999999999999989</v>
      </c>
      <c r="K33" s="56">
        <f>CORREL(Portafolio!$T$5:$T$256,Portafolio!U5:U256)</f>
        <v>0.35043656944525187</v>
      </c>
    </row>
    <row r="34" spans="1:11" x14ac:dyDescent="0.3">
      <c r="A34" s="1"/>
      <c r="C34" s="44" t="s">
        <v>27</v>
      </c>
      <c r="D34" s="56">
        <f>CORREL(Portafolio!$U$5:$U$256,Portafolio!N5:N256)</f>
        <v>9.3984273339687285E-2</v>
      </c>
      <c r="E34" s="56">
        <f>CORREL(Portafolio!$U$5:$U$256,Portafolio!O5:O256)</f>
        <v>-5.0798434615144765E-3</v>
      </c>
      <c r="F34" s="56">
        <f>CORREL(Portafolio!$U$5:$U$256,Portafolio!P5:P256)</f>
        <v>0.11685790420176169</v>
      </c>
      <c r="G34" s="56">
        <f>CORREL(Portafolio!$U$5:$U$256,Portafolio!Q5:Q256)</f>
        <v>0.14491570061226594</v>
      </c>
      <c r="H34" s="56">
        <f>CORREL(Portafolio!$U$5:$U$256,Portafolio!R5:R256)</f>
        <v>0.12590062535995913</v>
      </c>
      <c r="I34" s="56">
        <f>CORREL(Portafolio!$U$5:$U$256,Portafolio!S5:S256)</f>
        <v>9.9638291283261002E-2</v>
      </c>
      <c r="J34" s="56">
        <f>CORREL(Portafolio!$U$5:$U$256,Portafolio!T5:T256)</f>
        <v>0.35043656944525187</v>
      </c>
      <c r="K34" s="56">
        <f>CORREL(Portafolio!$U$5:$U$256,Portafolio!U5:U256)</f>
        <v>1.0000000000000002</v>
      </c>
    </row>
    <row r="35" spans="1:11" x14ac:dyDescent="0.3">
      <c r="A35" s="1"/>
    </row>
    <row r="36" spans="1:11" ht="15.6" x14ac:dyDescent="0.3">
      <c r="A36" s="1"/>
      <c r="B36" s="43" t="s">
        <v>40</v>
      </c>
    </row>
    <row r="37" spans="1:11" x14ac:dyDescent="0.3">
      <c r="A37" s="1"/>
      <c r="D37" s="18" t="s">
        <v>13</v>
      </c>
      <c r="E37" s="18" t="s">
        <v>19</v>
      </c>
      <c r="F37" s="18" t="s">
        <v>20</v>
      </c>
      <c r="G37" s="18" t="s">
        <v>12</v>
      </c>
      <c r="H37" s="18" t="s">
        <v>21</v>
      </c>
      <c r="I37" s="18" t="s">
        <v>22</v>
      </c>
      <c r="J37" s="18" t="s">
        <v>14</v>
      </c>
      <c r="K37" s="18" t="s">
        <v>27</v>
      </c>
    </row>
    <row r="38" spans="1:11" x14ac:dyDescent="0.3">
      <c r="A38" s="1"/>
      <c r="C38" s="44" t="s">
        <v>13</v>
      </c>
      <c r="D38" s="45">
        <v>0.13724620076360763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0</v>
      </c>
    </row>
    <row r="39" spans="1:11" x14ac:dyDescent="0.3">
      <c r="A39" s="1"/>
      <c r="C39" s="44" t="s">
        <v>19</v>
      </c>
      <c r="D39" s="46">
        <v>0</v>
      </c>
      <c r="E39" s="45">
        <v>0.23548822073075332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</row>
    <row r="40" spans="1:11" x14ac:dyDescent="0.3">
      <c r="A40" s="1"/>
      <c r="C40" s="44" t="s">
        <v>20</v>
      </c>
      <c r="D40" s="46">
        <v>0</v>
      </c>
      <c r="E40" s="46">
        <v>0</v>
      </c>
      <c r="F40" s="45">
        <v>0.31919605050035066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</row>
    <row r="41" spans="1:11" x14ac:dyDescent="0.3">
      <c r="A41" s="1"/>
      <c r="C41" s="44" t="s">
        <v>12</v>
      </c>
      <c r="D41" s="46">
        <v>0</v>
      </c>
      <c r="E41" s="46">
        <v>0</v>
      </c>
      <c r="F41" s="46">
        <v>0</v>
      </c>
      <c r="G41" s="45">
        <v>0.49776134475151751</v>
      </c>
      <c r="H41" s="46">
        <v>0</v>
      </c>
      <c r="I41" s="46">
        <v>0</v>
      </c>
      <c r="J41" s="46">
        <v>0</v>
      </c>
      <c r="K41" s="46">
        <v>0</v>
      </c>
    </row>
    <row r="42" spans="1:11" x14ac:dyDescent="0.3">
      <c r="A42" s="1"/>
      <c r="C42" s="44" t="s">
        <v>21</v>
      </c>
      <c r="D42" s="46">
        <v>0</v>
      </c>
      <c r="E42" s="46">
        <v>0</v>
      </c>
      <c r="F42" s="46">
        <v>0</v>
      </c>
      <c r="G42" s="46">
        <v>0</v>
      </c>
      <c r="H42" s="45">
        <v>0.26728830989489832</v>
      </c>
      <c r="I42" s="46">
        <v>0</v>
      </c>
      <c r="J42" s="46">
        <v>0</v>
      </c>
      <c r="K42" s="46">
        <v>0</v>
      </c>
    </row>
    <row r="43" spans="1:11" x14ac:dyDescent="0.3">
      <c r="A43" s="1"/>
      <c r="C43" s="44" t="s">
        <v>22</v>
      </c>
      <c r="D43" s="46">
        <v>0</v>
      </c>
      <c r="E43" s="46">
        <v>0</v>
      </c>
      <c r="F43" s="46">
        <v>0</v>
      </c>
      <c r="G43" s="46">
        <v>0</v>
      </c>
      <c r="H43" s="46">
        <v>0</v>
      </c>
      <c r="I43" s="45">
        <v>0.26842503371686094</v>
      </c>
      <c r="J43" s="46">
        <v>0</v>
      </c>
      <c r="K43" s="46">
        <v>0</v>
      </c>
    </row>
    <row r="44" spans="1:11" x14ac:dyDescent="0.3">
      <c r="A44" s="1"/>
      <c r="C44" s="44" t="s">
        <v>14</v>
      </c>
      <c r="D44" s="46">
        <v>0</v>
      </c>
      <c r="E44" s="46">
        <v>0</v>
      </c>
      <c r="F44" s="46">
        <v>0</v>
      </c>
      <c r="G44" s="46">
        <v>0</v>
      </c>
      <c r="H44" s="46">
        <v>0</v>
      </c>
      <c r="I44" s="46">
        <v>0</v>
      </c>
      <c r="J44" s="45">
        <v>0.28607942556763016</v>
      </c>
      <c r="K44" s="46">
        <v>0</v>
      </c>
    </row>
    <row r="45" spans="1:11" x14ac:dyDescent="0.3">
      <c r="A45" s="1"/>
      <c r="C45" s="44" t="s">
        <v>27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5">
        <v>0.71072841151884614</v>
      </c>
    </row>
    <row r="46" spans="1:11" x14ac:dyDescent="0.3">
      <c r="A46" s="1"/>
    </row>
    <row r="47" spans="1:11" x14ac:dyDescent="0.3">
      <c r="A47" s="1"/>
    </row>
    <row r="48" spans="1:11" x14ac:dyDescent="0.3">
      <c r="A48" s="1"/>
      <c r="C48" s="47"/>
      <c r="D48" s="47"/>
      <c r="E48" s="48"/>
      <c r="F48" s="48"/>
      <c r="G48" s="48"/>
      <c r="H48" s="48"/>
      <c r="I48" s="48"/>
      <c r="J48" s="48"/>
      <c r="K48" s="48"/>
    </row>
    <row r="49" spans="1:14" x14ac:dyDescent="0.3">
      <c r="A49" s="1"/>
      <c r="C49" s="47"/>
      <c r="D49" s="48"/>
      <c r="E49" s="47"/>
      <c r="F49" s="48"/>
      <c r="G49" s="48"/>
      <c r="H49" s="48"/>
      <c r="I49" s="48"/>
      <c r="J49" s="48"/>
      <c r="K49" s="48"/>
    </row>
    <row r="50" spans="1:14" x14ac:dyDescent="0.3">
      <c r="A50" s="1"/>
      <c r="D50" s="48"/>
      <c r="E50" s="48"/>
      <c r="F50" s="48"/>
      <c r="G50" s="48"/>
      <c r="H50" s="48"/>
      <c r="I50" s="48"/>
      <c r="J50" s="48"/>
      <c r="K50" s="48"/>
    </row>
    <row r="51" spans="1:14" x14ac:dyDescent="0.3">
      <c r="A51" s="1"/>
      <c r="D51" s="48"/>
      <c r="E51" s="48"/>
      <c r="F51" s="48"/>
      <c r="G51" s="48"/>
      <c r="H51" s="48"/>
      <c r="I51" s="48"/>
      <c r="J51" s="48"/>
      <c r="K51" s="48"/>
    </row>
    <row r="52" spans="1:14" x14ac:dyDescent="0.3">
      <c r="A52" s="1"/>
      <c r="D52" s="48"/>
      <c r="E52" s="48"/>
      <c r="F52" s="48"/>
      <c r="G52" s="48"/>
      <c r="H52" s="48"/>
      <c r="I52" s="48"/>
      <c r="J52" s="48"/>
      <c r="K52" s="48"/>
    </row>
    <row r="53" spans="1:14" x14ac:dyDescent="0.3">
      <c r="A53" s="1"/>
      <c r="D53" s="48"/>
      <c r="E53" s="48"/>
      <c r="F53" s="48"/>
      <c r="G53" s="48"/>
      <c r="H53" s="48"/>
      <c r="I53" s="48"/>
      <c r="J53" s="48"/>
      <c r="K53" s="48"/>
    </row>
    <row r="54" spans="1:14" x14ac:dyDescent="0.3">
      <c r="A54" s="1"/>
      <c r="D54" s="48"/>
      <c r="E54" s="48"/>
      <c r="F54" s="48"/>
      <c r="G54" s="48"/>
      <c r="H54" s="48"/>
      <c r="I54" s="48"/>
      <c r="J54" s="48"/>
      <c r="K54" s="48"/>
    </row>
    <row r="55" spans="1:14" x14ac:dyDescent="0.3">
      <c r="A55" s="1"/>
      <c r="D55" s="48"/>
      <c r="E55" s="48"/>
      <c r="F55" s="48"/>
      <c r="G55" s="48"/>
      <c r="H55" s="48"/>
      <c r="I55" s="48"/>
      <c r="J55" s="48"/>
      <c r="K55" s="48"/>
      <c r="L55" s="49"/>
      <c r="M55" s="49"/>
      <c r="N55" s="49"/>
    </row>
    <row r="56" spans="1:14" x14ac:dyDescent="0.3">
      <c r="A56" s="1"/>
    </row>
    <row r="57" spans="1:14" x14ac:dyDescent="0.3">
      <c r="A57" s="1"/>
    </row>
    <row r="58" spans="1:14" x14ac:dyDescent="0.3">
      <c r="A58" s="1"/>
    </row>
    <row r="59" spans="1:14" x14ac:dyDescent="0.3">
      <c r="A59" s="1"/>
    </row>
    <row r="60" spans="1:14" x14ac:dyDescent="0.3">
      <c r="A60" s="1"/>
    </row>
    <row r="61" spans="1:14" x14ac:dyDescent="0.3">
      <c r="A61" s="1"/>
    </row>
    <row r="62" spans="1:14" x14ac:dyDescent="0.3">
      <c r="A62" s="1"/>
    </row>
    <row r="63" spans="1:14" x14ac:dyDescent="0.3">
      <c r="A63" s="1"/>
    </row>
    <row r="64" spans="1:14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</sheetData>
  <mergeCells count="2">
    <mergeCell ref="B5:M5"/>
    <mergeCell ref="H7:I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S259"/>
  <sheetViews>
    <sheetView tabSelected="1" zoomScale="130" zoomScaleNormal="130" workbookViewId="0">
      <pane xSplit="4" ySplit="4" topLeftCell="AI5" activePane="bottomRight" state="frozen"/>
      <selection pane="topRight" activeCell="E1" sqref="E1"/>
      <selection pane="bottomLeft" activeCell="A5" sqref="A5"/>
      <selection pane="bottomRight" activeCell="AD5" sqref="AD5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5" width="10.6640625" customWidth="1"/>
    <col min="6" max="21" width="13.109375" customWidth="1"/>
    <col min="22" max="29" width="10.88671875" customWidth="1"/>
    <col min="30" max="30" width="11.33203125" bestFit="1" customWidth="1"/>
    <col min="31" max="32" width="10.88671875" customWidth="1"/>
    <col min="33" max="33" width="11.33203125" bestFit="1" customWidth="1"/>
    <col min="34" max="35" width="12.6640625" bestFit="1" customWidth="1"/>
    <col min="36" max="36" width="11.33203125" bestFit="1" customWidth="1"/>
    <col min="37" max="37" width="14.77734375" bestFit="1" customWidth="1"/>
    <col min="38" max="38" width="14" customWidth="1"/>
    <col min="39" max="39" width="3.6640625" customWidth="1"/>
    <col min="40" max="40" width="16.33203125" bestFit="1" customWidth="1"/>
    <col min="41" max="41" width="14" bestFit="1" customWidth="1"/>
    <col min="42" max="42" width="12.109375" bestFit="1" customWidth="1"/>
    <col min="43" max="43" width="17.109375" bestFit="1" customWidth="1"/>
    <col min="44" max="47" width="10.21875" bestFit="1" customWidth="1"/>
    <col min="48" max="48" width="11.21875" bestFit="1" customWidth="1"/>
  </cols>
  <sheetData>
    <row r="1" spans="1:45" x14ac:dyDescent="0.3">
      <c r="AC1" s="14" t="s">
        <v>28</v>
      </c>
      <c r="AD1" s="27">
        <f t="shared" ref="AD1:AI1" si="0">+AD2*F5</f>
        <v>949214.70642089844</v>
      </c>
      <c r="AE1" s="27">
        <f t="shared" si="0"/>
        <v>922443.31741333031</v>
      </c>
      <c r="AF1" s="27">
        <f t="shared" si="0"/>
        <v>1031953.2096862796</v>
      </c>
      <c r="AG1" s="27">
        <f t="shared" si="0"/>
        <v>1008519.9768066406</v>
      </c>
      <c r="AH1" s="27">
        <f t="shared" si="0"/>
        <v>695532.01875686646</v>
      </c>
      <c r="AI1" s="27">
        <f t="shared" si="0"/>
        <v>1705224.0753173828</v>
      </c>
      <c r="AJ1" s="27">
        <f>+AJ2*$E$5*L5</f>
        <v>1370290.1910877989</v>
      </c>
      <c r="AK1" s="27">
        <f>+AK2*$E$5*M5</f>
        <v>1681565.5143511966</v>
      </c>
      <c r="AL1" s="27">
        <f>+SUM(AD1:AK1)</f>
        <v>9364743.0098403934</v>
      </c>
      <c r="AN1" s="12"/>
    </row>
    <row r="2" spans="1:45" x14ac:dyDescent="0.3">
      <c r="AC2" s="14" t="s">
        <v>16</v>
      </c>
      <c r="AD2" s="20">
        <v>20000</v>
      </c>
      <c r="AE2" s="20">
        <v>28500</v>
      </c>
      <c r="AF2" s="20">
        <v>88800</v>
      </c>
      <c r="AG2" s="20">
        <v>3800</v>
      </c>
      <c r="AH2" s="20">
        <v>44700</v>
      </c>
      <c r="AI2" s="20">
        <v>3500</v>
      </c>
      <c r="AJ2" s="20">
        <v>300</v>
      </c>
      <c r="AK2" s="20">
        <v>200</v>
      </c>
    </row>
    <row r="3" spans="1:45" x14ac:dyDescent="0.3">
      <c r="F3" s="84" t="s">
        <v>0</v>
      </c>
      <c r="G3" s="85"/>
      <c r="H3" s="85"/>
      <c r="I3" s="85"/>
      <c r="J3" s="85"/>
      <c r="K3" s="85"/>
      <c r="L3" s="85"/>
      <c r="M3" s="86"/>
      <c r="N3" s="87" t="s">
        <v>1</v>
      </c>
      <c r="O3" s="88"/>
      <c r="P3" s="88"/>
      <c r="Q3" s="88"/>
      <c r="R3" s="88"/>
      <c r="S3" s="88"/>
      <c r="T3" s="88"/>
      <c r="U3" s="89"/>
      <c r="V3" s="95" t="s">
        <v>24</v>
      </c>
      <c r="W3" s="96"/>
      <c r="X3" s="96"/>
      <c r="Y3" s="96"/>
      <c r="Z3" s="96"/>
      <c r="AA3" s="96"/>
      <c r="AB3" s="96"/>
      <c r="AC3" s="96"/>
      <c r="AD3" s="97" t="s">
        <v>15</v>
      </c>
      <c r="AE3" s="98"/>
      <c r="AF3" s="98"/>
      <c r="AG3" s="98"/>
      <c r="AH3" s="98"/>
      <c r="AI3" s="98"/>
      <c r="AJ3" s="98"/>
      <c r="AK3" s="98"/>
    </row>
    <row r="4" spans="1:45" x14ac:dyDescent="0.3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10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11</v>
      </c>
      <c r="M4" s="10" t="s">
        <v>26</v>
      </c>
      <c r="N4" s="4" t="str">
        <f>+F4</f>
        <v>NAFTRAC</v>
      </c>
      <c r="O4" s="4" t="str">
        <f t="shared" ref="O4:S4" si="1">+G4</f>
        <v>LACOMER</v>
      </c>
      <c r="P4" s="4" t="str">
        <f t="shared" si="1"/>
        <v>CEMEX</v>
      </c>
      <c r="Q4" s="4" t="str">
        <f t="shared" si="1"/>
        <v>PEÑOLES</v>
      </c>
      <c r="R4" s="4" t="str">
        <f t="shared" si="1"/>
        <v>VOLAR</v>
      </c>
      <c r="S4" s="4" t="str">
        <f t="shared" si="1"/>
        <v>GAP</v>
      </c>
      <c r="T4" s="4" t="s">
        <v>14</v>
      </c>
      <c r="U4" s="4" t="s">
        <v>27</v>
      </c>
      <c r="V4" s="4" t="str">
        <f>+N4</f>
        <v>NAFTRAC</v>
      </c>
      <c r="W4" s="4" t="str">
        <f t="shared" ref="W4" si="2">+O4</f>
        <v>LACOMER</v>
      </c>
      <c r="X4" s="4" t="str">
        <f t="shared" ref="X4" si="3">+P4</f>
        <v>CEMEX</v>
      </c>
      <c r="Y4" s="4" t="str">
        <f t="shared" ref="Y4" si="4">+Q4</f>
        <v>PEÑOLES</v>
      </c>
      <c r="Z4" s="4" t="str">
        <f t="shared" ref="Z4" si="5">+R4</f>
        <v>VOLAR</v>
      </c>
      <c r="AA4" s="4" t="str">
        <f t="shared" ref="AA4" si="6">+S4</f>
        <v>GAP</v>
      </c>
      <c r="AB4" s="4" t="s">
        <v>14</v>
      </c>
      <c r="AC4" s="4" t="s">
        <v>27</v>
      </c>
      <c r="AD4" s="4" t="str">
        <f>+V4</f>
        <v>NAFTRAC</v>
      </c>
      <c r="AE4" s="4" t="str">
        <f t="shared" ref="AE4" si="7">+W4</f>
        <v>LACOMER</v>
      </c>
      <c r="AF4" s="4" t="str">
        <f t="shared" ref="AF4" si="8">+X4</f>
        <v>CEMEX</v>
      </c>
      <c r="AG4" s="4" t="str">
        <f t="shared" ref="AG4" si="9">+Y4</f>
        <v>PEÑOLES</v>
      </c>
      <c r="AH4" s="4" t="str">
        <f t="shared" ref="AH4" si="10">+Z4</f>
        <v>VOLAR</v>
      </c>
      <c r="AI4" s="4" t="str">
        <f t="shared" ref="AI4" si="11">+AA4</f>
        <v>GAP</v>
      </c>
      <c r="AJ4" s="4" t="s">
        <v>14</v>
      </c>
      <c r="AK4" s="4" t="s">
        <v>27</v>
      </c>
      <c r="AL4" s="22" t="s">
        <v>17</v>
      </c>
      <c r="AM4" s="25"/>
    </row>
    <row r="5" spans="1:45" ht="16.2" x14ac:dyDescent="0.45">
      <c r="A5" s="13">
        <f t="shared" ref="A5:A68" si="12">+A6-1</f>
        <v>0</v>
      </c>
      <c r="B5" s="5">
        <v>45657</v>
      </c>
      <c r="C5" s="8">
        <v>2024</v>
      </c>
      <c r="D5" s="8">
        <v>6</v>
      </c>
      <c r="E5" s="16">
        <v>20.819700000000001</v>
      </c>
      <c r="F5" s="6">
        <v>47.460735321044922</v>
      </c>
      <c r="G5" s="6">
        <v>32.366432189941413</v>
      </c>
      <c r="H5" s="6">
        <v>11.62109470367432</v>
      </c>
      <c r="I5" s="6">
        <v>265.39999389648438</v>
      </c>
      <c r="J5" s="6">
        <v>15.560000419616699</v>
      </c>
      <c r="K5" s="6">
        <v>487.20687866210938</v>
      </c>
      <c r="L5" s="6">
        <v>219.38999938964841</v>
      </c>
      <c r="M5" s="6">
        <v>403.83999633789063</v>
      </c>
      <c r="N5" s="12">
        <f>F5/F6-1</f>
        <v>1.3077249912180955E-2</v>
      </c>
      <c r="O5" s="12">
        <f t="shared" ref="O5:S5" si="13">G5/G6-1</f>
        <v>2.1712085975068129E-2</v>
      </c>
      <c r="P5" s="12">
        <f t="shared" si="13"/>
        <v>2.7193014251863712E-2</v>
      </c>
      <c r="Q5" s="12">
        <f t="shared" si="13"/>
        <v>3.0479543683091803E-2</v>
      </c>
      <c r="R5" s="12">
        <f t="shared" si="13"/>
        <v>5.1680154874740314E-3</v>
      </c>
      <c r="S5" s="12">
        <f t="shared" si="13"/>
        <v>0</v>
      </c>
      <c r="T5" s="12">
        <f>(L5*$E5)/(L6*$E6)-1</f>
        <v>1.457875968864375E-4</v>
      </c>
      <c r="U5" s="12">
        <f>(M5*$E5)/(M6*$E6)-1</f>
        <v>-2.3944800662487276E-2</v>
      </c>
      <c r="V5" s="19">
        <f>F$5*(1+N5)</f>
        <v>48.081391217854097</v>
      </c>
      <c r="W5" s="19">
        <f t="shared" ref="W5:AA5" si="14">G$5*(1+O5)</f>
        <v>33.069174948355631</v>
      </c>
      <c r="X5" s="19">
        <f t="shared" si="14"/>
        <v>11.937107297573593</v>
      </c>
      <c r="Y5" s="19">
        <f t="shared" si="14"/>
        <v>273.48926460394455</v>
      </c>
      <c r="Z5" s="19">
        <f t="shared" si="14"/>
        <v>15.64041474277038</v>
      </c>
      <c r="AA5" s="19">
        <f t="shared" si="14"/>
        <v>487.20687866210938</v>
      </c>
      <c r="AB5" s="19">
        <f>L$5*$E$5*(1+T5)</f>
        <v>4568.2998746726489</v>
      </c>
      <c r="AC5" s="19">
        <f>M$5*$E$5*(1+U5)</f>
        <v>8206.5038165457208</v>
      </c>
      <c r="AD5" s="100">
        <f>(V5-F$5)*AD$2</f>
        <v>12413.117936183511</v>
      </c>
      <c r="AE5" s="21">
        <f t="shared" ref="AE5:AI5" si="15">(W5-G$5)*AE$2</f>
        <v>20028.168614805196</v>
      </c>
      <c r="AF5" s="21">
        <f t="shared" si="15"/>
        <v>28061.918338255487</v>
      </c>
      <c r="AG5" s="21">
        <f t="shared" si="15"/>
        <v>30739.228688348659</v>
      </c>
      <c r="AH5" s="21">
        <f t="shared" si="15"/>
        <v>3594.5202449695366</v>
      </c>
      <c r="AI5" s="21">
        <f t="shared" si="15"/>
        <v>0</v>
      </c>
      <c r="AJ5" s="21">
        <f>(AB5-L$5*$E$5)*AJ$2</f>
        <v>199.77131399564314</v>
      </c>
      <c r="AK5" s="21">
        <f>(AC5-M$5*$E$5)*AK$2</f>
        <v>-40264.751042052376</v>
      </c>
      <c r="AL5" s="23">
        <f>SUM(AD5:AK5)</f>
        <v>54771.974094505669</v>
      </c>
      <c r="AM5" s="23"/>
      <c r="AN5" s="99" t="s">
        <v>25</v>
      </c>
      <c r="AO5" s="99"/>
      <c r="AP5" s="99"/>
      <c r="AQ5" s="99"/>
      <c r="AR5" s="99"/>
      <c r="AS5" s="99"/>
    </row>
    <row r="6" spans="1:45" x14ac:dyDescent="0.3">
      <c r="A6" s="13">
        <f t="shared" si="12"/>
        <v>1</v>
      </c>
      <c r="B6" s="1">
        <v>45656</v>
      </c>
      <c r="C6" s="7">
        <v>2024</v>
      </c>
      <c r="D6" s="7">
        <v>6</v>
      </c>
      <c r="E6" s="77">
        <v>20.637</v>
      </c>
      <c r="F6" s="2">
        <v>46.848091125488281</v>
      </c>
      <c r="G6" s="2">
        <v>31.678623199462891</v>
      </c>
      <c r="H6" s="2">
        <v>11.31344795227051</v>
      </c>
      <c r="I6" s="2">
        <v>257.54998779296881</v>
      </c>
      <c r="J6" s="2">
        <v>15.47999954223633</v>
      </c>
      <c r="K6" s="2">
        <v>487.20687866210938</v>
      </c>
      <c r="L6" s="2">
        <v>221.30000305175781</v>
      </c>
      <c r="M6" s="2">
        <v>417.41000366210938</v>
      </c>
      <c r="N6" s="12">
        <f t="shared" ref="N6:N69" si="16">F6/F7-1</f>
        <v>-6.9985041439256657E-3</v>
      </c>
      <c r="O6" s="12">
        <f t="shared" ref="O6:O69" si="17">G6/G7-1</f>
        <v>-1.1952076047827775E-2</v>
      </c>
      <c r="P6" s="12">
        <f t="shared" ref="P6:P69" si="18">H6/H7-1</f>
        <v>-6.9687081982143795E-3</v>
      </c>
      <c r="Q6" s="12">
        <f t="shared" ref="Q6:Q69" si="19">I6/I7-1</f>
        <v>-5.5867224878375255E-2</v>
      </c>
      <c r="R6" s="12">
        <f t="shared" ref="R6:R69" si="20">J6/J7-1</f>
        <v>-2.5773785017725315E-3</v>
      </c>
      <c r="S6" s="12">
        <f t="shared" ref="S6:S69" si="21">K6/K7-1</f>
        <v>0</v>
      </c>
      <c r="T6" s="12">
        <f t="shared" ref="T6:T69" si="22">(L6*$E6)/(L7*$E7)-1</f>
        <v>4.8260176239893759E-3</v>
      </c>
      <c r="U6" s="12">
        <f t="shared" ref="U6:U69" si="23">(M6*$E6)/(M7*$E7)-1</f>
        <v>-1.758827127373308E-2</v>
      </c>
      <c r="V6" s="19">
        <f t="shared" ref="V6:V69" si="24">F$5*(1+N6)</f>
        <v>47.12858116822683</v>
      </c>
      <c r="W6" s="19">
        <f t="shared" ref="W6:W69" si="25">G$5*(1+O6)</f>
        <v>31.979586131010372</v>
      </c>
      <c r="X6" s="19">
        <f t="shared" ref="X6:X69" si="26">H$5*(1+P6)</f>
        <v>11.540110685740599</v>
      </c>
      <c r="Y6" s="19">
        <f t="shared" ref="Y6:Y69" si="27">I$5*(1+Q6)</f>
        <v>250.57283275475007</v>
      </c>
      <c r="Z6" s="19">
        <f t="shared" ref="Z6:Z69" si="28">J$5*(1+R6)</f>
        <v>15.519896409047607</v>
      </c>
      <c r="AA6" s="19">
        <f t="shared" ref="AA6:AA69" si="29">K$5*(1+S6)</f>
        <v>487.20687866210938</v>
      </c>
      <c r="AB6" s="19">
        <f t="shared" ref="AB6:AB69" si="30">L$5*$E$5*(1+T6)</f>
        <v>4589.6774523332288</v>
      </c>
      <c r="AC6" s="19">
        <f t="shared" ref="AC6:AC69" si="31">M$5*$E$5*(1+U6)</f>
        <v>8259.9484196011654</v>
      </c>
      <c r="AD6" s="21">
        <f t="shared" ref="AD6:AD69" si="32">(V6-F$5)*AD$2</f>
        <v>-6643.083056361831</v>
      </c>
      <c r="AE6" s="21">
        <f t="shared" ref="AE6:AE69" si="33">(W6-G$5)*AE$2</f>
        <v>-11025.112679534686</v>
      </c>
      <c r="AF6" s="21">
        <f t="shared" ref="AF6:AF69" si="34">(X6-H$5)*AF$2</f>
        <v>-7191.3807925144356</v>
      </c>
      <c r="AG6" s="21">
        <f t="shared" ref="AG6:AG69" si="35">(Y6-I$5)*AG$2</f>
        <v>-56343.212338590369</v>
      </c>
      <c r="AH6" s="21">
        <f t="shared" ref="AH6:AH69" si="36">(Z6-J$5)*AH$2</f>
        <v>-1792.6492724384009</v>
      </c>
      <c r="AI6" s="21">
        <f t="shared" ref="AI6:AI69" si="37">(AA6-K$5)*AI$2</f>
        <v>0</v>
      </c>
      <c r="AJ6" s="21">
        <f t="shared" ref="AJ6:AJ69" si="38">(AB6-L$5*$E$5)*AJ$2</f>
        <v>6613.0446121695968</v>
      </c>
      <c r="AK6" s="21">
        <f t="shared" ref="AK6:AK69" si="39">(AC6-M$5*$E$5)*AK$2</f>
        <v>-29575.83043096347</v>
      </c>
      <c r="AL6" s="23">
        <f t="shared" ref="AL6:AL69" si="40">SUM(AD6:AK6)</f>
        <v>-105958.22395823359</v>
      </c>
      <c r="AM6" s="23"/>
      <c r="AO6" s="18" t="s">
        <v>8</v>
      </c>
      <c r="AP6" s="18" t="s">
        <v>9</v>
      </c>
    </row>
    <row r="7" spans="1:45" ht="18" x14ac:dyDescent="0.4">
      <c r="A7" s="13">
        <f t="shared" si="12"/>
        <v>2</v>
      </c>
      <c r="B7" s="1">
        <v>45653</v>
      </c>
      <c r="C7" s="7">
        <v>2024</v>
      </c>
      <c r="D7" s="7">
        <v>6</v>
      </c>
      <c r="E7" s="77">
        <v>20.312999999999999</v>
      </c>
      <c r="F7" s="2">
        <v>47.178268432617188</v>
      </c>
      <c r="G7" s="2">
        <v>32.06182861328125</v>
      </c>
      <c r="H7" s="2">
        <v>11.39284133911133</v>
      </c>
      <c r="I7" s="2">
        <v>272.79000854492188</v>
      </c>
      <c r="J7" s="2">
        <v>15.52000045776367</v>
      </c>
      <c r="K7" s="2">
        <v>487.20687866210938</v>
      </c>
      <c r="L7" s="2">
        <v>223.75</v>
      </c>
      <c r="M7" s="2">
        <v>431.66000366210938</v>
      </c>
      <c r="N7" s="12">
        <f t="shared" si="16"/>
        <v>-4.4160697993085307E-3</v>
      </c>
      <c r="O7" s="12">
        <f t="shared" si="17"/>
        <v>-3.9683339136238338E-3</v>
      </c>
      <c r="P7" s="12">
        <f t="shared" si="18"/>
        <v>2.620133661311197E-3</v>
      </c>
      <c r="Q7" s="12">
        <f t="shared" si="19"/>
        <v>-6.9603060209333378E-4</v>
      </c>
      <c r="R7" s="12">
        <f t="shared" si="20"/>
        <v>-4.4900381102690456E-3</v>
      </c>
      <c r="S7" s="12">
        <f t="shared" si="21"/>
        <v>0</v>
      </c>
      <c r="T7" s="12">
        <f t="shared" si="22"/>
        <v>-1.0784461280121338E-2</v>
      </c>
      <c r="U7" s="12">
        <f t="shared" si="23"/>
        <v>-4.5862399739333704E-2</v>
      </c>
      <c r="V7" s="19">
        <f t="shared" si="24"/>
        <v>47.251145401140683</v>
      </c>
      <c r="W7" s="19">
        <f t="shared" si="25"/>
        <v>32.237991379419064</v>
      </c>
      <c r="X7" s="19">
        <f t="shared" si="26"/>
        <v>11.651543525088702</v>
      </c>
      <c r="Y7" s="19">
        <f t="shared" si="27"/>
        <v>265.21526737893703</v>
      </c>
      <c r="Z7" s="19">
        <f t="shared" si="28"/>
        <v>15.490135424736819</v>
      </c>
      <c r="AA7" s="19">
        <f t="shared" si="29"/>
        <v>487.20687866210938</v>
      </c>
      <c r="AB7" s="19">
        <f t="shared" si="30"/>
        <v>4518.3744985982757</v>
      </c>
      <c r="AC7" s="19">
        <f t="shared" si="31"/>
        <v>8022.2244227207184</v>
      </c>
      <c r="AD7" s="21">
        <f t="shared" si="32"/>
        <v>-4191.7983980847848</v>
      </c>
      <c r="AE7" s="21">
        <f t="shared" si="33"/>
        <v>-3660.5630998869501</v>
      </c>
      <c r="AF7" s="21">
        <f t="shared" si="34"/>
        <v>2703.855341597091</v>
      </c>
      <c r="AG7" s="21">
        <f t="shared" si="35"/>
        <v>-701.96076667991747</v>
      </c>
      <c r="AH7" s="21">
        <f t="shared" si="36"/>
        <v>-3122.965271130664</v>
      </c>
      <c r="AI7" s="21">
        <f t="shared" si="37"/>
        <v>0</v>
      </c>
      <c r="AJ7" s="21">
        <f t="shared" si="38"/>
        <v>-14777.841508316305</v>
      </c>
      <c r="AK7" s="21">
        <f t="shared" si="39"/>
        <v>-77120.629807052872</v>
      </c>
      <c r="AL7" s="23">
        <f t="shared" si="40"/>
        <v>-100871.90350955439</v>
      </c>
      <c r="AM7" s="23"/>
      <c r="AN7" s="11" t="s">
        <v>23</v>
      </c>
      <c r="AO7" s="26">
        <f>PERCENTILE(AL5:AL256, 0.01)</f>
        <v>-302821.48174371984</v>
      </c>
      <c r="AP7" s="17">
        <f>AO7/AL1</f>
        <v>-3.2336336557823059E-2</v>
      </c>
      <c r="AQ7" s="52"/>
      <c r="AR7" s="53"/>
    </row>
    <row r="8" spans="1:45" x14ac:dyDescent="0.3">
      <c r="A8" s="13">
        <f t="shared" si="12"/>
        <v>3</v>
      </c>
      <c r="B8" s="1">
        <v>45652</v>
      </c>
      <c r="C8" s="7">
        <v>2024</v>
      </c>
      <c r="D8" s="7">
        <v>6</v>
      </c>
      <c r="E8" s="77">
        <v>20.236000000000001</v>
      </c>
      <c r="F8" s="2">
        <v>47.387535095214837</v>
      </c>
      <c r="G8" s="2">
        <v>32.189567565917969</v>
      </c>
      <c r="H8" s="2">
        <v>11.36306858062744</v>
      </c>
      <c r="I8" s="2">
        <v>272.98001098632813</v>
      </c>
      <c r="J8" s="2">
        <v>15.590000152587891</v>
      </c>
      <c r="K8" s="2">
        <v>487.20687866210938</v>
      </c>
      <c r="L8" s="2">
        <v>227.05000305175781</v>
      </c>
      <c r="M8" s="2">
        <v>454.1300048828125</v>
      </c>
      <c r="N8" s="12">
        <f t="shared" si="16"/>
        <v>3.8282880873450331E-3</v>
      </c>
      <c r="O8" s="12">
        <f t="shared" si="17"/>
        <v>1.2224728550633834E-3</v>
      </c>
      <c r="P8" s="12">
        <f t="shared" si="18"/>
        <v>9.7001213669771769E-3</v>
      </c>
      <c r="Q8" s="12">
        <f t="shared" si="19"/>
        <v>-1.2087421284596722E-2</v>
      </c>
      <c r="R8" s="12">
        <f t="shared" si="20"/>
        <v>-3.8338317830587387E-3</v>
      </c>
      <c r="S8" s="12">
        <f t="shared" si="21"/>
        <v>0</v>
      </c>
      <c r="T8" s="12">
        <f t="shared" si="22"/>
        <v>-4.5009946598436601E-3</v>
      </c>
      <c r="U8" s="12">
        <f t="shared" si="23"/>
        <v>-1.3437249198626766E-2</v>
      </c>
      <c r="V8" s="19">
        <f t="shared" si="24"/>
        <v>47.642428688691112</v>
      </c>
      <c r="W8" s="19">
        <f t="shared" si="25"/>
        <v>32.405999274708869</v>
      </c>
      <c r="X8" s="19">
        <f t="shared" si="26"/>
        <v>11.733820732717097</v>
      </c>
      <c r="Y8" s="19">
        <f t="shared" si="27"/>
        <v>262.19199236132818</v>
      </c>
      <c r="Z8" s="19">
        <f t="shared" si="28"/>
        <v>15.500345995463565</v>
      </c>
      <c r="AA8" s="19">
        <f t="shared" si="29"/>
        <v>487.20687866210938</v>
      </c>
      <c r="AB8" s="19">
        <f t="shared" si="30"/>
        <v>4547.0750741842558</v>
      </c>
      <c r="AC8" s="19">
        <f t="shared" si="31"/>
        <v>8294.8494974552123</v>
      </c>
      <c r="AD8" s="21">
        <f t="shared" si="32"/>
        <v>3633.8673529238008</v>
      </c>
      <c r="AE8" s="21">
        <f t="shared" si="33"/>
        <v>1127.6619158724727</v>
      </c>
      <c r="AF8" s="21">
        <f t="shared" si="34"/>
        <v>10010.071378998633</v>
      </c>
      <c r="AG8" s="21">
        <f t="shared" si="35"/>
        <v>-12190.405833593559</v>
      </c>
      <c r="AH8" s="21">
        <f t="shared" si="36"/>
        <v>-2666.552759645092</v>
      </c>
      <c r="AI8" s="21">
        <f t="shared" si="37"/>
        <v>0</v>
      </c>
      <c r="AJ8" s="21">
        <f t="shared" si="38"/>
        <v>-6167.668832522304</v>
      </c>
      <c r="AK8" s="21">
        <f t="shared" si="39"/>
        <v>-22595.614860154092</v>
      </c>
      <c r="AL8" s="23">
        <f t="shared" si="40"/>
        <v>-28848.641638120142</v>
      </c>
      <c r="AM8" s="23"/>
      <c r="AN8" s="14" t="s">
        <v>18</v>
      </c>
      <c r="AO8" s="26">
        <f>AVERAGEIF(AL5:AL256,"&lt;"&amp;AO7,AL5:AL256)</f>
        <v>-339250.52203449846</v>
      </c>
      <c r="AP8" s="17">
        <f>AO8/AL1</f>
        <v>-3.6226356844818577E-2</v>
      </c>
      <c r="AQ8" s="24"/>
    </row>
    <row r="9" spans="1:45" x14ac:dyDescent="0.3">
      <c r="A9" s="13">
        <f t="shared" si="12"/>
        <v>4</v>
      </c>
      <c r="B9" s="1">
        <v>45650</v>
      </c>
      <c r="C9" s="7">
        <v>2024</v>
      </c>
      <c r="D9" s="7">
        <v>6</v>
      </c>
      <c r="E9" s="77">
        <v>20.149999999999999</v>
      </c>
      <c r="F9" s="2">
        <v>47.206813812255859</v>
      </c>
      <c r="G9" s="2">
        <v>32.150264739990227</v>
      </c>
      <c r="H9" s="2">
        <v>11.253904342651371</v>
      </c>
      <c r="I9" s="2">
        <v>276.32000732421881</v>
      </c>
      <c r="J9" s="2">
        <v>15.64999961853027</v>
      </c>
      <c r="K9" s="2">
        <v>487.20687866210938</v>
      </c>
      <c r="L9" s="2">
        <v>229.05000305175781</v>
      </c>
      <c r="M9" s="2">
        <v>462.27999877929688</v>
      </c>
      <c r="N9" s="12">
        <f t="shared" si="16"/>
        <v>-3.0132806869913598E-3</v>
      </c>
      <c r="O9" s="12">
        <f t="shared" si="17"/>
        <v>-6.678754355210148E-3</v>
      </c>
      <c r="P9" s="12">
        <f t="shared" si="18"/>
        <v>1.3404804095193512E-2</v>
      </c>
      <c r="Q9" s="12">
        <f t="shared" si="19"/>
        <v>-7.1502649988562927E-3</v>
      </c>
      <c r="R9" s="12">
        <f t="shared" si="20"/>
        <v>-7.6094379042533911E-3</v>
      </c>
      <c r="S9" s="12">
        <f t="shared" si="21"/>
        <v>0</v>
      </c>
      <c r="T9" s="12">
        <f t="shared" si="22"/>
        <v>1.6825346250529893E-2</v>
      </c>
      <c r="U9" s="12">
        <f t="shared" si="23"/>
        <v>7.2618894728119887E-2</v>
      </c>
      <c r="V9" s="19">
        <f t="shared" si="24"/>
        <v>47.317722803911607</v>
      </c>
      <c r="W9" s="19">
        <f t="shared" si="25"/>
        <v>32.150264739990227</v>
      </c>
      <c r="X9" s="19">
        <f t="shared" si="26"/>
        <v>11.776873201548765</v>
      </c>
      <c r="Y9" s="19">
        <f t="shared" si="27"/>
        <v>263.50231360942968</v>
      </c>
      <c r="Z9" s="19">
        <f t="shared" si="28"/>
        <v>15.441597562633468</v>
      </c>
      <c r="AA9" s="19">
        <f t="shared" si="29"/>
        <v>487.20687866210938</v>
      </c>
      <c r="AB9" s="19">
        <f t="shared" si="30"/>
        <v>4644.48599338852</v>
      </c>
      <c r="AC9" s="19">
        <f t="shared" si="31"/>
        <v>9018.3947170815136</v>
      </c>
      <c r="AD9" s="21">
        <f t="shared" si="32"/>
        <v>-2860.2503426662906</v>
      </c>
      <c r="AE9" s="21">
        <f t="shared" si="33"/>
        <v>-6160.7723236088032</v>
      </c>
      <c r="AF9" s="21">
        <f t="shared" si="34"/>
        <v>13833.130611250754</v>
      </c>
      <c r="AG9" s="21">
        <f t="shared" si="35"/>
        <v>-7211.1850908078504</v>
      </c>
      <c r="AH9" s="21">
        <f t="shared" si="36"/>
        <v>-5292.6077071504133</v>
      </c>
      <c r="AI9" s="21">
        <f t="shared" si="37"/>
        <v>0</v>
      </c>
      <c r="AJ9" s="21">
        <f t="shared" si="38"/>
        <v>23055.60692875697</v>
      </c>
      <c r="AK9" s="21">
        <f t="shared" si="39"/>
        <v>122113.42906510617</v>
      </c>
      <c r="AL9" s="23">
        <f t="shared" si="40"/>
        <v>137477.35114088055</v>
      </c>
      <c r="AM9" s="23"/>
    </row>
    <row r="10" spans="1:45" x14ac:dyDescent="0.3">
      <c r="A10" s="13">
        <f t="shared" si="12"/>
        <v>5</v>
      </c>
      <c r="B10" s="1">
        <v>45649</v>
      </c>
      <c r="C10" s="7">
        <v>2024</v>
      </c>
      <c r="D10" s="7">
        <v>6</v>
      </c>
      <c r="E10" s="77">
        <v>20.167899999999999</v>
      </c>
      <c r="F10" s="2">
        <v>47.349491119384773</v>
      </c>
      <c r="G10" s="2">
        <v>32.366432189941413</v>
      </c>
      <c r="H10" s="2">
        <v>11.105043411254879</v>
      </c>
      <c r="I10" s="2">
        <v>278.30999755859381</v>
      </c>
      <c r="J10" s="2">
        <v>15.77000045776367</v>
      </c>
      <c r="K10" s="2">
        <v>487.20687866210938</v>
      </c>
      <c r="L10" s="2">
        <v>225.05999755859381</v>
      </c>
      <c r="M10" s="2">
        <v>430.60000610351563</v>
      </c>
      <c r="N10" s="12">
        <f t="shared" si="16"/>
        <v>-3.4034338961105304E-3</v>
      </c>
      <c r="O10" s="12">
        <f t="shared" si="17"/>
        <v>-5.2631649467280939E-2</v>
      </c>
      <c r="P10" s="12">
        <f t="shared" si="18"/>
        <v>-1.0610096253355517E-2</v>
      </c>
      <c r="Q10" s="12">
        <f t="shared" si="19"/>
        <v>-6.780607238942471E-3</v>
      </c>
      <c r="R10" s="12">
        <f t="shared" si="20"/>
        <v>-1.0664938964543125E-2</v>
      </c>
      <c r="S10" s="12">
        <f t="shared" si="21"/>
        <v>0</v>
      </c>
      <c r="T10" s="12">
        <f t="shared" si="22"/>
        <v>6.4562029002546151E-3</v>
      </c>
      <c r="U10" s="12">
        <f t="shared" si="23"/>
        <v>2.8619351135855897E-2</v>
      </c>
      <c r="V10" s="19">
        <f t="shared" si="24"/>
        <v>47.299205845718944</v>
      </c>
      <c r="W10" s="19">
        <f t="shared" si="25"/>
        <v>30.662933476413897</v>
      </c>
      <c r="X10" s="19">
        <f t="shared" si="26"/>
        <v>11.497793770298975</v>
      </c>
      <c r="Y10" s="19">
        <f t="shared" si="27"/>
        <v>263.60042077665457</v>
      </c>
      <c r="Z10" s="19">
        <f t="shared" si="28"/>
        <v>15.394053964853221</v>
      </c>
      <c r="AA10" s="19">
        <f t="shared" si="29"/>
        <v>487.20687866210938</v>
      </c>
      <c r="AB10" s="19">
        <f t="shared" si="30"/>
        <v>4597.1235419789682</v>
      </c>
      <c r="AC10" s="19">
        <f t="shared" si="31"/>
        <v>8648.4541413217976</v>
      </c>
      <c r="AD10" s="21">
        <f t="shared" si="32"/>
        <v>-3230.58950651955</v>
      </c>
      <c r="AE10" s="21">
        <f t="shared" si="33"/>
        <v>-48549.713335534201</v>
      </c>
      <c r="AF10" s="21">
        <f t="shared" si="34"/>
        <v>-10949.122883730673</v>
      </c>
      <c r="AG10" s="21">
        <f t="shared" si="35"/>
        <v>-6838.3778553532466</v>
      </c>
      <c r="AH10" s="21">
        <f t="shared" si="36"/>
        <v>-7417.8065279274824</v>
      </c>
      <c r="AI10" s="21">
        <f t="shared" si="37"/>
        <v>0</v>
      </c>
      <c r="AJ10" s="21">
        <f t="shared" si="38"/>
        <v>8846.8715058914313</v>
      </c>
      <c r="AK10" s="21">
        <f t="shared" si="39"/>
        <v>48125.313913162972</v>
      </c>
      <c r="AL10" s="23">
        <f t="shared" si="40"/>
        <v>-20013.424690010754</v>
      </c>
      <c r="AM10" s="23"/>
    </row>
    <row r="11" spans="1:45" x14ac:dyDescent="0.3">
      <c r="A11" s="13">
        <f t="shared" si="12"/>
        <v>6</v>
      </c>
      <c r="B11" s="1">
        <v>45646</v>
      </c>
      <c r="C11" s="7">
        <v>2024</v>
      </c>
      <c r="D11" s="7">
        <v>6</v>
      </c>
      <c r="E11" s="77">
        <v>20.050999999999998</v>
      </c>
      <c r="F11" s="2">
        <v>47.511192321777337</v>
      </c>
      <c r="G11" s="2">
        <v>34.164569854736328</v>
      </c>
      <c r="H11" s="2">
        <v>11.2241325378418</v>
      </c>
      <c r="I11" s="2">
        <v>280.20999145507813</v>
      </c>
      <c r="J11" s="2">
        <v>15.939999580383301</v>
      </c>
      <c r="K11" s="2">
        <v>487.20687866210938</v>
      </c>
      <c r="L11" s="2">
        <v>224.91999816894531</v>
      </c>
      <c r="M11" s="2">
        <v>421.05999755859381</v>
      </c>
      <c r="N11" s="12">
        <f t="shared" si="16"/>
        <v>3.0122320588013007E-3</v>
      </c>
      <c r="O11" s="12">
        <f t="shared" si="17"/>
        <v>3.1750742215791883E-2</v>
      </c>
      <c r="P11" s="12">
        <f t="shared" si="18"/>
        <v>1.7715388197505622E-3</v>
      </c>
      <c r="Q11" s="12">
        <f t="shared" si="19"/>
        <v>8.8568549237735272E-3</v>
      </c>
      <c r="R11" s="12">
        <f t="shared" si="20"/>
        <v>-2.5076501010428354E-2</v>
      </c>
      <c r="S11" s="12">
        <f t="shared" si="21"/>
        <v>-9.9187998957873669E-3</v>
      </c>
      <c r="T11" s="12">
        <f t="shared" si="22"/>
        <v>-4.5652431591116649E-3</v>
      </c>
      <c r="U11" s="12">
        <f t="shared" si="23"/>
        <v>-4.601363192927288E-2</v>
      </c>
      <c r="V11" s="19">
        <f t="shared" si="24"/>
        <v>47.603698069513257</v>
      </c>
      <c r="W11" s="19">
        <f t="shared" si="25"/>
        <v>33.394090434849154</v>
      </c>
      <c r="X11" s="19">
        <f t="shared" si="26"/>
        <v>11.641681924069877</v>
      </c>
      <c r="Y11" s="19">
        <f t="shared" si="27"/>
        <v>267.7506031391959</v>
      </c>
      <c r="Z11" s="19">
        <f t="shared" si="28"/>
        <v>15.169810053371915</v>
      </c>
      <c r="AA11" s="19">
        <f t="shared" si="29"/>
        <v>482.37437112480876</v>
      </c>
      <c r="AB11" s="19">
        <f t="shared" si="30"/>
        <v>4546.7816105564589</v>
      </c>
      <c r="AC11" s="19">
        <f t="shared" si="31"/>
        <v>8020.9528885444106</v>
      </c>
      <c r="AD11" s="21">
        <f t="shared" si="32"/>
        <v>2859.2549693667024</v>
      </c>
      <c r="AE11" s="21">
        <f t="shared" si="33"/>
        <v>29288.259979870618</v>
      </c>
      <c r="AF11" s="21">
        <f t="shared" si="34"/>
        <v>1828.1451711254463</v>
      </c>
      <c r="AG11" s="21">
        <f t="shared" si="35"/>
        <v>8932.3151223038058</v>
      </c>
      <c r="AH11" s="21">
        <f t="shared" si="36"/>
        <v>-17441.509371141859</v>
      </c>
      <c r="AI11" s="21">
        <f t="shared" si="37"/>
        <v>-16913.77638055215</v>
      </c>
      <c r="AJ11" s="21">
        <f t="shared" si="38"/>
        <v>-6255.7079208613686</v>
      </c>
      <c r="AK11" s="21">
        <f t="shared" si="39"/>
        <v>-77374.936642314424</v>
      </c>
      <c r="AL11" s="23">
        <f t="shared" si="40"/>
        <v>-75077.955072203229</v>
      </c>
      <c r="AM11" s="23"/>
    </row>
    <row r="12" spans="1:45" x14ac:dyDescent="0.3">
      <c r="A12" s="13">
        <f t="shared" si="12"/>
        <v>7</v>
      </c>
      <c r="B12" s="1">
        <v>45645</v>
      </c>
      <c r="C12" s="7">
        <v>2024</v>
      </c>
      <c r="D12" s="7">
        <v>6</v>
      </c>
      <c r="E12" s="77">
        <v>20.29</v>
      </c>
      <c r="F12" s="2">
        <v>47.368507385253913</v>
      </c>
      <c r="G12" s="2">
        <v>33.113201141357422</v>
      </c>
      <c r="H12" s="2">
        <v>11.20428371429443</v>
      </c>
      <c r="I12" s="2">
        <v>277.75</v>
      </c>
      <c r="J12" s="2">
        <v>16.35000038146973</v>
      </c>
      <c r="K12" s="2">
        <v>492.08779907226563</v>
      </c>
      <c r="L12" s="2">
        <v>223.28999328613281</v>
      </c>
      <c r="M12" s="2">
        <v>436.17001342773438</v>
      </c>
      <c r="N12" s="12">
        <f t="shared" si="16"/>
        <v>-1.0727199403314902E-2</v>
      </c>
      <c r="O12" s="12">
        <f t="shared" si="17"/>
        <v>1.2924656232266685E-2</v>
      </c>
      <c r="P12" s="12">
        <f t="shared" si="18"/>
        <v>-5.2863521909277678E-3</v>
      </c>
      <c r="Q12" s="12">
        <f t="shared" si="19"/>
        <v>-5.369496521842565E-2</v>
      </c>
      <c r="R12" s="12">
        <f t="shared" si="20"/>
        <v>-1.0290561233855522E-2</v>
      </c>
      <c r="S12" s="12">
        <f t="shared" si="21"/>
        <v>0</v>
      </c>
      <c r="T12" s="12">
        <f t="shared" si="22"/>
        <v>9.5757305378481039E-3</v>
      </c>
      <c r="U12" s="12">
        <f t="shared" si="23"/>
        <v>-1.1919197397301295E-2</v>
      </c>
      <c r="V12" s="19">
        <f t="shared" si="24"/>
        <v>46.951614549428122</v>
      </c>
      <c r="W12" s="19">
        <f t="shared" si="25"/>
        <v>32.784757199461374</v>
      </c>
      <c r="X12" s="19">
        <f t="shared" si="26"/>
        <v>11.559661504226572</v>
      </c>
      <c r="Y12" s="19">
        <f t="shared" si="27"/>
        <v>251.14935045524226</v>
      </c>
      <c r="Z12" s="19">
        <f t="shared" si="28"/>
        <v>15.399879282499816</v>
      </c>
      <c r="AA12" s="19">
        <f t="shared" si="29"/>
        <v>487.20687866210938</v>
      </c>
      <c r="AB12" s="19">
        <f t="shared" si="30"/>
        <v>4611.3724023877076</v>
      </c>
      <c r="AC12" s="19">
        <f t="shared" si="31"/>
        <v>8307.6130152457499</v>
      </c>
      <c r="AD12" s="21">
        <f t="shared" si="32"/>
        <v>-10182.415432336</v>
      </c>
      <c r="AE12" s="21">
        <f t="shared" si="33"/>
        <v>11922.262771318892</v>
      </c>
      <c r="AF12" s="21">
        <f t="shared" si="34"/>
        <v>-5455.2681109600371</v>
      </c>
      <c r="AG12" s="21">
        <f t="shared" si="35"/>
        <v>-54152.445076720047</v>
      </c>
      <c r="AH12" s="21">
        <f t="shared" si="36"/>
        <v>-7157.4148291246865</v>
      </c>
      <c r="AI12" s="21">
        <f t="shared" si="37"/>
        <v>0</v>
      </c>
      <c r="AJ12" s="21">
        <f t="shared" si="38"/>
        <v>13121.529628513235</v>
      </c>
      <c r="AK12" s="21">
        <f t="shared" si="39"/>
        <v>-20042.911302046559</v>
      </c>
      <c r="AL12" s="23">
        <f t="shared" si="40"/>
        <v>-71946.662351355204</v>
      </c>
      <c r="AM12" s="23"/>
    </row>
    <row r="13" spans="1:45" x14ac:dyDescent="0.3">
      <c r="A13" s="13">
        <f t="shared" si="12"/>
        <v>8</v>
      </c>
      <c r="B13" s="1">
        <v>45644</v>
      </c>
      <c r="C13" s="7">
        <v>2024</v>
      </c>
      <c r="D13" s="7">
        <v>6</v>
      </c>
      <c r="E13" s="77">
        <v>20.350000000000001</v>
      </c>
      <c r="F13" s="2">
        <v>47.882148742675781</v>
      </c>
      <c r="G13" s="2">
        <v>32.690685272216797</v>
      </c>
      <c r="H13" s="2">
        <v>11.263828277587891</v>
      </c>
      <c r="I13" s="2">
        <v>293.510009765625</v>
      </c>
      <c r="J13" s="2">
        <v>16.520000457763668</v>
      </c>
      <c r="K13" s="2">
        <v>492.08779907226563</v>
      </c>
      <c r="L13" s="2">
        <v>220.52000427246091</v>
      </c>
      <c r="M13" s="2">
        <v>440.1300048828125</v>
      </c>
      <c r="N13" s="12">
        <f t="shared" si="16"/>
        <v>-9.4449822131232875E-3</v>
      </c>
      <c r="O13" s="12">
        <f t="shared" si="17"/>
        <v>-2.3481120831985391E-2</v>
      </c>
      <c r="P13" s="12">
        <f t="shared" si="18"/>
        <v>8.8182151139393206E-4</v>
      </c>
      <c r="Q13" s="12">
        <f t="shared" si="19"/>
        <v>-2.5595881494698713E-2</v>
      </c>
      <c r="R13" s="12">
        <f t="shared" si="20"/>
        <v>-2.0746909547020187E-2</v>
      </c>
      <c r="S13" s="12">
        <f t="shared" si="21"/>
        <v>-2.3762409925833894E-2</v>
      </c>
      <c r="T13" s="12">
        <f t="shared" si="22"/>
        <v>-3.7330480528859344E-2</v>
      </c>
      <c r="U13" s="12">
        <f t="shared" si="23"/>
        <v>-7.4472013893826849E-2</v>
      </c>
      <c r="V13" s="19">
        <f t="shared" si="24"/>
        <v>47.0124695201159</v>
      </c>
      <c r="W13" s="19">
        <f t="shared" si="25"/>
        <v>31.606432084789137</v>
      </c>
      <c r="X13" s="19">
        <f t="shared" si="26"/>
        <v>11.631342434969966</v>
      </c>
      <c r="Y13" s="19">
        <f t="shared" si="27"/>
        <v>258.6068471040162</v>
      </c>
      <c r="Z13" s="19">
        <f t="shared" si="28"/>
        <v>15.237178498359315</v>
      </c>
      <c r="AA13" s="19">
        <f t="shared" si="29"/>
        <v>475.6296690926543</v>
      </c>
      <c r="AB13" s="19">
        <f t="shared" si="30"/>
        <v>4397.1219993016966</v>
      </c>
      <c r="AC13" s="19">
        <f t="shared" si="31"/>
        <v>7781.6797200152705</v>
      </c>
      <c r="AD13" s="21">
        <f t="shared" si="32"/>
        <v>-8965.3160185804372</v>
      </c>
      <c r="AE13" s="21">
        <f t="shared" si="33"/>
        <v>-21660.002996839867</v>
      </c>
      <c r="AF13" s="21">
        <f t="shared" si="34"/>
        <v>909.99853905335897</v>
      </c>
      <c r="AG13" s="21">
        <f t="shared" si="35"/>
        <v>-25813.957811379078</v>
      </c>
      <c r="AH13" s="21">
        <f t="shared" si="36"/>
        <v>-14430.139880205083</v>
      </c>
      <c r="AI13" s="21">
        <f t="shared" si="37"/>
        <v>-40520.233493092775</v>
      </c>
      <c r="AJ13" s="21">
        <f t="shared" si="38"/>
        <v>-51153.591297290041</v>
      </c>
      <c r="AK13" s="21">
        <f t="shared" si="39"/>
        <v>-125229.57034814244</v>
      </c>
      <c r="AL13" s="23">
        <f t="shared" si="40"/>
        <v>-286862.81330647634</v>
      </c>
      <c r="AM13" s="23"/>
    </row>
    <row r="14" spans="1:45" x14ac:dyDescent="0.3">
      <c r="A14" s="13">
        <f t="shared" si="12"/>
        <v>9</v>
      </c>
      <c r="B14" s="1">
        <v>45643</v>
      </c>
      <c r="C14" s="7">
        <v>2024</v>
      </c>
      <c r="D14" s="7">
        <v>6</v>
      </c>
      <c r="E14" s="77">
        <v>20.167000000000002</v>
      </c>
      <c r="F14" s="2">
        <v>48.338706970214837</v>
      </c>
      <c r="G14" s="2">
        <v>33.476757049560547</v>
      </c>
      <c r="H14" s="2">
        <v>11.253904342651371</v>
      </c>
      <c r="I14" s="2">
        <v>301.22000122070313</v>
      </c>
      <c r="J14" s="2">
        <v>16.870000839233398</v>
      </c>
      <c r="K14" s="2">
        <v>504.06561279296881</v>
      </c>
      <c r="L14" s="2">
        <v>231.1499938964844</v>
      </c>
      <c r="M14" s="2">
        <v>479.8599853515625</v>
      </c>
      <c r="N14" s="12">
        <f t="shared" si="16"/>
        <v>-4.1151946422151031E-3</v>
      </c>
      <c r="O14" s="12">
        <f t="shared" si="17"/>
        <v>1.0679254631145385E-2</v>
      </c>
      <c r="P14" s="12">
        <f t="shared" si="18"/>
        <v>1.5219289604746278E-2</v>
      </c>
      <c r="Q14" s="12">
        <f t="shared" si="19"/>
        <v>-4.0639560861027602E-2</v>
      </c>
      <c r="R14" s="12">
        <f t="shared" si="20"/>
        <v>-3.5439731164115251E-3</v>
      </c>
      <c r="S14" s="12">
        <f t="shared" si="21"/>
        <v>-4.1412263953229944E-3</v>
      </c>
      <c r="T14" s="12">
        <f t="shared" si="22"/>
        <v>-5.4719322367638989E-3</v>
      </c>
      <c r="U14" s="12">
        <f t="shared" si="23"/>
        <v>3.8635989610335431E-2</v>
      </c>
      <c r="V14" s="19">
        <f t="shared" si="24"/>
        <v>47.265425157336168</v>
      </c>
      <c r="W14" s="19">
        <f t="shared" si="25"/>
        <v>32.712081560799497</v>
      </c>
      <c r="X14" s="19">
        <f t="shared" si="26"/>
        <v>11.797959509493722</v>
      </c>
      <c r="Y14" s="19">
        <f t="shared" si="27"/>
        <v>254.61425469201185</v>
      </c>
      <c r="Z14" s="19">
        <f t="shared" si="28"/>
        <v>15.504856196438226</v>
      </c>
      <c r="AA14" s="19">
        <f t="shared" si="29"/>
        <v>485.18924467621093</v>
      </c>
      <c r="AB14" s="19">
        <f t="shared" si="30"/>
        <v>4542.6401867248815</v>
      </c>
      <c r="AC14" s="19">
        <f t="shared" si="31"/>
        <v>8732.6723104638386</v>
      </c>
      <c r="AD14" s="21">
        <f t="shared" si="32"/>
        <v>-3906.2032741750841</v>
      </c>
      <c r="AE14" s="21">
        <f t="shared" si="33"/>
        <v>9851.0070694553851</v>
      </c>
      <c r="AF14" s="21">
        <f t="shared" si="34"/>
        <v>15705.594756762937</v>
      </c>
      <c r="AG14" s="21">
        <f t="shared" si="35"/>
        <v>-40985.808976995577</v>
      </c>
      <c r="AH14" s="21">
        <f t="shared" si="36"/>
        <v>-2464.9467760777584</v>
      </c>
      <c r="AI14" s="21">
        <f t="shared" si="37"/>
        <v>-7061.7189506445466</v>
      </c>
      <c r="AJ14" s="21">
        <f t="shared" si="38"/>
        <v>-7498.1350703345925</v>
      </c>
      <c r="AK14" s="21">
        <f t="shared" si="39"/>
        <v>64968.947741571174</v>
      </c>
      <c r="AL14" s="23">
        <f t="shared" si="40"/>
        <v>28608.736519561935</v>
      </c>
      <c r="AM14" s="23"/>
    </row>
    <row r="15" spans="1:45" x14ac:dyDescent="0.3">
      <c r="A15" s="13">
        <f t="shared" si="12"/>
        <v>10</v>
      </c>
      <c r="B15" s="1">
        <v>45642</v>
      </c>
      <c r="C15" s="7">
        <v>2024</v>
      </c>
      <c r="D15" s="7">
        <v>6</v>
      </c>
      <c r="E15" s="77">
        <v>20.123000000000001</v>
      </c>
      <c r="F15" s="2">
        <v>48.5384521484375</v>
      </c>
      <c r="G15" s="2">
        <v>33.123027801513672</v>
      </c>
      <c r="H15" s="2">
        <v>11.085195541381839</v>
      </c>
      <c r="I15" s="2">
        <v>313.98001098632813</v>
      </c>
      <c r="J15" s="2">
        <v>16.930000305175781</v>
      </c>
      <c r="K15" s="2">
        <v>506.1617431640625</v>
      </c>
      <c r="L15" s="2">
        <v>232.92999267578119</v>
      </c>
      <c r="M15" s="2">
        <v>463.01998901367188</v>
      </c>
      <c r="N15" s="12">
        <f t="shared" si="16"/>
        <v>-1.6194361408662927E-2</v>
      </c>
      <c r="O15" s="12">
        <f t="shared" si="17"/>
        <v>4.1704922006522427E-3</v>
      </c>
      <c r="P15" s="12">
        <f t="shared" si="18"/>
        <v>-9.751717840743912E-3</v>
      </c>
      <c r="Q15" s="12">
        <f t="shared" si="19"/>
        <v>-4.4782478472899179E-2</v>
      </c>
      <c r="R15" s="12">
        <f t="shared" si="20"/>
        <v>4.1518204205310827E-3</v>
      </c>
      <c r="S15" s="12">
        <f t="shared" si="21"/>
        <v>0</v>
      </c>
      <c r="T15" s="12">
        <f t="shared" si="22"/>
        <v>2.4119372037107567E-2</v>
      </c>
      <c r="U15" s="12">
        <f t="shared" si="23"/>
        <v>6.1486355547876625E-2</v>
      </c>
      <c r="V15" s="19">
        <f t="shared" si="24"/>
        <v>46.692139020535024</v>
      </c>
      <c r="W15" s="19">
        <f t="shared" si="25"/>
        <v>32.5014161429525</v>
      </c>
      <c r="X15" s="19">
        <f t="shared" si="26"/>
        <v>11.507769067123524</v>
      </c>
      <c r="Y15" s="19">
        <f t="shared" si="27"/>
        <v>253.51472438310748</v>
      </c>
      <c r="Z15" s="19">
        <f t="shared" si="28"/>
        <v>15.624602747102337</v>
      </c>
      <c r="AA15" s="19">
        <f t="shared" si="29"/>
        <v>487.20687866210938</v>
      </c>
      <c r="AB15" s="19">
        <f t="shared" si="30"/>
        <v>4677.8024333514832</v>
      </c>
      <c r="AC15" s="19">
        <f t="shared" si="31"/>
        <v>8924.7942472182112</v>
      </c>
      <c r="AD15" s="21">
        <f t="shared" si="32"/>
        <v>-15371.926010197967</v>
      </c>
      <c r="AE15" s="21">
        <f t="shared" si="33"/>
        <v>3847.0426608159796</v>
      </c>
      <c r="AF15" s="21">
        <f t="shared" si="34"/>
        <v>-10063.316525710663</v>
      </c>
      <c r="AG15" s="21">
        <f t="shared" si="35"/>
        <v>-45164.024150832207</v>
      </c>
      <c r="AH15" s="21">
        <f t="shared" si="36"/>
        <v>2887.7240386079984</v>
      </c>
      <c r="AI15" s="21">
        <f t="shared" si="37"/>
        <v>0</v>
      </c>
      <c r="AJ15" s="21">
        <f t="shared" si="38"/>
        <v>33050.538917645914</v>
      </c>
      <c r="AK15" s="21">
        <f t="shared" si="39"/>
        <v>103393.3350924457</v>
      </c>
      <c r="AL15" s="23">
        <f t="shared" si="40"/>
        <v>72579.374022774748</v>
      </c>
      <c r="AM15" s="23"/>
    </row>
    <row r="16" spans="1:45" x14ac:dyDescent="0.3">
      <c r="A16" s="13">
        <f t="shared" si="12"/>
        <v>11</v>
      </c>
      <c r="B16" s="1">
        <v>45639</v>
      </c>
      <c r="C16" s="7">
        <v>2024</v>
      </c>
      <c r="D16" s="7">
        <v>6</v>
      </c>
      <c r="E16" s="77">
        <v>20.121600000000001</v>
      </c>
      <c r="F16" s="2">
        <v>49.337440490722663</v>
      </c>
      <c r="G16" s="2">
        <v>32.985462188720703</v>
      </c>
      <c r="H16" s="2">
        <v>11.19435977935791</v>
      </c>
      <c r="I16" s="2">
        <v>328.70001220703119</v>
      </c>
      <c r="J16" s="2">
        <v>16.860000610351559</v>
      </c>
      <c r="K16" s="2">
        <v>506.1617431640625</v>
      </c>
      <c r="L16" s="2">
        <v>227.46000671386719</v>
      </c>
      <c r="M16" s="2">
        <v>436.23001098632813</v>
      </c>
      <c r="N16" s="12">
        <f t="shared" si="16"/>
        <v>7.5756424899415808E-3</v>
      </c>
      <c r="O16" s="12">
        <f t="shared" si="17"/>
        <v>-1.6119725858841583E-2</v>
      </c>
      <c r="P16" s="12">
        <f t="shared" si="18"/>
        <v>1.438845439267511E-2</v>
      </c>
      <c r="Q16" s="12">
        <f t="shared" si="19"/>
        <v>-2.0268219949236332E-2</v>
      </c>
      <c r="R16" s="12">
        <f t="shared" si="20"/>
        <v>-1.8626291568098363E-2</v>
      </c>
      <c r="S16" s="12">
        <f t="shared" si="21"/>
        <v>0</v>
      </c>
      <c r="T16" s="12">
        <f t="shared" si="22"/>
        <v>-1.1590300882510896E-2</v>
      </c>
      <c r="U16" s="12">
        <f t="shared" si="23"/>
        <v>2.7571748758142611E-2</v>
      </c>
      <c r="V16" s="19">
        <f t="shared" si="24"/>
        <v>47.820280884146904</v>
      </c>
      <c r="W16" s="19">
        <f t="shared" si="25"/>
        <v>31.844694176010773</v>
      </c>
      <c r="X16" s="19">
        <f t="shared" si="26"/>
        <v>11.788304294811097</v>
      </c>
      <c r="Y16" s="19">
        <f t="shared" si="27"/>
        <v>260.02080844566444</v>
      </c>
      <c r="Z16" s="19">
        <f t="shared" si="28"/>
        <v>15.270175315001186</v>
      </c>
      <c r="AA16" s="19">
        <f t="shared" si="29"/>
        <v>487.20687866210938</v>
      </c>
      <c r="AB16" s="19">
        <f t="shared" si="30"/>
        <v>4514.693718255794</v>
      </c>
      <c r="AC16" s="19">
        <f t="shared" si="31"/>
        <v>8639.6460811662237</v>
      </c>
      <c r="AD16" s="21">
        <f t="shared" si="32"/>
        <v>7190.9112620396345</v>
      </c>
      <c r="AE16" s="21">
        <f t="shared" si="33"/>
        <v>-14869.533397023259</v>
      </c>
      <c r="AF16" s="21">
        <f t="shared" si="34"/>
        <v>14848.211692945761</v>
      </c>
      <c r="AG16" s="21">
        <f t="shared" si="35"/>
        <v>-20440.904713115742</v>
      </c>
      <c r="AH16" s="21">
        <f t="shared" si="36"/>
        <v>-12955.182176313438</v>
      </c>
      <c r="AI16" s="21">
        <f t="shared" si="37"/>
        <v>0</v>
      </c>
      <c r="AJ16" s="21">
        <f t="shared" si="38"/>
        <v>-15882.075611060827</v>
      </c>
      <c r="AK16" s="21">
        <f t="shared" si="39"/>
        <v>46363.70188204819</v>
      </c>
      <c r="AL16" s="23">
        <f t="shared" si="40"/>
        <v>4255.1289395203203</v>
      </c>
      <c r="AM16" s="23"/>
    </row>
    <row r="17" spans="1:39" x14ac:dyDescent="0.3">
      <c r="A17" s="13">
        <f t="shared" si="12"/>
        <v>12</v>
      </c>
      <c r="B17" s="1">
        <v>45637</v>
      </c>
      <c r="C17" s="7">
        <v>2024</v>
      </c>
      <c r="D17" s="7">
        <v>6</v>
      </c>
      <c r="E17" s="77">
        <v>20.11</v>
      </c>
      <c r="F17" s="2">
        <v>48.966487884521477</v>
      </c>
      <c r="G17" s="2">
        <v>33.525890350341797</v>
      </c>
      <c r="H17" s="2">
        <v>11.035574913024901</v>
      </c>
      <c r="I17" s="2">
        <v>335.5</v>
      </c>
      <c r="J17" s="2">
        <v>17.180000305175781</v>
      </c>
      <c r="K17" s="2">
        <v>506.1617431640625</v>
      </c>
      <c r="L17" s="2">
        <v>230.25999450683591</v>
      </c>
      <c r="M17" s="2">
        <v>424.76998901367188</v>
      </c>
      <c r="N17" s="12">
        <f t="shared" si="16"/>
        <v>-2.5187501690151493E-3</v>
      </c>
      <c r="O17" s="12">
        <f t="shared" si="17"/>
        <v>1.4676840026204285E-3</v>
      </c>
      <c r="P17" s="12">
        <f t="shared" si="18"/>
        <v>-3.4722221642934037E-2</v>
      </c>
      <c r="Q17" s="12">
        <f t="shared" si="19"/>
        <v>7.7798693622896931E-3</v>
      </c>
      <c r="R17" s="12">
        <f t="shared" si="20"/>
        <v>1.2971770788863912E-2</v>
      </c>
      <c r="S17" s="12">
        <f t="shared" si="21"/>
        <v>-2.2928725241862735E-2</v>
      </c>
      <c r="T17" s="12">
        <f t="shared" si="22"/>
        <v>2.1316781414899344E-2</v>
      </c>
      <c r="U17" s="12">
        <f t="shared" si="23"/>
        <v>5.7357810736492709E-2</v>
      </c>
      <c r="V17" s="19">
        <f t="shared" si="24"/>
        <v>47.341193585933453</v>
      </c>
      <c r="W17" s="19">
        <f t="shared" si="25"/>
        <v>32.413935884688492</v>
      </c>
      <c r="X17" s="19">
        <f t="shared" si="26"/>
        <v>11.217584477639813</v>
      </c>
      <c r="Y17" s="19">
        <f t="shared" si="27"/>
        <v>267.46477117775152</v>
      </c>
      <c r="Z17" s="19">
        <f t="shared" si="28"/>
        <v>15.761841178534594</v>
      </c>
      <c r="AA17" s="19">
        <f t="shared" si="29"/>
        <v>476.03584600532031</v>
      </c>
      <c r="AB17" s="19">
        <f t="shared" si="30"/>
        <v>4665.0012252206607</v>
      </c>
      <c r="AC17" s="19">
        <f t="shared" si="31"/>
        <v>8890.0821543218281</v>
      </c>
      <c r="AD17" s="21">
        <f t="shared" si="32"/>
        <v>-2390.8347022293697</v>
      </c>
      <c r="AE17" s="21">
        <f t="shared" si="33"/>
        <v>1353.855300291734</v>
      </c>
      <c r="AF17" s="21">
        <f t="shared" si="34"/>
        <v>-35831.708071864254</v>
      </c>
      <c r="AG17" s="21">
        <f t="shared" si="35"/>
        <v>7846.1536688151336</v>
      </c>
      <c r="AH17" s="21">
        <f t="shared" si="36"/>
        <v>9022.2819236298856</v>
      </c>
      <c r="AI17" s="21">
        <f t="shared" si="37"/>
        <v>-39098.614298761735</v>
      </c>
      <c r="AJ17" s="21">
        <f t="shared" si="38"/>
        <v>29210.176478399171</v>
      </c>
      <c r="AK17" s="21">
        <f t="shared" si="39"/>
        <v>96450.916513169068</v>
      </c>
      <c r="AL17" s="23">
        <f t="shared" si="40"/>
        <v>66562.226811449626</v>
      </c>
      <c r="AM17" s="23"/>
    </row>
    <row r="18" spans="1:39" x14ac:dyDescent="0.3">
      <c r="A18" s="13">
        <f t="shared" si="12"/>
        <v>13</v>
      </c>
      <c r="B18" s="1">
        <v>45636</v>
      </c>
      <c r="C18" s="7">
        <v>2024</v>
      </c>
      <c r="D18" s="7">
        <v>6</v>
      </c>
      <c r="E18" s="77">
        <v>20.146999999999998</v>
      </c>
      <c r="F18" s="2">
        <v>49.090133666992188</v>
      </c>
      <c r="G18" s="2">
        <v>33.476757049560547</v>
      </c>
      <c r="H18" s="2">
        <v>11.43253803253174</v>
      </c>
      <c r="I18" s="2">
        <v>332.91000366210938</v>
      </c>
      <c r="J18" s="2">
        <v>16.95999908447266</v>
      </c>
      <c r="K18" s="2">
        <v>518.03973388671875</v>
      </c>
      <c r="L18" s="2">
        <v>225.03999328613281</v>
      </c>
      <c r="M18" s="2">
        <v>400.989990234375</v>
      </c>
      <c r="N18" s="12">
        <f t="shared" si="16"/>
        <v>-1.4888493800320313E-2</v>
      </c>
      <c r="O18" s="12">
        <f t="shared" si="17"/>
        <v>-1.4655330631883068E-3</v>
      </c>
      <c r="P18" s="12">
        <f t="shared" si="18"/>
        <v>-2.7848183592161235E-2</v>
      </c>
      <c r="Q18" s="12">
        <f t="shared" si="19"/>
        <v>-3.2335896399402486E-3</v>
      </c>
      <c r="R18" s="12">
        <f t="shared" si="20"/>
        <v>2.9567851869733985E-3</v>
      </c>
      <c r="S18" s="12">
        <f t="shared" si="21"/>
        <v>0</v>
      </c>
      <c r="T18" s="12">
        <f t="shared" si="22"/>
        <v>-8.4338573587772192E-3</v>
      </c>
      <c r="U18" s="12">
        <f t="shared" si="23"/>
        <v>2.4816617133801788E-2</v>
      </c>
      <c r="V18" s="19">
        <f t="shared" si="24"/>
        <v>46.754116457458899</v>
      </c>
      <c r="W18" s="19">
        <f t="shared" si="25"/>
        <v>32.318998113429615</v>
      </c>
      <c r="X18" s="19">
        <f t="shared" si="26"/>
        <v>11.297468324824505</v>
      </c>
      <c r="Y18" s="19">
        <f t="shared" si="27"/>
        <v>264.54179922578049</v>
      </c>
      <c r="Z18" s="19">
        <f t="shared" si="28"/>
        <v>15.606007998366723</v>
      </c>
      <c r="AA18" s="19">
        <f t="shared" si="29"/>
        <v>487.20687866210938</v>
      </c>
      <c r="AB18" s="19">
        <f t="shared" si="30"/>
        <v>4529.1111969201102</v>
      </c>
      <c r="AC18" s="19">
        <f t="shared" si="31"/>
        <v>8616.481409531274</v>
      </c>
      <c r="AD18" s="21">
        <f t="shared" si="32"/>
        <v>-14132.377271720457</v>
      </c>
      <c r="AE18" s="21">
        <f t="shared" si="33"/>
        <v>-1351.8711805862615</v>
      </c>
      <c r="AF18" s="21">
        <f t="shared" si="34"/>
        <v>-28738.022441863537</v>
      </c>
      <c r="AG18" s="21">
        <f t="shared" si="35"/>
        <v>-3261.1397486747478</v>
      </c>
      <c r="AH18" s="21">
        <f t="shared" si="36"/>
        <v>2056.5387701260447</v>
      </c>
      <c r="AI18" s="21">
        <f t="shared" si="37"/>
        <v>0</v>
      </c>
      <c r="AJ18" s="21">
        <f t="shared" si="38"/>
        <v>-11556.832011765982</v>
      </c>
      <c r="AK18" s="21">
        <f t="shared" si="39"/>
        <v>41730.767555058264</v>
      </c>
      <c r="AL18" s="23">
        <f t="shared" si="40"/>
        <v>-15252.936329426673</v>
      </c>
      <c r="AM18" s="23"/>
    </row>
    <row r="19" spans="1:39" x14ac:dyDescent="0.3">
      <c r="A19" s="13">
        <f t="shared" si="12"/>
        <v>14</v>
      </c>
      <c r="B19" s="1">
        <v>45635</v>
      </c>
      <c r="C19" s="7">
        <v>2024</v>
      </c>
      <c r="D19" s="7">
        <v>6</v>
      </c>
      <c r="E19" s="77">
        <v>20.224</v>
      </c>
      <c r="F19" s="2">
        <v>49.832057952880859</v>
      </c>
      <c r="G19" s="2">
        <v>33.525890350341797</v>
      </c>
      <c r="H19" s="2">
        <v>11.76003360748291</v>
      </c>
      <c r="I19" s="2">
        <v>333.989990234375</v>
      </c>
      <c r="J19" s="2">
        <v>16.909999847412109</v>
      </c>
      <c r="K19" s="2">
        <v>518.03973388671875</v>
      </c>
      <c r="L19" s="2">
        <v>226.0899963378906</v>
      </c>
      <c r="M19" s="2">
        <v>389.79000854492188</v>
      </c>
      <c r="N19" s="12">
        <f t="shared" si="16"/>
        <v>1.9459132785368149E-2</v>
      </c>
      <c r="O19" s="12">
        <f t="shared" si="17"/>
        <v>1.8507549793942868E-2</v>
      </c>
      <c r="P19" s="12">
        <f t="shared" si="18"/>
        <v>8.5106786681889979E-3</v>
      </c>
      <c r="Q19" s="12">
        <f t="shared" si="19"/>
        <v>7.7595623680474901E-2</v>
      </c>
      <c r="R19" s="12">
        <f t="shared" si="20"/>
        <v>-8.7924749839365379E-3</v>
      </c>
      <c r="S19" s="12">
        <f t="shared" si="21"/>
        <v>-1.9232311506296451E-3</v>
      </c>
      <c r="T19" s="12">
        <f t="shared" si="22"/>
        <v>-2.3151588580391236E-3</v>
      </c>
      <c r="U19" s="12">
        <f t="shared" si="23"/>
        <v>3.3000331450607767E-3</v>
      </c>
      <c r="V19" s="19">
        <f t="shared" si="24"/>
        <v>48.38428007174835</v>
      </c>
      <c r="W19" s="19">
        <f t="shared" si="25"/>
        <v>32.96545554534903</v>
      </c>
      <c r="X19" s="19">
        <f t="shared" si="26"/>
        <v>11.719998106469886</v>
      </c>
      <c r="Y19" s="19">
        <f t="shared" si="27"/>
        <v>285.99387194767633</v>
      </c>
      <c r="Z19" s="19">
        <f t="shared" si="28"/>
        <v>15.423189505177177</v>
      </c>
      <c r="AA19" s="19">
        <f t="shared" si="29"/>
        <v>486.26986721626537</v>
      </c>
      <c r="AB19" s="19">
        <f t="shared" si="30"/>
        <v>4557.0591720460598</v>
      </c>
      <c r="AC19" s="19">
        <f t="shared" si="31"/>
        <v>8435.5736814207339</v>
      </c>
      <c r="AD19" s="21">
        <f t="shared" si="32"/>
        <v>18470.895014068559</v>
      </c>
      <c r="AE19" s="21">
        <f t="shared" si="33"/>
        <v>17072.165629117084</v>
      </c>
      <c r="AF19" s="21">
        <f t="shared" si="34"/>
        <v>8782.6221682462383</v>
      </c>
      <c r="AG19" s="21">
        <f t="shared" si="35"/>
        <v>78256.736594529415</v>
      </c>
      <c r="AH19" s="21">
        <f t="shared" si="36"/>
        <v>-6115.4478754466327</v>
      </c>
      <c r="AI19" s="21">
        <f t="shared" si="37"/>
        <v>-3279.5400604540246</v>
      </c>
      <c r="AJ19" s="21">
        <f t="shared" si="38"/>
        <v>-3172.4394739811032</v>
      </c>
      <c r="AK19" s="21">
        <f t="shared" si="39"/>
        <v>5549.2219329502404</v>
      </c>
      <c r="AL19" s="23">
        <f t="shared" si="40"/>
        <v>115564.21392902978</v>
      </c>
      <c r="AM19" s="23"/>
    </row>
    <row r="20" spans="1:39" x14ac:dyDescent="0.3">
      <c r="A20" s="13">
        <f t="shared" si="12"/>
        <v>15</v>
      </c>
      <c r="B20" s="1">
        <v>45632</v>
      </c>
      <c r="C20" s="7">
        <v>2024</v>
      </c>
      <c r="D20" s="7">
        <v>6</v>
      </c>
      <c r="E20" s="77">
        <v>20.187000000000001</v>
      </c>
      <c r="F20" s="2">
        <v>48.880878448486328</v>
      </c>
      <c r="G20" s="2">
        <v>32.916683197021477</v>
      </c>
      <c r="H20" s="2">
        <v>11.660792350769039</v>
      </c>
      <c r="I20" s="2">
        <v>309.94000244140619</v>
      </c>
      <c r="J20" s="2">
        <v>17.059999465942379</v>
      </c>
      <c r="K20" s="2">
        <v>519.0379638671875</v>
      </c>
      <c r="L20" s="2">
        <v>227.0299987792969</v>
      </c>
      <c r="M20" s="2">
        <v>389.22000122070313</v>
      </c>
      <c r="N20" s="12">
        <f t="shared" si="16"/>
        <v>-8.4893141902826486E-3</v>
      </c>
      <c r="O20" s="12">
        <f t="shared" si="17"/>
        <v>-1.1799435704058281E-2</v>
      </c>
      <c r="P20" s="12">
        <f t="shared" si="18"/>
        <v>-4.2372270569793757E-3</v>
      </c>
      <c r="Q20" s="12">
        <f t="shared" si="19"/>
        <v>-5.135796557843908E-3</v>
      </c>
      <c r="R20" s="12">
        <f t="shared" si="20"/>
        <v>1.173623787591227E-3</v>
      </c>
      <c r="S20" s="12">
        <f t="shared" si="21"/>
        <v>-1.5151343189481192E-2</v>
      </c>
      <c r="T20" s="12">
        <f t="shared" si="22"/>
        <v>2.9738142692144809E-2</v>
      </c>
      <c r="U20" s="12">
        <f t="shared" si="23"/>
        <v>5.3763358696440333E-2</v>
      </c>
      <c r="V20" s="19">
        <f t="shared" si="24"/>
        <v>47.057826227202725</v>
      </c>
      <c r="W20" s="19">
        <f t="shared" si="25"/>
        <v>31.984526554346438</v>
      </c>
      <c r="X20" s="19">
        <f t="shared" si="26"/>
        <v>11.571853486764191</v>
      </c>
      <c r="Y20" s="19">
        <f t="shared" si="27"/>
        <v>264.03695352137902</v>
      </c>
      <c r="Z20" s="19">
        <f t="shared" si="28"/>
        <v>15.57826200624409</v>
      </c>
      <c r="AA20" s="19">
        <f t="shared" si="29"/>
        <v>479.82504003922384</v>
      </c>
      <c r="AB20" s="19">
        <f t="shared" si="30"/>
        <v>4703.4669210667143</v>
      </c>
      <c r="AC20" s="19">
        <f t="shared" si="31"/>
        <v>8859.8606213541207</v>
      </c>
      <c r="AD20" s="21">
        <f t="shared" si="32"/>
        <v>-8058.1818768439462</v>
      </c>
      <c r="AE20" s="21">
        <f t="shared" si="33"/>
        <v>-10884.310614456801</v>
      </c>
      <c r="AF20" s="21">
        <f t="shared" si="34"/>
        <v>-4372.6200616194801</v>
      </c>
      <c r="AG20" s="21">
        <f t="shared" si="35"/>
        <v>-5179.5534254003542</v>
      </c>
      <c r="AH20" s="21">
        <f t="shared" si="36"/>
        <v>816.29292224437631</v>
      </c>
      <c r="AI20" s="21">
        <f t="shared" si="37"/>
        <v>-25836.435180099386</v>
      </c>
      <c r="AJ20" s="21">
        <f t="shared" si="38"/>
        <v>40749.885232215274</v>
      </c>
      <c r="AK20" s="21">
        <f t="shared" si="39"/>
        <v>90406.60991962759</v>
      </c>
      <c r="AL20" s="23">
        <f t="shared" si="40"/>
        <v>77641.686915667262</v>
      </c>
      <c r="AM20" s="23"/>
    </row>
    <row r="21" spans="1:39" x14ac:dyDescent="0.3">
      <c r="A21" s="13">
        <f t="shared" si="12"/>
        <v>16</v>
      </c>
      <c r="B21" s="1">
        <v>45631</v>
      </c>
      <c r="C21" s="7">
        <v>2024</v>
      </c>
      <c r="D21" s="7">
        <v>6</v>
      </c>
      <c r="E21" s="77">
        <v>20.18</v>
      </c>
      <c r="F21" s="2">
        <v>49.299396514892578</v>
      </c>
      <c r="G21" s="2">
        <v>33.309719085693359</v>
      </c>
      <c r="H21" s="2">
        <v>11.71041202545166</v>
      </c>
      <c r="I21" s="2">
        <v>311.54000854492188</v>
      </c>
      <c r="J21" s="2">
        <v>17.04000091552734</v>
      </c>
      <c r="K21" s="2">
        <v>527.0230712890625</v>
      </c>
      <c r="L21" s="2">
        <v>220.55000305175781</v>
      </c>
      <c r="M21" s="2">
        <v>369.489990234375</v>
      </c>
      <c r="N21" s="12">
        <f t="shared" si="16"/>
        <v>1.0528431934770932E-2</v>
      </c>
      <c r="O21" s="12">
        <f t="shared" si="17"/>
        <v>2.9769276871292272E-2</v>
      </c>
      <c r="P21" s="12">
        <f t="shared" si="18"/>
        <v>5.1107407656005854E-3</v>
      </c>
      <c r="Q21" s="12">
        <f t="shared" si="19"/>
        <v>2.5646118666409423E-2</v>
      </c>
      <c r="R21" s="12">
        <f t="shared" si="20"/>
        <v>2.9607353538091186E-2</v>
      </c>
      <c r="S21" s="12">
        <f t="shared" si="21"/>
        <v>1.5384438090771724E-2</v>
      </c>
      <c r="T21" s="12">
        <f t="shared" si="22"/>
        <v>6.1191069134129972E-3</v>
      </c>
      <c r="U21" s="12">
        <f t="shared" si="23"/>
        <v>2.7358566808104445E-2</v>
      </c>
      <c r="V21" s="19">
        <f t="shared" si="24"/>
        <v>47.96042244244672</v>
      </c>
      <c r="W21" s="19">
        <f t="shared" si="25"/>
        <v>33.329957471139686</v>
      </c>
      <c r="X21" s="19">
        <f t="shared" si="26"/>
        <v>11.680487106117294</v>
      </c>
      <c r="Y21" s="19">
        <f t="shared" si="27"/>
        <v>272.20647363401793</v>
      </c>
      <c r="Z21" s="19">
        <f t="shared" si="28"/>
        <v>16.020690853093139</v>
      </c>
      <c r="AA21" s="19">
        <f t="shared" si="29"/>
        <v>494.70228272428471</v>
      </c>
      <c r="AB21" s="19">
        <f t="shared" si="30"/>
        <v>4595.5838108982216</v>
      </c>
      <c r="AC21" s="19">
        <f t="shared" si="31"/>
        <v>8637.8536840888919</v>
      </c>
      <c r="AD21" s="21">
        <f t="shared" si="32"/>
        <v>9993.7424280359719</v>
      </c>
      <c r="AE21" s="21">
        <f t="shared" si="33"/>
        <v>27460.470514150762</v>
      </c>
      <c r="AF21" s="21">
        <f t="shared" si="34"/>
        <v>5274.0453369360866</v>
      </c>
      <c r="AG21" s="21">
        <f t="shared" si="35"/>
        <v>25864.62300262749</v>
      </c>
      <c r="AH21" s="21">
        <f t="shared" si="36"/>
        <v>20592.862376396872</v>
      </c>
      <c r="AI21" s="21">
        <f t="shared" si="37"/>
        <v>26233.914217613688</v>
      </c>
      <c r="AJ21" s="21">
        <f t="shared" si="38"/>
        <v>8384.9521816674496</v>
      </c>
      <c r="AK21" s="21">
        <f t="shared" si="39"/>
        <v>46005.222466581836</v>
      </c>
      <c r="AL21" s="23">
        <f t="shared" si="40"/>
        <v>169809.83252401015</v>
      </c>
      <c r="AM21" s="23"/>
    </row>
    <row r="22" spans="1:39" x14ac:dyDescent="0.3">
      <c r="A22" s="13">
        <f t="shared" si="12"/>
        <v>17</v>
      </c>
      <c r="B22" s="1">
        <v>45630</v>
      </c>
      <c r="C22" s="7">
        <v>2024</v>
      </c>
      <c r="D22" s="7">
        <v>6</v>
      </c>
      <c r="E22" s="77">
        <v>20.277000000000001</v>
      </c>
      <c r="F22" s="2">
        <v>48.785758972167969</v>
      </c>
      <c r="G22" s="2">
        <v>32.346778869628913</v>
      </c>
      <c r="H22" s="2">
        <v>11.6508674621582</v>
      </c>
      <c r="I22" s="2">
        <v>303.75</v>
      </c>
      <c r="J22" s="2">
        <v>16.54999923706055</v>
      </c>
      <c r="K22" s="2">
        <v>519.0379638671875</v>
      </c>
      <c r="L22" s="2">
        <v>218.1600036621094</v>
      </c>
      <c r="M22" s="2">
        <v>357.92999267578119</v>
      </c>
      <c r="N22" s="12">
        <f t="shared" si="16"/>
        <v>7.0685157172183377E-3</v>
      </c>
      <c r="O22" s="12">
        <f t="shared" si="17"/>
        <v>9.8159016773551322E-3</v>
      </c>
      <c r="P22" s="12">
        <f t="shared" si="18"/>
        <v>6.8610469250969253E-3</v>
      </c>
      <c r="Q22" s="12">
        <f t="shared" si="19"/>
        <v>7.2622445255878798E-3</v>
      </c>
      <c r="R22" s="12">
        <f t="shared" si="20"/>
        <v>3.8268486369845922E-2</v>
      </c>
      <c r="S22" s="12">
        <f t="shared" si="21"/>
        <v>1.1279971231043184E-2</v>
      </c>
      <c r="T22" s="12">
        <f t="shared" si="22"/>
        <v>2.0955888356036345E-2</v>
      </c>
      <c r="U22" s="12">
        <f t="shared" si="23"/>
        <v>1.7370788714054175E-2</v>
      </c>
      <c r="V22" s="19">
        <f t="shared" si="24"/>
        <v>47.796212274612465</v>
      </c>
      <c r="W22" s="19">
        <f t="shared" si="25"/>
        <v>32.684137905964661</v>
      </c>
      <c r="X22" s="19">
        <f t="shared" si="26"/>
        <v>11.700827579757226</v>
      </c>
      <c r="Y22" s="19">
        <f t="shared" si="27"/>
        <v>267.32739354925019</v>
      </c>
      <c r="Z22" s="19">
        <f t="shared" si="28"/>
        <v>16.155458083589597</v>
      </c>
      <c r="AA22" s="19">
        <f t="shared" si="29"/>
        <v>492.70255823698432</v>
      </c>
      <c r="AB22" s="19">
        <f t="shared" si="30"/>
        <v>4663.3527978253551</v>
      </c>
      <c r="AC22" s="19">
        <f t="shared" si="31"/>
        <v>8553.8781680491556</v>
      </c>
      <c r="AD22" s="21">
        <f t="shared" si="32"/>
        <v>6709.5390713508605</v>
      </c>
      <c r="AE22" s="21">
        <f t="shared" si="33"/>
        <v>9054.6129066625654</v>
      </c>
      <c r="AF22" s="21">
        <f t="shared" si="34"/>
        <v>7080.2793961620255</v>
      </c>
      <c r="AG22" s="21">
        <f t="shared" si="35"/>
        <v>7324.1186805100933</v>
      </c>
      <c r="AH22" s="21">
        <f t="shared" si="36"/>
        <v>26616.957579588525</v>
      </c>
      <c r="AI22" s="21">
        <f t="shared" si="37"/>
        <v>19234.878512062296</v>
      </c>
      <c r="AJ22" s="21">
        <f t="shared" si="38"/>
        <v>28715.648259807494</v>
      </c>
      <c r="AK22" s="21">
        <f t="shared" si="39"/>
        <v>29210.119258634586</v>
      </c>
      <c r="AL22" s="23">
        <f t="shared" si="40"/>
        <v>133946.15366477845</v>
      </c>
      <c r="AM22" s="23"/>
    </row>
    <row r="23" spans="1:39" x14ac:dyDescent="0.3">
      <c r="A23" s="13">
        <f t="shared" si="12"/>
        <v>18</v>
      </c>
      <c r="B23" s="1">
        <v>45629</v>
      </c>
      <c r="C23" s="7">
        <v>2024</v>
      </c>
      <c r="D23" s="7">
        <v>6</v>
      </c>
      <c r="E23" s="77">
        <v>20.3</v>
      </c>
      <c r="F23" s="2">
        <v>48.443336486816413</v>
      </c>
      <c r="G23" s="2">
        <v>32.032352447509773</v>
      </c>
      <c r="H23" s="2">
        <v>11.571475028991699</v>
      </c>
      <c r="I23" s="2">
        <v>301.55999755859381</v>
      </c>
      <c r="J23" s="2">
        <v>15.939999580383301</v>
      </c>
      <c r="K23" s="2">
        <v>513.24853515625</v>
      </c>
      <c r="L23" s="2">
        <v>213.44000244140619</v>
      </c>
      <c r="M23" s="2">
        <v>351.42001342773438</v>
      </c>
      <c r="N23" s="12">
        <f t="shared" si="16"/>
        <v>8.7146204852361908E-3</v>
      </c>
      <c r="O23" s="12">
        <f t="shared" si="17"/>
        <v>-6.7032918026858068E-3</v>
      </c>
      <c r="P23" s="12">
        <f t="shared" si="18"/>
        <v>0</v>
      </c>
      <c r="Q23" s="12">
        <f t="shared" si="19"/>
        <v>5.2335323688372792E-3</v>
      </c>
      <c r="R23" s="12">
        <f t="shared" si="20"/>
        <v>1.6581586106328094E-2</v>
      </c>
      <c r="S23" s="12">
        <f t="shared" si="21"/>
        <v>-2.981141057240233E-2</v>
      </c>
      <c r="T23" s="12">
        <f t="shared" si="22"/>
        <v>9.1284464399683518E-3</v>
      </c>
      <c r="U23" s="12">
        <f t="shared" si="23"/>
        <v>-1.9597072026787399E-2</v>
      </c>
      <c r="V23" s="19">
        <f t="shared" si="24"/>
        <v>47.874337617318069</v>
      </c>
      <c r="W23" s="19">
        <f t="shared" si="25"/>
        <v>32.149470550360391</v>
      </c>
      <c r="X23" s="19">
        <f t="shared" si="26"/>
        <v>11.62109470367432</v>
      </c>
      <c r="Y23" s="19">
        <f t="shared" si="27"/>
        <v>266.78897335523084</v>
      </c>
      <c r="Z23" s="19">
        <f t="shared" si="28"/>
        <v>15.818009906389074</v>
      </c>
      <c r="AA23" s="19">
        <f t="shared" si="29"/>
        <v>472.6825543686146</v>
      </c>
      <c r="AB23" s="19">
        <f t="shared" si="30"/>
        <v>4609.32937234786</v>
      </c>
      <c r="AC23" s="19">
        <f t="shared" si="31"/>
        <v>8243.058769243471</v>
      </c>
      <c r="AD23" s="21">
        <f t="shared" si="32"/>
        <v>8272.0459254629477</v>
      </c>
      <c r="AE23" s="21">
        <f t="shared" si="33"/>
        <v>-6183.4067280591362</v>
      </c>
      <c r="AF23" s="21">
        <f t="shared" si="34"/>
        <v>0</v>
      </c>
      <c r="AG23" s="21">
        <f t="shared" si="35"/>
        <v>5278.121943236556</v>
      </c>
      <c r="AH23" s="21">
        <f t="shared" si="36"/>
        <v>11533.024058725154</v>
      </c>
      <c r="AI23" s="21">
        <f t="shared" si="37"/>
        <v>-50835.135027231699</v>
      </c>
      <c r="AJ23" s="21">
        <f t="shared" si="38"/>
        <v>12508.620616558983</v>
      </c>
      <c r="AK23" s="21">
        <f t="shared" si="39"/>
        <v>-32953.760502502337</v>
      </c>
      <c r="AL23" s="23">
        <f t="shared" si="40"/>
        <v>-52380.489713809533</v>
      </c>
      <c r="AM23" s="23"/>
    </row>
    <row r="24" spans="1:39" x14ac:dyDescent="0.3">
      <c r="A24" s="13">
        <f t="shared" si="12"/>
        <v>19</v>
      </c>
      <c r="B24" s="1">
        <v>45628</v>
      </c>
      <c r="C24" s="7">
        <v>2024</v>
      </c>
      <c r="D24" s="7">
        <v>6</v>
      </c>
      <c r="E24" s="77">
        <v>20.376999999999999</v>
      </c>
      <c r="F24" s="2">
        <v>48.024818420410163</v>
      </c>
      <c r="G24" s="2">
        <v>32.248523712158203</v>
      </c>
      <c r="H24" s="2">
        <v>11.571475028991699</v>
      </c>
      <c r="I24" s="2">
        <v>299.989990234375</v>
      </c>
      <c r="J24" s="2">
        <v>15.680000305175779</v>
      </c>
      <c r="K24" s="2">
        <v>529.01934814453125</v>
      </c>
      <c r="L24" s="2">
        <v>210.71000671386719</v>
      </c>
      <c r="M24" s="2">
        <v>357.08999633789063</v>
      </c>
      <c r="N24" s="12">
        <f t="shared" si="16"/>
        <v>6.9804004879803205E-3</v>
      </c>
      <c r="O24" s="12">
        <f t="shared" si="17"/>
        <v>3.0562414637214097E-3</v>
      </c>
      <c r="P24" s="12">
        <f t="shared" si="18"/>
        <v>5.4249547449075397E-2</v>
      </c>
      <c r="Q24" s="12">
        <f t="shared" si="19"/>
        <v>1.8710876944047383E-2</v>
      </c>
      <c r="R24" s="12">
        <f t="shared" si="20"/>
        <v>1.0309268214748757E-2</v>
      </c>
      <c r="S24" s="12">
        <f t="shared" si="21"/>
        <v>6.854834931654441E-2</v>
      </c>
      <c r="T24" s="12">
        <f t="shared" si="22"/>
        <v>1.4361376843561313E-2</v>
      </c>
      <c r="U24" s="12">
        <f t="shared" si="23"/>
        <v>3.5376635723219474E-2</v>
      </c>
      <c r="V24" s="19">
        <f t="shared" si="24"/>
        <v>47.792030261039848</v>
      </c>
      <c r="W24" s="19">
        <f t="shared" si="25"/>
        <v>32.465351822033043</v>
      </c>
      <c r="X24" s="19">
        <f t="shared" si="26"/>
        <v>12.251533832211498</v>
      </c>
      <c r="Y24" s="19">
        <f t="shared" si="27"/>
        <v>270.36586052323241</v>
      </c>
      <c r="Z24" s="19">
        <f t="shared" si="28"/>
        <v>15.720412637364131</v>
      </c>
      <c r="AA24" s="19">
        <f t="shared" si="29"/>
        <v>520.60410597006296</v>
      </c>
      <c r="AB24" s="19">
        <f t="shared" si="30"/>
        <v>4633.2314830234882</v>
      </c>
      <c r="AC24" s="19">
        <f t="shared" si="31"/>
        <v>8705.2682249856352</v>
      </c>
      <c r="AD24" s="21">
        <f t="shared" si="32"/>
        <v>6625.8987998985222</v>
      </c>
      <c r="AE24" s="21">
        <f t="shared" si="33"/>
        <v>2819.2095146114334</v>
      </c>
      <c r="AF24" s="21">
        <f t="shared" si="34"/>
        <v>55982.994614101422</v>
      </c>
      <c r="AG24" s="21">
        <f t="shared" si="35"/>
        <v>18870.293181642548</v>
      </c>
      <c r="AH24" s="21">
        <f t="shared" si="36"/>
        <v>7170.426133310194</v>
      </c>
      <c r="AI24" s="21">
        <f t="shared" si="37"/>
        <v>116890.29557783755</v>
      </c>
      <c r="AJ24" s="21">
        <f t="shared" si="38"/>
        <v>19679.253819247424</v>
      </c>
      <c r="AK24" s="21">
        <f t="shared" si="39"/>
        <v>59488.130645930505</v>
      </c>
      <c r="AL24" s="23">
        <f t="shared" si="40"/>
        <v>287526.50228657958</v>
      </c>
      <c r="AM24" s="23"/>
    </row>
    <row r="25" spans="1:39" x14ac:dyDescent="0.3">
      <c r="A25" s="13">
        <f t="shared" si="12"/>
        <v>20</v>
      </c>
      <c r="B25" s="1">
        <v>45625</v>
      </c>
      <c r="C25" s="7">
        <v>2024</v>
      </c>
      <c r="D25" s="7">
        <v>5</v>
      </c>
      <c r="E25" s="77">
        <v>20.361000000000001</v>
      </c>
      <c r="F25" s="2">
        <v>47.691909790039063</v>
      </c>
      <c r="G25" s="2">
        <v>32.150264739990227</v>
      </c>
      <c r="H25" s="2">
        <v>10.976030349731451</v>
      </c>
      <c r="I25" s="2">
        <v>294.48001098632813</v>
      </c>
      <c r="J25" s="2">
        <v>15.52000045776367</v>
      </c>
      <c r="K25" s="2">
        <v>495.082275390625</v>
      </c>
      <c r="L25" s="2">
        <v>207.88999938964841</v>
      </c>
      <c r="M25" s="2">
        <v>345.16000366210938</v>
      </c>
      <c r="N25" s="12">
        <f t="shared" si="16"/>
        <v>2.7869479142486053E-3</v>
      </c>
      <c r="O25" s="12">
        <f t="shared" si="17"/>
        <v>-1.83041205648804E-3</v>
      </c>
      <c r="P25" s="12">
        <f t="shared" si="18"/>
        <v>-1.0733469508020566E-2</v>
      </c>
      <c r="Q25" s="12">
        <f t="shared" si="19"/>
        <v>4.203823293075537E-2</v>
      </c>
      <c r="R25" s="12">
        <f t="shared" si="20"/>
        <v>-2.1437528768825431E-2</v>
      </c>
      <c r="S25" s="12">
        <f t="shared" si="21"/>
        <v>0</v>
      </c>
      <c r="T25" s="12">
        <f t="shared" si="22"/>
        <v>8.0241804353986534E-3</v>
      </c>
      <c r="U25" s="12">
        <f t="shared" si="23"/>
        <v>3.4369713479917241E-2</v>
      </c>
      <c r="V25" s="19">
        <f t="shared" si="24"/>
        <v>47.59300591835661</v>
      </c>
      <c r="W25" s="19">
        <f t="shared" si="25"/>
        <v>32.307188282235444</v>
      </c>
      <c r="X25" s="19">
        <f t="shared" si="26"/>
        <v>11.496360038022612</v>
      </c>
      <c r="Y25" s="19">
        <f t="shared" si="27"/>
        <v>276.55694065972585</v>
      </c>
      <c r="Z25" s="19">
        <f t="shared" si="28"/>
        <v>15.226432462978231</v>
      </c>
      <c r="AA25" s="19">
        <f t="shared" si="29"/>
        <v>487.20687866210938</v>
      </c>
      <c r="AB25" s="19">
        <f t="shared" si="30"/>
        <v>4604.2854894331485</v>
      </c>
      <c r="AC25" s="19">
        <f t="shared" si="31"/>
        <v>8696.8021963857846</v>
      </c>
      <c r="AD25" s="21">
        <f t="shared" si="32"/>
        <v>2645.4119462337644</v>
      </c>
      <c r="AE25" s="21">
        <f t="shared" si="33"/>
        <v>-1688.4513696201288</v>
      </c>
      <c r="AF25" s="21">
        <f t="shared" si="34"/>
        <v>-11076.438309871679</v>
      </c>
      <c r="AG25" s="21">
        <f t="shared" si="35"/>
        <v>42396.397700317619</v>
      </c>
      <c r="AH25" s="21">
        <f t="shared" si="36"/>
        <v>-14910.487661739537</v>
      </c>
      <c r="AI25" s="21">
        <f t="shared" si="37"/>
        <v>0</v>
      </c>
      <c r="AJ25" s="21">
        <f t="shared" si="38"/>
        <v>10995.455742145532</v>
      </c>
      <c r="AK25" s="21">
        <f t="shared" si="39"/>
        <v>57794.924925960368</v>
      </c>
      <c r="AL25" s="23">
        <f t="shared" si="40"/>
        <v>86156.812973425942</v>
      </c>
      <c r="AM25" s="23"/>
    </row>
    <row r="26" spans="1:39" x14ac:dyDescent="0.3">
      <c r="A26" s="13">
        <f t="shared" si="12"/>
        <v>21</v>
      </c>
      <c r="B26" s="1">
        <v>45624</v>
      </c>
      <c r="C26" s="7">
        <v>2024</v>
      </c>
      <c r="D26" s="7">
        <v>5</v>
      </c>
      <c r="E26" s="77">
        <v>20.41</v>
      </c>
      <c r="F26" s="2">
        <v>47.559364318847663</v>
      </c>
      <c r="G26" s="2">
        <v>32.209220886230469</v>
      </c>
      <c r="H26" s="2">
        <v>11.095119476318359</v>
      </c>
      <c r="I26" s="2">
        <v>282.60000610351563</v>
      </c>
      <c r="J26" s="2">
        <v>15.85999965667725</v>
      </c>
      <c r="K26" s="2">
        <v>495.082275390625</v>
      </c>
      <c r="L26" s="2">
        <v>205.74000549316409</v>
      </c>
      <c r="M26" s="2">
        <v>332.8900146484375</v>
      </c>
      <c r="N26" s="12">
        <f t="shared" si="16"/>
        <v>3.1973823564297454E-3</v>
      </c>
      <c r="O26" s="12">
        <f t="shared" si="17"/>
        <v>1.235339245144873E-2</v>
      </c>
      <c r="P26" s="12">
        <f t="shared" si="18"/>
        <v>-3.5650110914117183E-3</v>
      </c>
      <c r="Q26" s="12">
        <f t="shared" si="19"/>
        <v>1.3957212757707893E-2</v>
      </c>
      <c r="R26" s="12">
        <f t="shared" si="20"/>
        <v>4.4331662440362241E-3</v>
      </c>
      <c r="S26" s="12">
        <f t="shared" si="21"/>
        <v>-7.9999706488170785E-3</v>
      </c>
      <c r="T26" s="12">
        <f t="shared" si="22"/>
        <v>-1.8375346504983625E-2</v>
      </c>
      <c r="U26" s="12">
        <f t="shared" si="23"/>
        <v>-2.3918092451648332E-2</v>
      </c>
      <c r="V26" s="19">
        <f t="shared" si="24"/>
        <v>47.612485438783615</v>
      </c>
      <c r="W26" s="19">
        <f t="shared" si="25"/>
        <v>32.766267429036965</v>
      </c>
      <c r="X26" s="19">
        <f t="shared" si="26"/>
        <v>11.579665372161376</v>
      </c>
      <c r="Y26" s="19">
        <f t="shared" si="27"/>
        <v>269.10423807719201</v>
      </c>
      <c r="Z26" s="19">
        <f t="shared" si="28"/>
        <v>15.628980488234134</v>
      </c>
      <c r="AA26" s="19">
        <f t="shared" si="29"/>
        <v>483.30923793291072</v>
      </c>
      <c r="AB26" s="19">
        <f t="shared" si="30"/>
        <v>4483.702113380602</v>
      </c>
      <c r="AC26" s="19">
        <f t="shared" si="31"/>
        <v>8206.7283745772056</v>
      </c>
      <c r="AD26" s="21">
        <f t="shared" si="32"/>
        <v>3035.0023547738656</v>
      </c>
      <c r="AE26" s="21">
        <f t="shared" si="33"/>
        <v>11395.304314223225</v>
      </c>
      <c r="AF26" s="21">
        <f t="shared" si="34"/>
        <v>-3678.9246383494401</v>
      </c>
      <c r="AG26" s="21">
        <f t="shared" si="35"/>
        <v>14076.127886689006</v>
      </c>
      <c r="AH26" s="21">
        <f t="shared" si="36"/>
        <v>3083.4090671993495</v>
      </c>
      <c r="AI26" s="21">
        <f t="shared" si="37"/>
        <v>-13641.742552195297</v>
      </c>
      <c r="AJ26" s="21">
        <f t="shared" si="38"/>
        <v>-25179.557073618435</v>
      </c>
      <c r="AK26" s="21">
        <f t="shared" si="39"/>
        <v>-40219.839435755421</v>
      </c>
      <c r="AL26" s="23">
        <f t="shared" si="40"/>
        <v>-51130.22007703314</v>
      </c>
      <c r="AM26" s="23"/>
    </row>
    <row r="27" spans="1:39" x14ac:dyDescent="0.3">
      <c r="A27" s="13">
        <f t="shared" si="12"/>
        <v>22</v>
      </c>
      <c r="B27" s="1">
        <v>45623</v>
      </c>
      <c r="C27" s="7">
        <v>2024</v>
      </c>
      <c r="D27" s="7">
        <v>5</v>
      </c>
      <c r="E27" s="77">
        <v>20.58</v>
      </c>
      <c r="F27" s="2">
        <v>47.407783508300781</v>
      </c>
      <c r="G27" s="2">
        <v>31.816183090209961</v>
      </c>
      <c r="H27" s="2">
        <v>11.13481521606445</v>
      </c>
      <c r="I27" s="2">
        <v>278.70999145507813</v>
      </c>
      <c r="J27" s="2">
        <v>15.789999961853029</v>
      </c>
      <c r="K27" s="2">
        <v>499.07485961914063</v>
      </c>
      <c r="L27" s="2">
        <v>207.86000061035159</v>
      </c>
      <c r="M27" s="2">
        <v>338.23001098632813</v>
      </c>
      <c r="N27" s="12">
        <f t="shared" si="16"/>
        <v>-4.7731013082203955E-3</v>
      </c>
      <c r="O27" s="12">
        <f t="shared" si="17"/>
        <v>-2.9667464998244464E-2</v>
      </c>
      <c r="P27" s="12">
        <f t="shared" si="18"/>
        <v>-3.8560352886073512E-2</v>
      </c>
      <c r="Q27" s="12">
        <f t="shared" si="19"/>
        <v>-4.7308141908674273E-2</v>
      </c>
      <c r="R27" s="12">
        <f t="shared" si="20"/>
        <v>-6.9182175670648993E-3</v>
      </c>
      <c r="S27" s="12">
        <f t="shared" si="21"/>
        <v>-1.8453124592052061E-2</v>
      </c>
      <c r="T27" s="12">
        <f t="shared" si="22"/>
        <v>2.9518170459126747E-2</v>
      </c>
      <c r="U27" s="12">
        <f t="shared" si="23"/>
        <v>-3.2910133465900993E-3</v>
      </c>
      <c r="V27" s="19">
        <f t="shared" si="24"/>
        <v>47.234200423194942</v>
      </c>
      <c r="W27" s="19">
        <f t="shared" si="25"/>
        <v>31.406202195828275</v>
      </c>
      <c r="X27" s="19">
        <f t="shared" si="26"/>
        <v>11.172981190978158</v>
      </c>
      <c r="Y27" s="19">
        <f t="shared" si="27"/>
        <v>252.8444133226682</v>
      </c>
      <c r="Z27" s="19">
        <f t="shared" si="28"/>
        <v>15.45235295137017</v>
      </c>
      <c r="AA27" s="19">
        <f t="shared" si="29"/>
        <v>478.21638942805271</v>
      </c>
      <c r="AB27" s="19">
        <f t="shared" si="30"/>
        <v>4702.4621684226604</v>
      </c>
      <c r="AC27" s="19">
        <f t="shared" si="31"/>
        <v>8380.1572990015047</v>
      </c>
      <c r="AD27" s="21">
        <f t="shared" si="32"/>
        <v>-4530.6979569996029</v>
      </c>
      <c r="AE27" s="21">
        <f t="shared" si="33"/>
        <v>-27366.554832224447</v>
      </c>
      <c r="AF27" s="21">
        <f t="shared" si="34"/>
        <v>-39792.479927419205</v>
      </c>
      <c r="AG27" s="21">
        <f t="shared" si="35"/>
        <v>-47711.206180501453</v>
      </c>
      <c r="AH27" s="21">
        <f t="shared" si="36"/>
        <v>-4811.8418306198728</v>
      </c>
      <c r="AI27" s="21">
        <f t="shared" si="37"/>
        <v>-31466.712319198337</v>
      </c>
      <c r="AJ27" s="21">
        <f t="shared" si="38"/>
        <v>40448.459438999089</v>
      </c>
      <c r="AK27" s="21">
        <f t="shared" si="39"/>
        <v>-5534.0545508955984</v>
      </c>
      <c r="AL27" s="23">
        <f t="shared" si="40"/>
        <v>-120765.08815885942</v>
      </c>
      <c r="AM27" s="23"/>
    </row>
    <row r="28" spans="1:39" x14ac:dyDescent="0.3">
      <c r="A28" s="13">
        <f t="shared" si="12"/>
        <v>23</v>
      </c>
      <c r="B28" s="1">
        <v>45622</v>
      </c>
      <c r="C28" s="7">
        <v>2024</v>
      </c>
      <c r="D28" s="7">
        <v>5</v>
      </c>
      <c r="E28" s="77">
        <v>20.626000000000001</v>
      </c>
      <c r="F28" s="2">
        <v>47.635150909423828</v>
      </c>
      <c r="G28" s="2">
        <v>32.788948059082031</v>
      </c>
      <c r="H28" s="2">
        <v>11.58139801025391</v>
      </c>
      <c r="I28" s="2">
        <v>292.54998779296881</v>
      </c>
      <c r="J28" s="2">
        <v>15.89999961853027</v>
      </c>
      <c r="K28" s="2">
        <v>508.45748901367188</v>
      </c>
      <c r="L28" s="2">
        <v>201.44999694824219</v>
      </c>
      <c r="M28" s="2">
        <v>338.58999633789063</v>
      </c>
      <c r="N28" s="12">
        <f t="shared" si="16"/>
        <v>-6.9130469187093091E-3</v>
      </c>
      <c r="O28" s="12">
        <f t="shared" si="17"/>
        <v>-4.3016902523381972E-2</v>
      </c>
      <c r="P28" s="12">
        <f t="shared" si="18"/>
        <v>3.000882006166683E-2</v>
      </c>
      <c r="Q28" s="12">
        <f t="shared" si="19"/>
        <v>-4.3923013400247957E-2</v>
      </c>
      <c r="R28" s="12">
        <f t="shared" si="20"/>
        <v>-4.3832590687591377E-3</v>
      </c>
      <c r="S28" s="12">
        <f t="shared" si="21"/>
        <v>4.7338070979787705E-3</v>
      </c>
      <c r="T28" s="12">
        <f t="shared" si="22"/>
        <v>3.9402239382118731E-2</v>
      </c>
      <c r="U28" s="12">
        <f t="shared" si="23"/>
        <v>-2.3239359536822879E-2</v>
      </c>
      <c r="V28" s="19">
        <f t="shared" si="24"/>
        <v>47.132637030974095</v>
      </c>
      <c r="W28" s="19">
        <f t="shared" si="25"/>
        <v>30.974128531397049</v>
      </c>
      <c r="X28" s="19">
        <f t="shared" si="26"/>
        <v>11.969830043556472</v>
      </c>
      <c r="Y28" s="19">
        <f t="shared" si="27"/>
        <v>253.74282640814337</v>
      </c>
      <c r="Z28" s="19">
        <f t="shared" si="28"/>
        <v>15.491796906667519</v>
      </c>
      <c r="AA28" s="19">
        <f t="shared" si="29"/>
        <v>489.51322204250414</v>
      </c>
      <c r="AB28" s="19">
        <f t="shared" si="30"/>
        <v>4747.608977400032</v>
      </c>
      <c r="AC28" s="19">
        <f t="shared" si="31"/>
        <v>8212.4350438923339</v>
      </c>
      <c r="AD28" s="21">
        <f t="shared" si="32"/>
        <v>-6561.9658014165343</v>
      </c>
      <c r="AE28" s="21">
        <f t="shared" si="33"/>
        <v>-39680.654268514372</v>
      </c>
      <c r="AF28" s="21">
        <f t="shared" si="34"/>
        <v>30967.698181535117</v>
      </c>
      <c r="AG28" s="21">
        <f t="shared" si="35"/>
        <v>-44297.236455695813</v>
      </c>
      <c r="AH28" s="21">
        <f t="shared" si="36"/>
        <v>-3048.6970288283674</v>
      </c>
      <c r="AI28" s="21">
        <f t="shared" si="37"/>
        <v>8072.2018313816761</v>
      </c>
      <c r="AJ28" s="21">
        <f t="shared" si="38"/>
        <v>53992.502132210575</v>
      </c>
      <c r="AK28" s="21">
        <f t="shared" si="39"/>
        <v>-39078.505572729773</v>
      </c>
      <c r="AL28" s="23">
        <f t="shared" si="40"/>
        <v>-39634.656982057495</v>
      </c>
      <c r="AM28" s="23"/>
    </row>
    <row r="29" spans="1:39" x14ac:dyDescent="0.3">
      <c r="A29" s="13">
        <f t="shared" si="12"/>
        <v>24</v>
      </c>
      <c r="B29" s="1">
        <v>45621</v>
      </c>
      <c r="C29" s="7">
        <v>2024</v>
      </c>
      <c r="D29" s="7">
        <v>5</v>
      </c>
      <c r="E29" s="77">
        <v>20.28</v>
      </c>
      <c r="F29" s="2">
        <v>47.966747283935547</v>
      </c>
      <c r="G29" s="2">
        <v>34.262828826904297</v>
      </c>
      <c r="H29" s="2">
        <v>11.243979454040529</v>
      </c>
      <c r="I29" s="2">
        <v>305.989990234375</v>
      </c>
      <c r="J29" s="2">
        <v>15.97000026702881</v>
      </c>
      <c r="K29" s="2">
        <v>506.0618896484375</v>
      </c>
      <c r="L29" s="2">
        <v>197.1199951171875</v>
      </c>
      <c r="M29" s="2">
        <v>352.55999755859381</v>
      </c>
      <c r="N29" s="12">
        <f t="shared" si="16"/>
        <v>2.5743292009476892E-3</v>
      </c>
      <c r="O29" s="12">
        <f t="shared" si="17"/>
        <v>7.5123188074157632E-3</v>
      </c>
      <c r="P29" s="12">
        <f t="shared" si="18"/>
        <v>2.3486823509966559E-2</v>
      </c>
      <c r="Q29" s="12">
        <f t="shared" si="19"/>
        <v>2.156709338431928E-2</v>
      </c>
      <c r="R29" s="12">
        <f t="shared" si="20"/>
        <v>-2.5625328752903576E-2</v>
      </c>
      <c r="S29" s="12">
        <f t="shared" si="21"/>
        <v>0.12917591636819425</v>
      </c>
      <c r="T29" s="12">
        <f t="shared" si="22"/>
        <v>-1.2244906357526508E-2</v>
      </c>
      <c r="U29" s="12">
        <f t="shared" si="23"/>
        <v>3.1883524481096215E-2</v>
      </c>
      <c r="V29" s="19">
        <f t="shared" si="24"/>
        <v>47.582914877880334</v>
      </c>
      <c r="W29" s="19">
        <f t="shared" si="25"/>
        <v>32.609579147210859</v>
      </c>
      <c r="X29" s="19">
        <f t="shared" si="26"/>
        <v>11.894037303972127</v>
      </c>
      <c r="Y29" s="19">
        <f t="shared" si="27"/>
        <v>271.12390034904763</v>
      </c>
      <c r="Z29" s="19">
        <f t="shared" si="28"/>
        <v>15.161270293468704</v>
      </c>
      <c r="AA29" s="19">
        <f t="shared" si="29"/>
        <v>550.14227367417493</v>
      </c>
      <c r="AB29" s="19">
        <f t="shared" si="30"/>
        <v>4511.7037200509731</v>
      </c>
      <c r="AC29" s="19">
        <f t="shared" si="31"/>
        <v>8675.8987479729003</v>
      </c>
      <c r="AD29" s="21">
        <f t="shared" si="32"/>
        <v>2443.5911367082499</v>
      </c>
      <c r="AE29" s="21">
        <f t="shared" si="33"/>
        <v>6929.6882821791924</v>
      </c>
      <c r="AF29" s="21">
        <f t="shared" si="34"/>
        <v>24237.302906445224</v>
      </c>
      <c r="AG29" s="21">
        <f t="shared" si="35"/>
        <v>21750.844519740371</v>
      </c>
      <c r="AH29" s="21">
        <f t="shared" si="36"/>
        <v>-17823.236638815404</v>
      </c>
      <c r="AI29" s="21">
        <f t="shared" si="37"/>
        <v>220273.88254222943</v>
      </c>
      <c r="AJ29" s="21">
        <f t="shared" si="38"/>
        <v>-16779.075072507112</v>
      </c>
      <c r="AK29" s="21">
        <f t="shared" si="39"/>
        <v>53614.235243383519</v>
      </c>
      <c r="AL29" s="23">
        <f t="shared" si="40"/>
        <v>294647.23291936348</v>
      </c>
      <c r="AM29" s="23"/>
    </row>
    <row r="30" spans="1:39" x14ac:dyDescent="0.3">
      <c r="A30" s="13">
        <f t="shared" si="12"/>
        <v>25</v>
      </c>
      <c r="B30" s="1">
        <v>45618</v>
      </c>
      <c r="C30" s="7">
        <v>2024</v>
      </c>
      <c r="D30" s="7">
        <v>5</v>
      </c>
      <c r="E30" s="77">
        <v>20.401</v>
      </c>
      <c r="F30" s="2">
        <v>47.843582153320313</v>
      </c>
      <c r="G30" s="2">
        <v>34.007354736328118</v>
      </c>
      <c r="H30" s="2">
        <v>10.985954284667971</v>
      </c>
      <c r="I30" s="2">
        <v>299.52999877929688</v>
      </c>
      <c r="J30" s="2">
        <v>16.389999389648441</v>
      </c>
      <c r="K30" s="2">
        <v>448.16921997070313</v>
      </c>
      <c r="L30" s="2">
        <v>198.3800048828125</v>
      </c>
      <c r="M30" s="2">
        <v>339.6400146484375</v>
      </c>
      <c r="N30" s="12">
        <f t="shared" si="16"/>
        <v>1.7854468469526985E-3</v>
      </c>
      <c r="O30" s="12">
        <f t="shared" si="17"/>
        <v>-1.227167264430451E-2</v>
      </c>
      <c r="P30" s="12">
        <f t="shared" si="18"/>
        <v>3.6265082462658693E-3</v>
      </c>
      <c r="Q30" s="12">
        <f t="shared" si="19"/>
        <v>-1.4379714396032584E-2</v>
      </c>
      <c r="R30" s="12">
        <f t="shared" si="20"/>
        <v>0</v>
      </c>
      <c r="S30" s="12">
        <f t="shared" si="21"/>
        <v>7.416256463542692E-2</v>
      </c>
      <c r="T30" s="12">
        <f t="shared" si="22"/>
        <v>-2.2276449386757435E-2</v>
      </c>
      <c r="U30" s="12">
        <f t="shared" si="23"/>
        <v>-7.0849846040088593E-3</v>
      </c>
      <c r="V30" s="19">
        <f t="shared" si="24"/>
        <v>47.54547394127794</v>
      </c>
      <c r="W30" s="19">
        <f t="shared" si="25"/>
        <v>31.969241929442372</v>
      </c>
      <c r="X30" s="19">
        <f t="shared" si="26"/>
        <v>11.663238699447831</v>
      </c>
      <c r="Y30" s="19">
        <f t="shared" si="27"/>
        <v>261.58361778354413</v>
      </c>
      <c r="Z30" s="19">
        <f t="shared" si="28"/>
        <v>15.560000419616699</v>
      </c>
      <c r="AA30" s="19">
        <f t="shared" si="29"/>
        <v>523.33939029171268</v>
      </c>
      <c r="AB30" s="19">
        <f t="shared" si="30"/>
        <v>4465.8833033362052</v>
      </c>
      <c r="AC30" s="19">
        <f t="shared" si="31"/>
        <v>8348.2582428569312</v>
      </c>
      <c r="AD30" s="21">
        <f t="shared" si="32"/>
        <v>1694.7724046603696</v>
      </c>
      <c r="AE30" s="21">
        <f t="shared" si="33"/>
        <v>-11319.922424222674</v>
      </c>
      <c r="AF30" s="21">
        <f t="shared" si="34"/>
        <v>3742.3868246877787</v>
      </c>
      <c r="AG30" s="21">
        <f t="shared" si="35"/>
        <v>-14502.229229172939</v>
      </c>
      <c r="AH30" s="21">
        <f t="shared" si="36"/>
        <v>0</v>
      </c>
      <c r="AI30" s="21">
        <f t="shared" si="37"/>
        <v>126463.79070361155</v>
      </c>
      <c r="AJ30" s="21">
        <f t="shared" si="38"/>
        <v>-30525.200086937457</v>
      </c>
      <c r="AK30" s="21">
        <f t="shared" si="39"/>
        <v>-11913.865779810294</v>
      </c>
      <c r="AL30" s="23">
        <f t="shared" si="40"/>
        <v>63639.732412816331</v>
      </c>
      <c r="AM30" s="23"/>
    </row>
    <row r="31" spans="1:39" x14ac:dyDescent="0.3">
      <c r="A31" s="13">
        <f t="shared" si="12"/>
        <v>26</v>
      </c>
      <c r="B31" s="1">
        <v>45617</v>
      </c>
      <c r="C31" s="7">
        <v>2024</v>
      </c>
      <c r="D31" s="7">
        <v>5</v>
      </c>
      <c r="E31" s="77">
        <v>20.402999999999999</v>
      </c>
      <c r="F31" s="2">
        <v>47.758312225341797</v>
      </c>
      <c r="G31" s="2">
        <v>34.429866790771477</v>
      </c>
      <c r="H31" s="2">
        <v>10.94625759124756</v>
      </c>
      <c r="I31" s="2">
        <v>303.89999389648438</v>
      </c>
      <c r="J31" s="2">
        <v>16.389999389648441</v>
      </c>
      <c r="K31" s="2">
        <v>417.22662353515619</v>
      </c>
      <c r="L31" s="2">
        <v>202.8800048828125</v>
      </c>
      <c r="M31" s="2">
        <v>342.02999877929688</v>
      </c>
      <c r="N31" s="12">
        <f t="shared" si="16"/>
        <v>-1.7822647080492082E-3</v>
      </c>
      <c r="O31" s="12">
        <f t="shared" si="17"/>
        <v>-7.3654772905394905E-3</v>
      </c>
      <c r="P31" s="12">
        <f t="shared" si="18"/>
        <v>1.192652122456872E-2</v>
      </c>
      <c r="Q31" s="12">
        <f t="shared" si="19"/>
        <v>-1.445759501546906E-3</v>
      </c>
      <c r="R31" s="12">
        <f t="shared" si="20"/>
        <v>-1.3838835016302342E-2</v>
      </c>
      <c r="S31" s="12">
        <f t="shared" si="21"/>
        <v>-3.5866569630501055E-2</v>
      </c>
      <c r="T31" s="12">
        <f t="shared" si="22"/>
        <v>-1.2100309595950431E-3</v>
      </c>
      <c r="U31" s="12">
        <f t="shared" si="23"/>
        <v>-4.2509927479557064E-3</v>
      </c>
      <c r="V31" s="19">
        <f t="shared" si="24"/>
        <v>47.376147727464158</v>
      </c>
      <c r="W31" s="19">
        <f t="shared" si="25"/>
        <v>32.128037968670611</v>
      </c>
      <c r="X31" s="19">
        <f t="shared" si="26"/>
        <v>11.759693936310414</v>
      </c>
      <c r="Y31" s="19">
        <f t="shared" si="27"/>
        <v>265.01628933359802</v>
      </c>
      <c r="Z31" s="19">
        <f t="shared" si="28"/>
        <v>15.344668140956028</v>
      </c>
      <c r="AA31" s="19">
        <f t="shared" si="29"/>
        <v>469.73243922411575</v>
      </c>
      <c r="AB31" s="19">
        <f t="shared" si="30"/>
        <v>4562.1069917765117</v>
      </c>
      <c r="AC31" s="19">
        <f t="shared" si="31"/>
        <v>8372.0859577223855</v>
      </c>
      <c r="AD31" s="21">
        <f t="shared" si="32"/>
        <v>-1691.7518716152813</v>
      </c>
      <c r="AE31" s="21">
        <f t="shared" si="33"/>
        <v>-6794.2353062178609</v>
      </c>
      <c r="AF31" s="21">
        <f t="shared" si="34"/>
        <v>12307.611858085194</v>
      </c>
      <c r="AG31" s="21">
        <f t="shared" si="35"/>
        <v>-1458.0773389681326</v>
      </c>
      <c r="AH31" s="21">
        <f t="shared" si="36"/>
        <v>-9625.3528561320163</v>
      </c>
      <c r="AI31" s="21">
        <f t="shared" si="37"/>
        <v>-61160.538032977682</v>
      </c>
      <c r="AJ31" s="21">
        <f t="shared" si="38"/>
        <v>-1658.0935548455273</v>
      </c>
      <c r="AK31" s="21">
        <f t="shared" si="39"/>
        <v>-7148.3228067194432</v>
      </c>
      <c r="AL31" s="23">
        <f t="shared" si="40"/>
        <v>-77228.759909390748</v>
      </c>
      <c r="AM31" s="23"/>
    </row>
    <row r="32" spans="1:39" x14ac:dyDescent="0.3">
      <c r="A32" s="13">
        <f t="shared" si="12"/>
        <v>27</v>
      </c>
      <c r="B32" s="1">
        <v>45616</v>
      </c>
      <c r="C32" s="7">
        <v>2024</v>
      </c>
      <c r="D32" s="7">
        <v>5</v>
      </c>
      <c r="E32" s="77">
        <v>20.254999999999999</v>
      </c>
      <c r="F32" s="2">
        <v>47.843582153320313</v>
      </c>
      <c r="G32" s="2">
        <v>34.685340881347663</v>
      </c>
      <c r="H32" s="2">
        <v>10.817245483398439</v>
      </c>
      <c r="I32" s="2">
        <v>304.33999633789063</v>
      </c>
      <c r="J32" s="2">
        <v>16.620000839233398</v>
      </c>
      <c r="K32" s="2">
        <v>432.747802734375</v>
      </c>
      <c r="L32" s="2">
        <v>204.61000061035159</v>
      </c>
      <c r="M32" s="2">
        <v>346</v>
      </c>
      <c r="N32" s="12">
        <f t="shared" si="16"/>
        <v>-1.9761685248251837E-3</v>
      </c>
      <c r="O32" s="12">
        <f t="shared" si="17"/>
        <v>-2.2702089873469333E-2</v>
      </c>
      <c r="P32" s="12">
        <f t="shared" si="18"/>
        <v>-2.7653741744849025E-2</v>
      </c>
      <c r="Q32" s="12">
        <f t="shared" si="19"/>
        <v>-2.1639464331455471E-3</v>
      </c>
      <c r="R32" s="12">
        <f t="shared" si="20"/>
        <v>4.836754490802786E-3</v>
      </c>
      <c r="S32" s="12">
        <f t="shared" si="21"/>
        <v>0</v>
      </c>
      <c r="T32" s="12">
        <f t="shared" si="22"/>
        <v>1.7911956820660269E-2</v>
      </c>
      <c r="U32" s="12">
        <f t="shared" si="23"/>
        <v>8.7412424639383035E-2</v>
      </c>
      <c r="V32" s="19">
        <f t="shared" si="24"/>
        <v>47.366944909738415</v>
      </c>
      <c r="W32" s="19">
        <f t="shared" si="25"/>
        <v>31.631646537481814</v>
      </c>
      <c r="X32" s="19">
        <f t="shared" si="26"/>
        <v>11.299727951946478</v>
      </c>
      <c r="Y32" s="19">
        <f t="shared" si="27"/>
        <v>264.82568252633524</v>
      </c>
      <c r="Z32" s="19">
        <f t="shared" si="28"/>
        <v>15.635260321523173</v>
      </c>
      <c r="AA32" s="19">
        <f t="shared" si="29"/>
        <v>487.20687866210938</v>
      </c>
      <c r="AB32" s="19">
        <f t="shared" si="30"/>
        <v>4649.4492327411263</v>
      </c>
      <c r="AC32" s="19">
        <f t="shared" si="31"/>
        <v>9142.77616575303</v>
      </c>
      <c r="AD32" s="21">
        <f t="shared" si="32"/>
        <v>-1875.8082261301467</v>
      </c>
      <c r="AE32" s="21">
        <f t="shared" si="33"/>
        <v>-20941.391095098592</v>
      </c>
      <c r="AF32" s="21">
        <f t="shared" si="34"/>
        <v>-28537.36755343237</v>
      </c>
      <c r="AG32" s="21">
        <f t="shared" si="35"/>
        <v>-2182.3832065667034</v>
      </c>
      <c r="AH32" s="21">
        <f t="shared" si="36"/>
        <v>3364.1176152193839</v>
      </c>
      <c r="AI32" s="21">
        <f t="shared" si="37"/>
        <v>0</v>
      </c>
      <c r="AJ32" s="21">
        <f t="shared" si="38"/>
        <v>24544.578734538845</v>
      </c>
      <c r="AK32" s="21">
        <f t="shared" si="39"/>
        <v>146989.71879940946</v>
      </c>
      <c r="AL32" s="23">
        <f t="shared" si="40"/>
        <v>121361.46506793989</v>
      </c>
      <c r="AM32" s="23"/>
    </row>
    <row r="33" spans="1:39" x14ac:dyDescent="0.3">
      <c r="A33" s="13">
        <f t="shared" si="12"/>
        <v>28</v>
      </c>
      <c r="B33" s="1">
        <v>45615</v>
      </c>
      <c r="C33" s="7">
        <v>2024</v>
      </c>
      <c r="D33" s="7">
        <v>5</v>
      </c>
      <c r="E33" s="77">
        <v>20.094999999999999</v>
      </c>
      <c r="F33" s="2">
        <v>47.938316345214837</v>
      </c>
      <c r="G33" s="2">
        <v>35.491062164306641</v>
      </c>
      <c r="H33" s="2">
        <v>11.12489032745361</v>
      </c>
      <c r="I33" s="2">
        <v>305</v>
      </c>
      <c r="J33" s="2">
        <v>16.54000091552734</v>
      </c>
      <c r="K33" s="2">
        <v>432.747802734375</v>
      </c>
      <c r="L33" s="2">
        <v>202.61000061035159</v>
      </c>
      <c r="M33" s="2">
        <v>320.72000122070313</v>
      </c>
      <c r="N33" s="12">
        <f t="shared" si="16"/>
        <v>-3.1522674725804611E-3</v>
      </c>
      <c r="O33" s="12">
        <f t="shared" si="17"/>
        <v>2.1204458462816156E-2</v>
      </c>
      <c r="P33" s="12">
        <f t="shared" si="18"/>
        <v>2.2810154018275464E-2</v>
      </c>
      <c r="Q33" s="12">
        <f t="shared" si="19"/>
        <v>7.8538812489727716E-2</v>
      </c>
      <c r="R33" s="12">
        <f t="shared" si="20"/>
        <v>-7.7983899323118555E-3</v>
      </c>
      <c r="S33" s="12">
        <f t="shared" si="21"/>
        <v>-3.440980894970036E-2</v>
      </c>
      <c r="T33" s="12">
        <f t="shared" si="22"/>
        <v>-5.1664159404009702E-2</v>
      </c>
      <c r="U33" s="12">
        <f t="shared" si="23"/>
        <v>2.0199151466107512E-2</v>
      </c>
      <c r="V33" s="19">
        <f t="shared" si="24"/>
        <v>47.311126388867642</v>
      </c>
      <c r="W33" s="19">
        <f t="shared" si="25"/>
        <v>33.052744856902585</v>
      </c>
      <c r="X33" s="19">
        <f t="shared" si="26"/>
        <v>11.886173663726096</v>
      </c>
      <c r="Y33" s="19">
        <f t="shared" si="27"/>
        <v>286.24419425189524</v>
      </c>
      <c r="Z33" s="19">
        <f t="shared" si="28"/>
        <v>15.438657468997592</v>
      </c>
      <c r="AA33" s="19">
        <f t="shared" si="29"/>
        <v>470.44218304836636</v>
      </c>
      <c r="AB33" s="19">
        <f t="shared" si="30"/>
        <v>4331.6510007522938</v>
      </c>
      <c r="AC33" s="19">
        <f t="shared" si="31"/>
        <v>8577.6585543787969</v>
      </c>
      <c r="AD33" s="21">
        <f t="shared" si="32"/>
        <v>-2992.1786435455997</v>
      </c>
      <c r="AE33" s="21">
        <f t="shared" si="33"/>
        <v>19559.911008393392</v>
      </c>
      <c r="AF33" s="21">
        <f t="shared" si="34"/>
        <v>23539.011652597688</v>
      </c>
      <c r="AG33" s="21">
        <f t="shared" si="35"/>
        <v>79207.96135056128</v>
      </c>
      <c r="AH33" s="21">
        <f t="shared" si="36"/>
        <v>-5424.0298926740952</v>
      </c>
      <c r="AI33" s="21">
        <f t="shared" si="37"/>
        <v>-58676.434648100556</v>
      </c>
      <c r="AJ33" s="21">
        <f t="shared" si="38"/>
        <v>-70794.890862110886</v>
      </c>
      <c r="AK33" s="21">
        <f t="shared" si="39"/>
        <v>33966.196524562838</v>
      </c>
      <c r="AL33" s="23">
        <f t="shared" si="40"/>
        <v>18385.546489684064</v>
      </c>
      <c r="AM33" s="23"/>
    </row>
    <row r="34" spans="1:39" x14ac:dyDescent="0.3">
      <c r="A34" s="13">
        <f t="shared" si="12"/>
        <v>29</v>
      </c>
      <c r="B34" s="1">
        <v>45611</v>
      </c>
      <c r="C34" s="7">
        <v>2024</v>
      </c>
      <c r="D34" s="7">
        <v>5</v>
      </c>
      <c r="E34" s="77">
        <v>20.300999999999998</v>
      </c>
      <c r="F34" s="2">
        <v>48.089908599853523</v>
      </c>
      <c r="G34" s="2">
        <v>34.754119873046882</v>
      </c>
      <c r="H34" s="2">
        <v>10.87678909301758</v>
      </c>
      <c r="I34" s="2">
        <v>282.79000854492188</v>
      </c>
      <c r="J34" s="2">
        <v>16.670000076293949</v>
      </c>
      <c r="K34" s="2">
        <v>448.16921997070313</v>
      </c>
      <c r="L34" s="2">
        <v>211.47999572753909</v>
      </c>
      <c r="M34" s="2">
        <v>311.17999267578119</v>
      </c>
      <c r="N34" s="12">
        <f t="shared" si="16"/>
        <v>-2.3583677540592873E-3</v>
      </c>
      <c r="O34" s="12">
        <f t="shared" si="17"/>
        <v>0</v>
      </c>
      <c r="P34" s="12">
        <f t="shared" si="18"/>
        <v>-9.1156393220226395E-4</v>
      </c>
      <c r="Q34" s="12">
        <f t="shared" si="19"/>
        <v>-2.040316017838617E-2</v>
      </c>
      <c r="R34" s="12">
        <f t="shared" si="20"/>
        <v>4.5796770083295968E-2</v>
      </c>
      <c r="S34" s="12">
        <f t="shared" si="21"/>
        <v>0</v>
      </c>
      <c r="T34" s="12">
        <f t="shared" si="22"/>
        <v>-1.7127234672389968E-2</v>
      </c>
      <c r="U34" s="12">
        <f t="shared" si="23"/>
        <v>-6.2380369370832023E-2</v>
      </c>
      <c r="V34" s="19">
        <f t="shared" si="24"/>
        <v>47.34880545327983</v>
      </c>
      <c r="W34" s="19">
        <f t="shared" si="25"/>
        <v>32.366432189941413</v>
      </c>
      <c r="X34" s="19">
        <f t="shared" si="26"/>
        <v>11.610501332889744</v>
      </c>
      <c r="Y34" s="19">
        <f t="shared" si="27"/>
        <v>259.98499530967172</v>
      </c>
      <c r="Z34" s="19">
        <f t="shared" si="28"/>
        <v>16.272598181329872</v>
      </c>
      <c r="AA34" s="19">
        <f t="shared" si="29"/>
        <v>487.20687866210938</v>
      </c>
      <c r="AB34" s="19">
        <f t="shared" si="30"/>
        <v>4489.4030313858802</v>
      </c>
      <c r="AC34" s="19">
        <f t="shared" si="31"/>
        <v>7883.3441822235791</v>
      </c>
      <c r="AD34" s="21">
        <f t="shared" si="32"/>
        <v>-2238.5973553018348</v>
      </c>
      <c r="AE34" s="21">
        <f t="shared" si="33"/>
        <v>0</v>
      </c>
      <c r="AF34" s="21">
        <f t="shared" si="34"/>
        <v>-940.69132567038878</v>
      </c>
      <c r="AG34" s="21">
        <f t="shared" si="35"/>
        <v>-20576.9946298881</v>
      </c>
      <c r="AH34" s="21">
        <f t="shared" si="36"/>
        <v>31853.119948578838</v>
      </c>
      <c r="AI34" s="21">
        <f t="shared" si="37"/>
        <v>0</v>
      </c>
      <c r="AJ34" s="21">
        <f t="shared" si="38"/>
        <v>-23469.281672034958</v>
      </c>
      <c r="AK34" s="21">
        <f t="shared" si="39"/>
        <v>-104896.67790648073</v>
      </c>
      <c r="AL34" s="23">
        <f t="shared" si="40"/>
        <v>-120269.12294079718</v>
      </c>
      <c r="AM34" s="23"/>
    </row>
    <row r="35" spans="1:39" x14ac:dyDescent="0.3">
      <c r="A35" s="13">
        <f t="shared" si="12"/>
        <v>30</v>
      </c>
      <c r="B35" s="1">
        <v>45610</v>
      </c>
      <c r="C35" s="7">
        <v>2024</v>
      </c>
      <c r="D35" s="7">
        <v>5</v>
      </c>
      <c r="E35" s="77">
        <v>20.402000000000001</v>
      </c>
      <c r="F35" s="2">
        <v>48.203590393066413</v>
      </c>
      <c r="G35" s="2">
        <v>34.754119873046882</v>
      </c>
      <c r="H35" s="2">
        <v>10.8867130279541</v>
      </c>
      <c r="I35" s="2">
        <v>288.67999267578119</v>
      </c>
      <c r="J35" s="2">
        <v>15.939999580383301</v>
      </c>
      <c r="K35" s="2">
        <v>448.16921997070313</v>
      </c>
      <c r="L35" s="2">
        <v>214.1000061035156</v>
      </c>
      <c r="M35" s="2">
        <v>330.239990234375</v>
      </c>
      <c r="N35" s="12">
        <f t="shared" si="16"/>
        <v>-5.0841459098618369E-3</v>
      </c>
      <c r="O35" s="12">
        <f t="shared" si="17"/>
        <v>1.9829412066181273E-3</v>
      </c>
      <c r="P35" s="12">
        <f t="shared" si="18"/>
        <v>-2.4021432712467816E-2</v>
      </c>
      <c r="Q35" s="12">
        <f t="shared" si="19"/>
        <v>1.812789721364827E-2</v>
      </c>
      <c r="R35" s="12">
        <f t="shared" si="20"/>
        <v>5.6781827600955737E-3</v>
      </c>
      <c r="S35" s="12">
        <f t="shared" si="21"/>
        <v>0</v>
      </c>
      <c r="T35" s="12">
        <f t="shared" si="22"/>
        <v>2.0342176856823491E-2</v>
      </c>
      <c r="U35" s="12">
        <f t="shared" si="23"/>
        <v>9.1205179956288518E-4</v>
      </c>
      <c r="V35" s="19">
        <f t="shared" si="24"/>
        <v>47.219438017683395</v>
      </c>
      <c r="W35" s="19">
        <f t="shared" si="25"/>
        <v>32.430612922042059</v>
      </c>
      <c r="X35" s="19">
        <f t="shared" si="26"/>
        <v>11.34193935920479</v>
      </c>
      <c r="Y35" s="19">
        <f t="shared" si="27"/>
        <v>270.2111377063427</v>
      </c>
      <c r="Z35" s="19">
        <f t="shared" si="28"/>
        <v>15.648352945746447</v>
      </c>
      <c r="AA35" s="19">
        <f t="shared" si="29"/>
        <v>487.20687866210938</v>
      </c>
      <c r="AB35" s="19">
        <f t="shared" si="30"/>
        <v>4660.5495883335916</v>
      </c>
      <c r="AC35" s="19">
        <f t="shared" si="31"/>
        <v>8415.4959460232167</v>
      </c>
      <c r="AD35" s="21">
        <f t="shared" si="32"/>
        <v>-4825.9460672305468</v>
      </c>
      <c r="AE35" s="21">
        <f t="shared" si="33"/>
        <v>1829.1508648683923</v>
      </c>
      <c r="AF35" s="21">
        <f t="shared" si="34"/>
        <v>-24788.994588894231</v>
      </c>
      <c r="AG35" s="21">
        <f t="shared" si="35"/>
        <v>18282.346477461622</v>
      </c>
      <c r="AH35" s="21">
        <f t="shared" si="36"/>
        <v>3949.3579179997446</v>
      </c>
      <c r="AI35" s="21">
        <f t="shared" si="37"/>
        <v>0</v>
      </c>
      <c r="AJ35" s="21">
        <f t="shared" si="38"/>
        <v>27874.68541227845</v>
      </c>
      <c r="AK35" s="21">
        <f t="shared" si="39"/>
        <v>1533.6748534467915</v>
      </c>
      <c r="AL35" s="23">
        <f t="shared" si="40"/>
        <v>23854.274869930225</v>
      </c>
      <c r="AM35" s="23"/>
    </row>
    <row r="36" spans="1:39" x14ac:dyDescent="0.3">
      <c r="A36" s="13">
        <f t="shared" si="12"/>
        <v>31</v>
      </c>
      <c r="B36" s="1">
        <v>45609</v>
      </c>
      <c r="C36" s="7">
        <v>2024</v>
      </c>
      <c r="D36" s="7">
        <v>5</v>
      </c>
      <c r="E36" s="77">
        <v>20.492000000000001</v>
      </c>
      <c r="F36" s="2">
        <v>48.449916839599609</v>
      </c>
      <c r="G36" s="2">
        <v>34.685340881347663</v>
      </c>
      <c r="H36" s="2">
        <v>11.15466403961182</v>
      </c>
      <c r="I36" s="2">
        <v>283.54000854492188</v>
      </c>
      <c r="J36" s="2">
        <v>15.85000038146973</v>
      </c>
      <c r="K36" s="2">
        <v>448.16921997070313</v>
      </c>
      <c r="L36" s="2">
        <v>208.9100036621094</v>
      </c>
      <c r="M36" s="2">
        <v>328.489990234375</v>
      </c>
      <c r="N36" s="12">
        <f t="shared" si="16"/>
        <v>-8.9146418478143197E-3</v>
      </c>
      <c r="O36" s="12">
        <f t="shared" si="17"/>
        <v>-2.2972606323964806E-2</v>
      </c>
      <c r="P36" s="12">
        <f t="shared" si="18"/>
        <v>-2.9360877606496749E-2</v>
      </c>
      <c r="Q36" s="12">
        <f t="shared" si="19"/>
        <v>-5.0212676433422976E-2</v>
      </c>
      <c r="R36" s="12">
        <f t="shared" si="20"/>
        <v>2.7219706285622536E-2</v>
      </c>
      <c r="S36" s="12">
        <f t="shared" si="21"/>
        <v>0</v>
      </c>
      <c r="T36" s="12">
        <f t="shared" si="22"/>
        <v>5.6401168091020359E-3</v>
      </c>
      <c r="U36" s="12">
        <f t="shared" si="23"/>
        <v>-6.5515783644718995E-2</v>
      </c>
      <c r="V36" s="19">
        <f t="shared" si="24"/>
        <v>47.037639863823898</v>
      </c>
      <c r="W36" s="19">
        <f t="shared" si="25"/>
        <v>31.622890885130587</v>
      </c>
      <c r="X36" s="19">
        <f t="shared" si="26"/>
        <v>11.27988916442623</v>
      </c>
      <c r="Y36" s="19">
        <f t="shared" si="27"/>
        <v>252.07354987752777</v>
      </c>
      <c r="Z36" s="19">
        <f t="shared" si="28"/>
        <v>15.98353906084283</v>
      </c>
      <c r="AA36" s="19">
        <f t="shared" si="29"/>
        <v>487.20687866210938</v>
      </c>
      <c r="AB36" s="19">
        <f t="shared" si="30"/>
        <v>4593.395959426337</v>
      </c>
      <c r="AC36" s="19">
        <f t="shared" si="31"/>
        <v>7856.9821596427146</v>
      </c>
      <c r="AD36" s="21">
        <f t="shared" si="32"/>
        <v>-8461.9091444204751</v>
      </c>
      <c r="AE36" s="21">
        <f t="shared" si="33"/>
        <v>-21190.92718710854</v>
      </c>
      <c r="AF36" s="21">
        <f t="shared" si="34"/>
        <v>-30299.051885230405</v>
      </c>
      <c r="AG36" s="21">
        <f t="shared" si="35"/>
        <v>-50640.487272035105</v>
      </c>
      <c r="AH36" s="21">
        <f t="shared" si="36"/>
        <v>18932.17726280804</v>
      </c>
      <c r="AI36" s="21">
        <f t="shared" si="37"/>
        <v>0</v>
      </c>
      <c r="AJ36" s="21">
        <f t="shared" si="38"/>
        <v>7728.5967401020571</v>
      </c>
      <c r="AK36" s="21">
        <f t="shared" si="39"/>
        <v>-110169.08242265362</v>
      </c>
      <c r="AL36" s="23">
        <f t="shared" si="40"/>
        <v>-194100.68390853805</v>
      </c>
      <c r="AM36" s="23"/>
    </row>
    <row r="37" spans="1:39" x14ac:dyDescent="0.3">
      <c r="A37" s="13">
        <f t="shared" si="12"/>
        <v>32</v>
      </c>
      <c r="B37" s="1">
        <v>45608</v>
      </c>
      <c r="C37" s="7">
        <v>2024</v>
      </c>
      <c r="D37" s="7">
        <v>5</v>
      </c>
      <c r="E37" s="77">
        <v>20.581</v>
      </c>
      <c r="F37" s="2">
        <v>48.885715484619141</v>
      </c>
      <c r="G37" s="2">
        <v>35.500888824462891</v>
      </c>
      <c r="H37" s="2">
        <v>11.492081642150881</v>
      </c>
      <c r="I37" s="2">
        <v>298.52999877929688</v>
      </c>
      <c r="J37" s="2">
        <v>15.430000305175779</v>
      </c>
      <c r="K37" s="2">
        <v>448.16921997070313</v>
      </c>
      <c r="L37" s="2">
        <v>206.8399963378906</v>
      </c>
      <c r="M37" s="2">
        <v>350</v>
      </c>
      <c r="N37" s="12">
        <f t="shared" si="16"/>
        <v>-5.780317671537305E-3</v>
      </c>
      <c r="O37" s="12">
        <f t="shared" si="17"/>
        <v>-5.7786838134462615E-3</v>
      </c>
      <c r="P37" s="12">
        <f t="shared" si="18"/>
        <v>-3.3388983510856951E-2</v>
      </c>
      <c r="Q37" s="12">
        <f t="shared" si="19"/>
        <v>-1.436214353337284E-2</v>
      </c>
      <c r="R37" s="12">
        <f t="shared" si="20"/>
        <v>1.3132026851662149E-2</v>
      </c>
      <c r="S37" s="12">
        <f t="shared" si="21"/>
        <v>1.5860040836087608E-2</v>
      </c>
      <c r="T37" s="12">
        <f t="shared" si="22"/>
        <v>5.6322348851240989E-3</v>
      </c>
      <c r="U37" s="12">
        <f t="shared" si="23"/>
        <v>0.10283138847080364</v>
      </c>
      <c r="V37" s="19">
        <f t="shared" si="24"/>
        <v>47.186397193964531</v>
      </c>
      <c r="W37" s="19">
        <f t="shared" si="25"/>
        <v>32.179396812146393</v>
      </c>
      <c r="X37" s="19">
        <f t="shared" si="26"/>
        <v>11.233078164235231</v>
      </c>
      <c r="Y37" s="19">
        <f t="shared" si="27"/>
        <v>261.58828109038677</v>
      </c>
      <c r="Z37" s="19">
        <f t="shared" si="28"/>
        <v>15.764334762938979</v>
      </c>
      <c r="AA37" s="19">
        <f t="shared" si="29"/>
        <v>494.93399965331321</v>
      </c>
      <c r="AB37" s="19">
        <f t="shared" si="30"/>
        <v>4593.3599576826236</v>
      </c>
      <c r="AC37" s="19">
        <f t="shared" si="31"/>
        <v>9272.416154982755</v>
      </c>
      <c r="AD37" s="21">
        <f t="shared" si="32"/>
        <v>-5486.7625416078172</v>
      </c>
      <c r="AE37" s="21">
        <f t="shared" si="33"/>
        <v>-5330.5082671580703</v>
      </c>
      <c r="AF37" s="21">
        <f t="shared" si="34"/>
        <v>-34455.868702191132</v>
      </c>
      <c r="AG37" s="21">
        <f t="shared" si="35"/>
        <v>-14484.508663170891</v>
      </c>
      <c r="AH37" s="21">
        <f t="shared" si="36"/>
        <v>9133.7451465059239</v>
      </c>
      <c r="AI37" s="21">
        <f t="shared" si="37"/>
        <v>27044.923469213416</v>
      </c>
      <c r="AJ37" s="21">
        <f t="shared" si="38"/>
        <v>7717.796216988063</v>
      </c>
      <c r="AK37" s="21">
        <f t="shared" si="39"/>
        <v>172917.71664535446</v>
      </c>
      <c r="AL37" s="23">
        <f t="shared" si="40"/>
        <v>157056.53330393395</v>
      </c>
      <c r="AM37" s="23"/>
    </row>
    <row r="38" spans="1:39" x14ac:dyDescent="0.3">
      <c r="A38" s="13">
        <f t="shared" si="12"/>
        <v>33</v>
      </c>
      <c r="B38" s="1">
        <v>45607</v>
      </c>
      <c r="C38" s="7">
        <v>2024</v>
      </c>
      <c r="D38" s="7">
        <v>5</v>
      </c>
      <c r="E38" s="77">
        <v>20.334</v>
      </c>
      <c r="F38" s="2">
        <v>49.169933319091797</v>
      </c>
      <c r="G38" s="2">
        <v>35.707229614257813</v>
      </c>
      <c r="H38" s="2">
        <v>11.88904476165771</v>
      </c>
      <c r="I38" s="2">
        <v>302.8800048828125</v>
      </c>
      <c r="J38" s="2">
        <v>15.22999954223633</v>
      </c>
      <c r="K38" s="2">
        <v>441.17221069335938</v>
      </c>
      <c r="L38" s="2">
        <v>208.17999267578119</v>
      </c>
      <c r="M38" s="2">
        <v>321.22000122070313</v>
      </c>
      <c r="N38" s="12">
        <f t="shared" si="16"/>
        <v>-5.556939983628606E-3</v>
      </c>
      <c r="O38" s="12">
        <f t="shared" si="17"/>
        <v>-3.9132779710714272E-2</v>
      </c>
      <c r="P38" s="12">
        <f t="shared" si="18"/>
        <v>-9.9174502809139531E-3</v>
      </c>
      <c r="Q38" s="12">
        <f t="shared" si="19"/>
        <v>-1.6080245282702799E-2</v>
      </c>
      <c r="R38" s="12">
        <f t="shared" si="20"/>
        <v>7.9417530301564287E-3</v>
      </c>
      <c r="S38" s="12">
        <f t="shared" si="21"/>
        <v>0</v>
      </c>
      <c r="T38" s="12">
        <f t="shared" si="22"/>
        <v>-8.9867825189127171E-4</v>
      </c>
      <c r="U38" s="12">
        <f t="shared" si="23"/>
        <v>9.0613792848710739E-2</v>
      </c>
      <c r="V38" s="19">
        <f t="shared" si="24"/>
        <v>47.196998863286993</v>
      </c>
      <c r="W38" s="19">
        <f t="shared" si="25"/>
        <v>31.099843729030663</v>
      </c>
      <c r="X38" s="19">
        <f t="shared" si="26"/>
        <v>11.505843074740838</v>
      </c>
      <c r="Y38" s="19">
        <f t="shared" si="27"/>
        <v>261.13229689660108</v>
      </c>
      <c r="Z38" s="19">
        <f t="shared" si="28"/>
        <v>15.683574100098426</v>
      </c>
      <c r="AA38" s="19">
        <f t="shared" si="29"/>
        <v>487.20687866210938</v>
      </c>
      <c r="AB38" s="19">
        <f t="shared" si="30"/>
        <v>4563.529136980962</v>
      </c>
      <c r="AC38" s="19">
        <f t="shared" si="31"/>
        <v>9169.6927176507579</v>
      </c>
      <c r="AD38" s="21">
        <f t="shared" si="32"/>
        <v>-5274.7291551585822</v>
      </c>
      <c r="AE38" s="21">
        <f t="shared" si="33"/>
        <v>-36097.771135956376</v>
      </c>
      <c r="AF38" s="21">
        <f t="shared" si="34"/>
        <v>-10234.344649293198</v>
      </c>
      <c r="AG38" s="21">
        <f t="shared" si="35"/>
        <v>-16217.248599556535</v>
      </c>
      <c r="AH38" s="21">
        <f t="shared" si="36"/>
        <v>5523.743517533173</v>
      </c>
      <c r="AI38" s="21">
        <f t="shared" si="37"/>
        <v>0</v>
      </c>
      <c r="AJ38" s="21">
        <f t="shared" si="38"/>
        <v>-1231.4499935104323</v>
      </c>
      <c r="AK38" s="21">
        <f t="shared" si="39"/>
        <v>152373.02917895504</v>
      </c>
      <c r="AL38" s="23">
        <f t="shared" si="40"/>
        <v>88841.229163013093</v>
      </c>
      <c r="AM38" s="23"/>
    </row>
    <row r="39" spans="1:39" x14ac:dyDescent="0.3">
      <c r="A39" s="13">
        <f t="shared" si="12"/>
        <v>34</v>
      </c>
      <c r="B39" s="1">
        <v>45604</v>
      </c>
      <c r="C39" s="7">
        <v>2024</v>
      </c>
      <c r="D39" s="7">
        <v>5</v>
      </c>
      <c r="E39" s="77">
        <v>20.171099999999999</v>
      </c>
      <c r="F39" s="2">
        <v>49.444694519042969</v>
      </c>
      <c r="G39" s="2">
        <v>37.161460876464837</v>
      </c>
      <c r="H39" s="2">
        <v>12.008134841918951</v>
      </c>
      <c r="I39" s="2">
        <v>307.82998657226563</v>
      </c>
      <c r="J39" s="2">
        <v>15.10999965667725</v>
      </c>
      <c r="K39" s="2">
        <v>441.17221069335938</v>
      </c>
      <c r="L39" s="2">
        <v>210.05000305175781</v>
      </c>
      <c r="M39" s="2">
        <v>296.91000366210938</v>
      </c>
      <c r="N39" s="12">
        <f t="shared" si="16"/>
        <v>8.8925496427909589E-3</v>
      </c>
      <c r="O39" s="12">
        <f t="shared" si="17"/>
        <v>3.9011012393382005E-2</v>
      </c>
      <c r="P39" s="12">
        <f t="shared" si="18"/>
        <v>4.7619111010198001E-2</v>
      </c>
      <c r="Q39" s="12">
        <f t="shared" si="19"/>
        <v>2.3770122248187864E-3</v>
      </c>
      <c r="R39" s="12">
        <f t="shared" si="20"/>
        <v>2.1636220125055949E-2</v>
      </c>
      <c r="S39" s="12">
        <f t="shared" si="21"/>
        <v>0</v>
      </c>
      <c r="T39" s="12">
        <f t="shared" si="22"/>
        <v>3.3564652269254314E-2</v>
      </c>
      <c r="U39" s="12">
        <f t="shared" si="23"/>
        <v>4.8595362754309646E-2</v>
      </c>
      <c r="V39" s="19">
        <f t="shared" si="24"/>
        <v>47.882782265970675</v>
      </c>
      <c r="W39" s="19">
        <f t="shared" si="25"/>
        <v>33.629079477232779</v>
      </c>
      <c r="X39" s="19">
        <f t="shared" si="26"/>
        <v>12.174480902428611</v>
      </c>
      <c r="Y39" s="19">
        <f t="shared" si="27"/>
        <v>266.03085292644317</v>
      </c>
      <c r="Z39" s="19">
        <f t="shared" si="28"/>
        <v>15.896660013841489</v>
      </c>
      <c r="AA39" s="19">
        <f t="shared" si="29"/>
        <v>487.20687866210938</v>
      </c>
      <c r="AB39" s="19">
        <f t="shared" si="30"/>
        <v>4720.9450161987697</v>
      </c>
      <c r="AC39" s="19">
        <f t="shared" si="31"/>
        <v>8816.4090025811511</v>
      </c>
      <c r="AD39" s="21">
        <f t="shared" si="32"/>
        <v>8440.9388985150708</v>
      </c>
      <c r="AE39" s="21">
        <f t="shared" si="33"/>
        <v>35985.447687803906</v>
      </c>
      <c r="AF39" s="21">
        <f t="shared" si="34"/>
        <v>49140.694449381037</v>
      </c>
      <c r="AG39" s="21">
        <f t="shared" si="35"/>
        <v>2397.2643138434364</v>
      </c>
      <c r="AH39" s="21">
        <f t="shared" si="36"/>
        <v>15048.683861848087</v>
      </c>
      <c r="AI39" s="21">
        <f t="shared" si="37"/>
        <v>0</v>
      </c>
      <c r="AJ39" s="21">
        <f t="shared" si="38"/>
        <v>45993.31377183189</v>
      </c>
      <c r="AK39" s="21">
        <f t="shared" si="39"/>
        <v>81716.286165033671</v>
      </c>
      <c r="AL39" s="23">
        <f t="shared" si="40"/>
        <v>238722.62914825711</v>
      </c>
      <c r="AM39" s="23"/>
    </row>
    <row r="40" spans="1:39" x14ac:dyDescent="0.3">
      <c r="A40" s="13">
        <f t="shared" si="12"/>
        <v>35</v>
      </c>
      <c r="B40" s="1">
        <v>45603</v>
      </c>
      <c r="C40" s="7">
        <v>2024</v>
      </c>
      <c r="D40" s="7">
        <v>5</v>
      </c>
      <c r="E40" s="77">
        <v>19.795000000000002</v>
      </c>
      <c r="F40" s="2">
        <v>49.008880615234382</v>
      </c>
      <c r="G40" s="2">
        <v>35.766185760498047</v>
      </c>
      <c r="H40" s="2">
        <v>11.46230983734131</v>
      </c>
      <c r="I40" s="2">
        <v>307.10000610351563</v>
      </c>
      <c r="J40" s="2">
        <v>14.789999961853029</v>
      </c>
      <c r="K40" s="2">
        <v>441.17221069335938</v>
      </c>
      <c r="L40" s="2">
        <v>207.0899963378906</v>
      </c>
      <c r="M40" s="2">
        <v>288.52999877929688</v>
      </c>
      <c r="N40" s="12">
        <f t="shared" si="16"/>
        <v>1.6506119623852955E-2</v>
      </c>
      <c r="O40" s="12">
        <f t="shared" si="17"/>
        <v>1.4492720692061756E-2</v>
      </c>
      <c r="P40" s="12">
        <f t="shared" si="18"/>
        <v>8.7570628370465142E-2</v>
      </c>
      <c r="Q40" s="12">
        <f t="shared" si="19"/>
        <v>-6.4703978017076613E-3</v>
      </c>
      <c r="R40" s="12">
        <f t="shared" si="20"/>
        <v>-1.2683550479931194E-2</v>
      </c>
      <c r="S40" s="12">
        <f t="shared" si="21"/>
        <v>2.7883766186256764E-2</v>
      </c>
      <c r="T40" s="12">
        <f t="shared" si="22"/>
        <v>2.3311884668979488E-2</v>
      </c>
      <c r="U40" s="12">
        <f t="shared" si="23"/>
        <v>0.13122344981744249</v>
      </c>
      <c r="V40" s="19">
        <f t="shared" si="24"/>
        <v>48.244127895690113</v>
      </c>
      <c r="W40" s="19">
        <f t="shared" si="25"/>
        <v>32.835509851468792</v>
      </c>
      <c r="X40" s="19">
        <f t="shared" si="26"/>
        <v>12.638761269227764</v>
      </c>
      <c r="Y40" s="19">
        <f t="shared" si="27"/>
        <v>263.68275035940331</v>
      </c>
      <c r="Z40" s="19">
        <f t="shared" si="28"/>
        <v>15.362644368826741</v>
      </c>
      <c r="AA40" s="19">
        <f t="shared" si="29"/>
        <v>500.79204135105959</v>
      </c>
      <c r="AB40" s="19">
        <f t="shared" si="30"/>
        <v>4674.1141266182385</v>
      </c>
      <c r="AC40" s="19">
        <f t="shared" si="31"/>
        <v>9511.1317111920125</v>
      </c>
      <c r="AD40" s="21">
        <f t="shared" si="32"/>
        <v>15667.851492903821</v>
      </c>
      <c r="AE40" s="21">
        <f t="shared" si="33"/>
        <v>13368.713353530304</v>
      </c>
      <c r="AF40" s="21">
        <f t="shared" si="34"/>
        <v>90368.791021145851</v>
      </c>
      <c r="AG40" s="21">
        <f t="shared" si="35"/>
        <v>-6525.5254409080299</v>
      </c>
      <c r="AH40" s="21">
        <f t="shared" si="36"/>
        <v>-8821.8154703111268</v>
      </c>
      <c r="AI40" s="21">
        <f t="shared" si="37"/>
        <v>47548.06941132577</v>
      </c>
      <c r="AJ40" s="21">
        <f t="shared" si="38"/>
        <v>31944.046897672524</v>
      </c>
      <c r="AK40" s="21">
        <f t="shared" si="39"/>
        <v>220660.82788720596</v>
      </c>
      <c r="AL40" s="23">
        <f t="shared" si="40"/>
        <v>404210.9591525651</v>
      </c>
      <c r="AM40" s="23"/>
    </row>
    <row r="41" spans="1:39" x14ac:dyDescent="0.3">
      <c r="A41" s="13">
        <f t="shared" si="12"/>
        <v>36</v>
      </c>
      <c r="B41" s="1">
        <v>45602</v>
      </c>
      <c r="C41" s="7">
        <v>2024</v>
      </c>
      <c r="D41" s="7">
        <v>5</v>
      </c>
      <c r="E41" s="77">
        <v>20.079999999999998</v>
      </c>
      <c r="F41" s="2">
        <v>48.213069915771477</v>
      </c>
      <c r="G41" s="2">
        <v>35.255241394042969</v>
      </c>
      <c r="H41" s="2">
        <v>10.539370536804199</v>
      </c>
      <c r="I41" s="2">
        <v>309.10000610351563</v>
      </c>
      <c r="J41" s="2">
        <v>14.97999954223633</v>
      </c>
      <c r="K41" s="2">
        <v>429.20437622070313</v>
      </c>
      <c r="L41" s="2">
        <v>199.5</v>
      </c>
      <c r="M41" s="2">
        <v>251.44000244140619</v>
      </c>
      <c r="N41" s="12">
        <f t="shared" si="16"/>
        <v>-5.8902995172627204E-4</v>
      </c>
      <c r="O41" s="12">
        <f t="shared" si="17"/>
        <v>-2.9483305751901945E-2</v>
      </c>
      <c r="P41" s="12">
        <f t="shared" si="18"/>
        <v>1.4326624684415368E-2</v>
      </c>
      <c r="Q41" s="12">
        <f t="shared" si="19"/>
        <v>-2.4921116392695231E-2</v>
      </c>
      <c r="R41" s="12">
        <f t="shared" si="20"/>
        <v>-3.3266927227666443E-3</v>
      </c>
      <c r="S41" s="12">
        <f t="shared" si="21"/>
        <v>-2.246075172170714E-2</v>
      </c>
      <c r="T41" s="12">
        <f t="shared" si="22"/>
        <v>1.8138955521604938E-2</v>
      </c>
      <c r="U41" s="12">
        <f t="shared" si="23"/>
        <v>3.4538435950732804E-2</v>
      </c>
      <c r="V41" s="19">
        <f t="shared" si="24"/>
        <v>47.432779526409874</v>
      </c>
      <c r="W41" s="19">
        <f t="shared" si="25"/>
        <v>31.41216277358717</v>
      </c>
      <c r="X41" s="19">
        <f t="shared" si="26"/>
        <v>11.787585765915908</v>
      </c>
      <c r="Y41" s="19">
        <f t="shared" si="27"/>
        <v>258.78592975796948</v>
      </c>
      <c r="Z41" s="19">
        <f t="shared" si="28"/>
        <v>15.508237079454515</v>
      </c>
      <c r="AA41" s="19">
        <f t="shared" si="29"/>
        <v>476.26384592337183</v>
      </c>
      <c r="AB41" s="19">
        <f t="shared" si="30"/>
        <v>4650.4860797187739</v>
      </c>
      <c r="AC41" s="19">
        <f t="shared" si="31"/>
        <v>8698.2207858278816</v>
      </c>
      <c r="AD41" s="21">
        <f t="shared" si="32"/>
        <v>-559.11589270095874</v>
      </c>
      <c r="AE41" s="21">
        <f t="shared" si="33"/>
        <v>-27196.678366095941</v>
      </c>
      <c r="AF41" s="21">
        <f t="shared" si="34"/>
        <v>14784.406327053059</v>
      </c>
      <c r="AG41" s="21">
        <f t="shared" si="35"/>
        <v>-25133.443726356585</v>
      </c>
      <c r="AH41" s="21">
        <f t="shared" si="36"/>
        <v>-2313.8213052496239</v>
      </c>
      <c r="AI41" s="21">
        <f t="shared" si="37"/>
        <v>-38300.614585581403</v>
      </c>
      <c r="AJ41" s="21">
        <f t="shared" si="38"/>
        <v>24855.632827833142</v>
      </c>
      <c r="AK41" s="21">
        <f t="shared" si="39"/>
        <v>58078.642814379782</v>
      </c>
      <c r="AL41" s="23">
        <f t="shared" si="40"/>
        <v>4215.0080932814817</v>
      </c>
      <c r="AM41" s="23"/>
    </row>
    <row r="42" spans="1:39" x14ac:dyDescent="0.3">
      <c r="A42" s="13">
        <f t="shared" si="12"/>
        <v>37</v>
      </c>
      <c r="B42" s="1">
        <v>45601</v>
      </c>
      <c r="C42" s="7">
        <v>2024</v>
      </c>
      <c r="D42" s="7">
        <v>5</v>
      </c>
      <c r="E42" s="77">
        <v>20.097000000000001</v>
      </c>
      <c r="F42" s="2">
        <v>48.241485595703118</v>
      </c>
      <c r="G42" s="2">
        <v>36.326259613037109</v>
      </c>
      <c r="H42" s="2">
        <v>10.39050960540771</v>
      </c>
      <c r="I42" s="2">
        <v>317</v>
      </c>
      <c r="J42" s="2">
        <v>15.02999973297119</v>
      </c>
      <c r="K42" s="2">
        <v>439.06613159179688</v>
      </c>
      <c r="L42" s="2">
        <v>195.7799987792969</v>
      </c>
      <c r="M42" s="2">
        <v>242.8399963378906</v>
      </c>
      <c r="N42" s="12">
        <f t="shared" si="16"/>
        <v>6.1252777219533705E-3</v>
      </c>
      <c r="O42" s="12">
        <f t="shared" si="17"/>
        <v>1.4544446875911499E-2</v>
      </c>
      <c r="P42" s="12">
        <f t="shared" si="18"/>
        <v>-6.6413617257795599E-3</v>
      </c>
      <c r="Q42" s="12">
        <f t="shared" si="19"/>
        <v>1.1293334528879484E-2</v>
      </c>
      <c r="R42" s="12">
        <f t="shared" si="20"/>
        <v>7.3726311068869066E-3</v>
      </c>
      <c r="S42" s="12">
        <f t="shared" si="21"/>
        <v>0</v>
      </c>
      <c r="T42" s="12">
        <f t="shared" si="22"/>
        <v>-1.0566998451526644E-2</v>
      </c>
      <c r="U42" s="12">
        <f t="shared" si="23"/>
        <v>-2.4369336774327066E-2</v>
      </c>
      <c r="V42" s="19">
        <f t="shared" si="24"/>
        <v>47.751445505774441</v>
      </c>
      <c r="W42" s="19">
        <f t="shared" si="25"/>
        <v>32.837184043490808</v>
      </c>
      <c r="X42" s="19">
        <f t="shared" si="26"/>
        <v>11.543914810097677</v>
      </c>
      <c r="Y42" s="19">
        <f t="shared" si="27"/>
        <v>268.39724481151995</v>
      </c>
      <c r="Z42" s="19">
        <f t="shared" si="28"/>
        <v>15.674718562733538</v>
      </c>
      <c r="AA42" s="19">
        <f t="shared" si="29"/>
        <v>487.20687866210938</v>
      </c>
      <c r="AB42" s="19">
        <f t="shared" si="30"/>
        <v>4519.3677892014402</v>
      </c>
      <c r="AC42" s="19">
        <f t="shared" si="31"/>
        <v>8202.9343901193879</v>
      </c>
      <c r="AD42" s="21">
        <f t="shared" si="32"/>
        <v>5814.2036945903892</v>
      </c>
      <c r="AE42" s="21">
        <f t="shared" si="33"/>
        <v>13416.427826157747</v>
      </c>
      <c r="AF42" s="21">
        <f t="shared" si="34"/>
        <v>-6853.5745496058989</v>
      </c>
      <c r="AG42" s="21">
        <f t="shared" si="35"/>
        <v>11389.5534771352</v>
      </c>
      <c r="AH42" s="21">
        <f t="shared" si="36"/>
        <v>5127.9009973227094</v>
      </c>
      <c r="AI42" s="21">
        <f t="shared" si="37"/>
        <v>0</v>
      </c>
      <c r="AJ42" s="21">
        <f t="shared" si="38"/>
        <v>-14479.854327366957</v>
      </c>
      <c r="AK42" s="21">
        <f t="shared" si="39"/>
        <v>-40978.636327318964</v>
      </c>
      <c r="AL42" s="23">
        <f t="shared" si="40"/>
        <v>-26563.979209085774</v>
      </c>
      <c r="AM42" s="23"/>
    </row>
    <row r="43" spans="1:39" x14ac:dyDescent="0.3">
      <c r="A43" s="13">
        <f t="shared" si="12"/>
        <v>38</v>
      </c>
      <c r="B43" s="1">
        <v>45600</v>
      </c>
      <c r="C43" s="7">
        <v>2024</v>
      </c>
      <c r="D43" s="7">
        <v>5</v>
      </c>
      <c r="E43" s="77">
        <v>20.091000000000001</v>
      </c>
      <c r="F43" s="2">
        <v>47.947792053222663</v>
      </c>
      <c r="G43" s="2">
        <v>35.805488586425781</v>
      </c>
      <c r="H43" s="2">
        <v>10.459978103637701</v>
      </c>
      <c r="I43" s="2">
        <v>313.45999145507813</v>
      </c>
      <c r="J43" s="2">
        <v>14.920000076293951</v>
      </c>
      <c r="K43" s="2">
        <v>439.06613159179688</v>
      </c>
      <c r="L43" s="2">
        <v>197.92999267578119</v>
      </c>
      <c r="M43" s="2">
        <v>248.97999572753909</v>
      </c>
      <c r="N43" s="12">
        <f t="shared" si="16"/>
        <v>0</v>
      </c>
      <c r="O43" s="12">
        <f t="shared" si="17"/>
        <v>1.6492829434262557E-3</v>
      </c>
      <c r="P43" s="12">
        <f t="shared" si="18"/>
        <v>4.7664672874840885E-3</v>
      </c>
      <c r="Q43" s="12">
        <f t="shared" si="19"/>
        <v>-5.4887876294543725E-3</v>
      </c>
      <c r="R43" s="12">
        <f t="shared" si="20"/>
        <v>0</v>
      </c>
      <c r="S43" s="12">
        <f t="shared" si="21"/>
        <v>0</v>
      </c>
      <c r="T43" s="12">
        <f t="shared" si="22"/>
        <v>5.2634987366091845E-2</v>
      </c>
      <c r="U43" s="12">
        <f t="shared" si="23"/>
        <v>-1.2135959334863666E-2</v>
      </c>
      <c r="V43" s="19">
        <f t="shared" si="24"/>
        <v>47.460735321044922</v>
      </c>
      <c r="W43" s="19">
        <f t="shared" si="25"/>
        <v>32.419813594491849</v>
      </c>
      <c r="X43" s="19">
        <f t="shared" si="26"/>
        <v>11.676486271424139</v>
      </c>
      <c r="Y43" s="19">
        <f t="shared" si="27"/>
        <v>263.94326969312806</v>
      </c>
      <c r="Z43" s="19">
        <f t="shared" si="28"/>
        <v>15.560000419616699</v>
      </c>
      <c r="AA43" s="19">
        <f t="shared" si="29"/>
        <v>487.20687866210938</v>
      </c>
      <c r="AB43" s="19">
        <f t="shared" si="30"/>
        <v>4808.0513266119497</v>
      </c>
      <c r="AC43" s="19">
        <f t="shared" si="31"/>
        <v>8305.7905182506074</v>
      </c>
      <c r="AD43" s="21">
        <f t="shared" si="32"/>
        <v>0</v>
      </c>
      <c r="AE43" s="21">
        <f t="shared" si="33"/>
        <v>1521.3700296874181</v>
      </c>
      <c r="AF43" s="21">
        <f t="shared" si="34"/>
        <v>4918.771216183919</v>
      </c>
      <c r="AG43" s="21">
        <f t="shared" si="35"/>
        <v>-5535.5519727540013</v>
      </c>
      <c r="AH43" s="21">
        <f t="shared" si="36"/>
        <v>0</v>
      </c>
      <c r="AI43" s="21">
        <f t="shared" si="37"/>
        <v>0</v>
      </c>
      <c r="AJ43" s="21">
        <f t="shared" si="38"/>
        <v>72125.206895785872</v>
      </c>
      <c r="AK43" s="21">
        <f t="shared" si="39"/>
        <v>-20407.410701075059</v>
      </c>
      <c r="AL43" s="23">
        <f t="shared" si="40"/>
        <v>52622.38546782815</v>
      </c>
      <c r="AM43" s="23"/>
    </row>
    <row r="44" spans="1:39" x14ac:dyDescent="0.3">
      <c r="A44" s="13">
        <f t="shared" si="12"/>
        <v>39</v>
      </c>
      <c r="B44" s="1">
        <v>45597</v>
      </c>
      <c r="C44" s="7">
        <v>2024</v>
      </c>
      <c r="D44" s="7">
        <v>5</v>
      </c>
      <c r="E44" s="77">
        <v>20.266999999999999</v>
      </c>
      <c r="F44" s="2">
        <v>47.947792053222663</v>
      </c>
      <c r="G44" s="2">
        <v>35.746532440185547</v>
      </c>
      <c r="H44" s="2">
        <v>10.41035747528076</v>
      </c>
      <c r="I44" s="2">
        <v>315.19000244140619</v>
      </c>
      <c r="J44" s="2">
        <v>14.920000076293951</v>
      </c>
      <c r="K44" s="2">
        <v>439.06613159179688</v>
      </c>
      <c r="L44" s="2">
        <v>186.3999938964844</v>
      </c>
      <c r="M44" s="2">
        <v>249.8500061035156</v>
      </c>
      <c r="N44" s="12">
        <f t="shared" si="16"/>
        <v>-5.5021981179015356E-3</v>
      </c>
      <c r="O44" s="12">
        <f t="shared" si="17"/>
        <v>2.2038189189395041E-3</v>
      </c>
      <c r="P44" s="12">
        <f t="shared" si="18"/>
        <v>-1.0377390220714044E-2</v>
      </c>
      <c r="Q44" s="12">
        <f t="shared" si="19"/>
        <v>-1.6076649670221932E-2</v>
      </c>
      <c r="R44" s="12">
        <f t="shared" si="20"/>
        <v>6.7070616929454374E-4</v>
      </c>
      <c r="S44" s="12">
        <f t="shared" si="21"/>
        <v>0</v>
      </c>
      <c r="T44" s="12">
        <f t="shared" si="22"/>
        <v>-2.0520038921994277E-2</v>
      </c>
      <c r="U44" s="12">
        <f t="shared" si="23"/>
        <v>-1.7535641747677744E-2</v>
      </c>
      <c r="V44" s="19">
        <f t="shared" si="24"/>
        <v>47.199596952487248</v>
      </c>
      <c r="W44" s="19">
        <f t="shared" si="25"/>
        <v>32.437761945540181</v>
      </c>
      <c r="X44" s="19">
        <f t="shared" si="26"/>
        <v>11.500498069142418</v>
      </c>
      <c r="Y44" s="19">
        <f t="shared" si="27"/>
        <v>261.13325117213157</v>
      </c>
      <c r="Z44" s="19">
        <f t="shared" si="28"/>
        <v>15.570436607892361</v>
      </c>
      <c r="AA44" s="19">
        <f t="shared" si="29"/>
        <v>487.20687866210938</v>
      </c>
      <c r="AB44" s="19">
        <f t="shared" si="30"/>
        <v>4473.9059434408346</v>
      </c>
      <c r="AC44" s="19">
        <f t="shared" si="31"/>
        <v>8260.3909195814231</v>
      </c>
      <c r="AD44" s="21">
        <f t="shared" si="32"/>
        <v>-5222.7673711534808</v>
      </c>
      <c r="AE44" s="21">
        <f t="shared" si="33"/>
        <v>2032.8980345648872</v>
      </c>
      <c r="AF44" s="21">
        <f t="shared" si="34"/>
        <v>-10708.981146432863</v>
      </c>
      <c r="AG44" s="21">
        <f t="shared" si="35"/>
        <v>-16213.622352540677</v>
      </c>
      <c r="AH44" s="21">
        <f t="shared" si="36"/>
        <v>466.49761592209416</v>
      </c>
      <c r="AI44" s="21">
        <f t="shared" si="37"/>
        <v>0</v>
      </c>
      <c r="AJ44" s="21">
        <f t="shared" si="38"/>
        <v>-28118.408055548662</v>
      </c>
      <c r="AK44" s="21">
        <f t="shared" si="39"/>
        <v>-29487.330434911928</v>
      </c>
      <c r="AL44" s="23">
        <f t="shared" si="40"/>
        <v>-87251.713710100623</v>
      </c>
      <c r="AM44" s="23"/>
    </row>
    <row r="45" spans="1:39" x14ac:dyDescent="0.3">
      <c r="A45" s="13">
        <f t="shared" si="12"/>
        <v>40</v>
      </c>
      <c r="B45" s="1">
        <v>45596</v>
      </c>
      <c r="C45" s="7">
        <v>2024</v>
      </c>
      <c r="D45" s="7">
        <v>5</v>
      </c>
      <c r="E45" s="77">
        <v>20.012</v>
      </c>
      <c r="F45" s="2">
        <v>48.213069915771477</v>
      </c>
      <c r="G45" s="2">
        <v>35.667926788330078</v>
      </c>
      <c r="H45" s="2">
        <v>10.519522666931151</v>
      </c>
      <c r="I45" s="2">
        <v>320.33999633789063</v>
      </c>
      <c r="J45" s="2">
        <v>14.909999847412109</v>
      </c>
      <c r="K45" s="2">
        <v>439.06613159179688</v>
      </c>
      <c r="L45" s="2">
        <v>192.72999572753909</v>
      </c>
      <c r="M45" s="2">
        <v>257.54998779296881</v>
      </c>
      <c r="N45" s="12">
        <f t="shared" si="16"/>
        <v>-4.3657778162556893E-3</v>
      </c>
      <c r="O45" s="12">
        <f t="shared" si="17"/>
        <v>1.6555470198813538E-3</v>
      </c>
      <c r="P45" s="12">
        <f t="shared" si="18"/>
        <v>1.8904228686937863E-3</v>
      </c>
      <c r="Q45" s="12">
        <f t="shared" si="19"/>
        <v>1.0153888970366509E-2</v>
      </c>
      <c r="R45" s="12">
        <f t="shared" si="20"/>
        <v>1.0162575623593462E-2</v>
      </c>
      <c r="S45" s="12">
        <f t="shared" si="21"/>
        <v>0</v>
      </c>
      <c r="T45" s="12">
        <f t="shared" si="22"/>
        <v>3.3882218092038396E-3</v>
      </c>
      <c r="U45" s="12">
        <f t="shared" si="23"/>
        <v>-1.4045074422878279E-2</v>
      </c>
      <c r="V45" s="19">
        <f t="shared" si="24"/>
        <v>47.253532295637122</v>
      </c>
      <c r="W45" s="19">
        <f t="shared" si="25"/>
        <v>32.420016340297664</v>
      </c>
      <c r="X45" s="19">
        <f t="shared" si="26"/>
        <v>11.643063486861402</v>
      </c>
      <c r="Y45" s="19">
        <f t="shared" si="27"/>
        <v>268.09483596724522</v>
      </c>
      <c r="Z45" s="19">
        <f t="shared" si="28"/>
        <v>15.718130100584199</v>
      </c>
      <c r="AA45" s="19">
        <f t="shared" si="29"/>
        <v>487.20687866210938</v>
      </c>
      <c r="AB45" s="19">
        <f t="shared" si="30"/>
        <v>4583.1101273272698</v>
      </c>
      <c r="AC45" s="19">
        <f t="shared" si="31"/>
        <v>8289.7390077759428</v>
      </c>
      <c r="AD45" s="21">
        <f t="shared" si="32"/>
        <v>-4144.0605081560025</v>
      </c>
      <c r="AE45" s="21">
        <f t="shared" si="33"/>
        <v>1527.1482851531496</v>
      </c>
      <c r="AF45" s="21">
        <f t="shared" si="34"/>
        <v>1950.8279470129266</v>
      </c>
      <c r="AG45" s="21">
        <f t="shared" si="35"/>
        <v>10240.3998688912</v>
      </c>
      <c r="AH45" s="21">
        <f t="shared" si="36"/>
        <v>7068.3967392472459</v>
      </c>
      <c r="AI45" s="21">
        <f t="shared" si="37"/>
        <v>0</v>
      </c>
      <c r="AJ45" s="21">
        <f t="shared" si="38"/>
        <v>4642.8471103818993</v>
      </c>
      <c r="AK45" s="21">
        <f t="shared" si="39"/>
        <v>-23617.712796007982</v>
      </c>
      <c r="AL45" s="23">
        <f t="shared" si="40"/>
        <v>-2332.1533534775626</v>
      </c>
      <c r="AM45" s="23"/>
    </row>
    <row r="46" spans="1:39" x14ac:dyDescent="0.3">
      <c r="A46" s="13">
        <f t="shared" si="12"/>
        <v>41</v>
      </c>
      <c r="B46" s="1">
        <v>45595</v>
      </c>
      <c r="C46" s="7">
        <v>2024</v>
      </c>
      <c r="D46" s="7">
        <v>5</v>
      </c>
      <c r="E46" s="77">
        <v>20.143000000000001</v>
      </c>
      <c r="F46" s="2">
        <v>48.424480438232422</v>
      </c>
      <c r="G46" s="2">
        <v>35.608974456787109</v>
      </c>
      <c r="H46" s="2">
        <v>10.499673843383791</v>
      </c>
      <c r="I46" s="2">
        <v>317.1199951171875</v>
      </c>
      <c r="J46" s="2">
        <v>14.760000228881839</v>
      </c>
      <c r="K46" s="2">
        <v>439.06613159179688</v>
      </c>
      <c r="L46" s="2">
        <v>190.83000183105469</v>
      </c>
      <c r="M46" s="2">
        <v>259.51998901367188</v>
      </c>
      <c r="N46" s="12">
        <f t="shared" si="16"/>
        <v>-1.1203366626120426E-2</v>
      </c>
      <c r="O46" s="12">
        <f t="shared" si="17"/>
        <v>-6.3065245804680981E-3</v>
      </c>
      <c r="P46" s="12">
        <f t="shared" si="18"/>
        <v>-3.6429874727286871E-2</v>
      </c>
      <c r="Q46" s="12">
        <f t="shared" si="19"/>
        <v>3.9771813079803042E-2</v>
      </c>
      <c r="R46" s="12">
        <f t="shared" si="20"/>
        <v>2.6425598846783638E-2</v>
      </c>
      <c r="S46" s="12">
        <f t="shared" si="21"/>
        <v>0</v>
      </c>
      <c r="T46" s="12">
        <f t="shared" si="22"/>
        <v>1.7751869565932443E-2</v>
      </c>
      <c r="U46" s="12">
        <f t="shared" si="23"/>
        <v>-6.7054671557780221E-3</v>
      </c>
      <c r="V46" s="19">
        <f t="shared" si="24"/>
        <v>46.929015302897994</v>
      </c>
      <c r="W46" s="19">
        <f t="shared" si="25"/>
        <v>32.162312489753496</v>
      </c>
      <c r="X46" s="19">
        <f t="shared" si="26"/>
        <v>11.197739679425528</v>
      </c>
      <c r="Y46" s="19">
        <f t="shared" si="27"/>
        <v>275.95543284511621</v>
      </c>
      <c r="Z46" s="19">
        <f t="shared" si="28"/>
        <v>15.971182748761276</v>
      </c>
      <c r="AA46" s="19">
        <f t="shared" si="29"/>
        <v>487.20687866210938</v>
      </c>
      <c r="AB46" s="19">
        <f t="shared" si="30"/>
        <v>4648.7180127582205</v>
      </c>
      <c r="AC46" s="19">
        <f t="shared" si="31"/>
        <v>8351.4491601221289</v>
      </c>
      <c r="AD46" s="21">
        <f t="shared" si="32"/>
        <v>-10634.40036293855</v>
      </c>
      <c r="AE46" s="21">
        <f t="shared" si="33"/>
        <v>-5817.4114553556319</v>
      </c>
      <c r="AF46" s="21">
        <f t="shared" si="34"/>
        <v>-37593.926153292748</v>
      </c>
      <c r="AG46" s="21">
        <f t="shared" si="35"/>
        <v>40110.668004800958</v>
      </c>
      <c r="AH46" s="21">
        <f t="shared" si="36"/>
        <v>18379.850112762575</v>
      </c>
      <c r="AI46" s="21">
        <f t="shared" si="37"/>
        <v>0</v>
      </c>
      <c r="AJ46" s="21">
        <f t="shared" si="38"/>
        <v>24325.212739667131</v>
      </c>
      <c r="AK46" s="21">
        <f t="shared" si="39"/>
        <v>-11275.682326770766</v>
      </c>
      <c r="AL46" s="23">
        <f t="shared" si="40"/>
        <v>17494.310558872967</v>
      </c>
      <c r="AM46" s="23"/>
    </row>
    <row r="47" spans="1:39" x14ac:dyDescent="0.3">
      <c r="A47" s="13">
        <f t="shared" si="12"/>
        <v>42</v>
      </c>
      <c r="B47" s="1">
        <v>45594</v>
      </c>
      <c r="C47" s="7">
        <v>2024</v>
      </c>
      <c r="D47" s="7">
        <v>4</v>
      </c>
      <c r="E47" s="77">
        <v>20.047999999999998</v>
      </c>
      <c r="F47" s="2">
        <v>48.97314453125</v>
      </c>
      <c r="G47" s="2">
        <v>35.834968566894531</v>
      </c>
      <c r="H47" s="2">
        <v>10.89663696289062</v>
      </c>
      <c r="I47" s="2">
        <v>304.989990234375</v>
      </c>
      <c r="J47" s="2">
        <v>14.38000011444092</v>
      </c>
      <c r="K47" s="2">
        <v>439.06613159179688</v>
      </c>
      <c r="L47" s="2">
        <v>188.38999938964841</v>
      </c>
      <c r="M47" s="2">
        <v>262.510009765625</v>
      </c>
      <c r="N47" s="12">
        <f t="shared" si="16"/>
        <v>1.3537524589217753E-3</v>
      </c>
      <c r="O47" s="12">
        <f t="shared" si="17"/>
        <v>0</v>
      </c>
      <c r="P47" s="12">
        <f t="shared" si="18"/>
        <v>-8.0402058987313119E-2</v>
      </c>
      <c r="Q47" s="12">
        <f t="shared" si="19"/>
        <v>1.305385208148202E-2</v>
      </c>
      <c r="R47" s="12">
        <f t="shared" si="20"/>
        <v>1.6254452446023526E-2</v>
      </c>
      <c r="S47" s="12">
        <f t="shared" si="21"/>
        <v>3.5011786873302864E-2</v>
      </c>
      <c r="T47" s="12">
        <f t="shared" si="22"/>
        <v>4.2336929698609804E-3</v>
      </c>
      <c r="U47" s="12">
        <f t="shared" si="23"/>
        <v>-2.3597578032759525E-2</v>
      </c>
      <c r="V47" s="19">
        <f t="shared" si="24"/>
        <v>47.524985408188023</v>
      </c>
      <c r="W47" s="19">
        <f t="shared" si="25"/>
        <v>32.366432189941413</v>
      </c>
      <c r="X47" s="19">
        <f t="shared" si="26"/>
        <v>10.686734761812346</v>
      </c>
      <c r="Y47" s="19">
        <f t="shared" si="27"/>
        <v>268.8644861592353</v>
      </c>
      <c r="Z47" s="19">
        <f t="shared" si="28"/>
        <v>15.812919706497466</v>
      </c>
      <c r="AA47" s="19">
        <f t="shared" si="29"/>
        <v>504.26486206103425</v>
      </c>
      <c r="AB47" s="19">
        <f t="shared" si="30"/>
        <v>4586.97193012159</v>
      </c>
      <c r="AC47" s="19">
        <f t="shared" si="31"/>
        <v>8209.4232045454846</v>
      </c>
      <c r="AD47" s="21">
        <f t="shared" si="32"/>
        <v>1285.001742862022</v>
      </c>
      <c r="AE47" s="21">
        <f t="shared" si="33"/>
        <v>0</v>
      </c>
      <c r="AF47" s="21">
        <f t="shared" si="34"/>
        <v>-82971.162837343276</v>
      </c>
      <c r="AG47" s="21">
        <f t="shared" si="35"/>
        <v>13165.070598453509</v>
      </c>
      <c r="AH47" s="21">
        <f t="shared" si="36"/>
        <v>11305.492123570266</v>
      </c>
      <c r="AI47" s="21">
        <f t="shared" si="37"/>
        <v>59702.941896237062</v>
      </c>
      <c r="AJ47" s="21">
        <f t="shared" si="38"/>
        <v>5801.3879486779842</v>
      </c>
      <c r="AK47" s="21">
        <f t="shared" si="39"/>
        <v>-39680.873442099619</v>
      </c>
      <c r="AL47" s="23">
        <f t="shared" si="40"/>
        <v>-31392.141969642063</v>
      </c>
      <c r="AM47" s="23"/>
    </row>
    <row r="48" spans="1:39" x14ac:dyDescent="0.3">
      <c r="A48" s="13">
        <f t="shared" si="12"/>
        <v>43</v>
      </c>
      <c r="B48" s="1">
        <v>45593</v>
      </c>
      <c r="C48" s="7">
        <v>2024</v>
      </c>
      <c r="D48" s="7">
        <v>4</v>
      </c>
      <c r="E48" s="77">
        <v>20.023</v>
      </c>
      <c r="F48" s="2">
        <v>48.906936645507813</v>
      </c>
      <c r="G48" s="2">
        <v>35.834968566894531</v>
      </c>
      <c r="H48" s="2">
        <v>11.849349021911619</v>
      </c>
      <c r="I48" s="2">
        <v>301.05999755859381</v>
      </c>
      <c r="J48" s="2">
        <v>14.14999961853027</v>
      </c>
      <c r="K48" s="2">
        <v>424.21365356445313</v>
      </c>
      <c r="L48" s="2">
        <v>187.83000183105469</v>
      </c>
      <c r="M48" s="2">
        <v>269.19000244140619</v>
      </c>
      <c r="N48" s="12">
        <f t="shared" si="16"/>
        <v>1.9370929267070736E-4</v>
      </c>
      <c r="O48" s="12">
        <f t="shared" si="17"/>
        <v>-1.1653100193473098E-2</v>
      </c>
      <c r="P48" s="12">
        <f t="shared" si="18"/>
        <v>-1.6721365374889885E-3</v>
      </c>
      <c r="Q48" s="12">
        <f t="shared" si="19"/>
        <v>-1.2820945163323438E-2</v>
      </c>
      <c r="R48" s="12">
        <f t="shared" si="20"/>
        <v>9.2724077405155203E-3</v>
      </c>
      <c r="S48" s="12">
        <f t="shared" si="21"/>
        <v>0</v>
      </c>
      <c r="T48" s="12">
        <f t="shared" si="22"/>
        <v>1.1467403387219743E-2</v>
      </c>
      <c r="U48" s="12">
        <f t="shared" si="23"/>
        <v>3.7219736909324785E-2</v>
      </c>
      <c r="V48" s="19">
        <f t="shared" si="24"/>
        <v>47.469928906513594</v>
      </c>
      <c r="W48" s="19">
        <f t="shared" si="25"/>
        <v>31.989262912726772</v>
      </c>
      <c r="X48" s="19">
        <f t="shared" si="26"/>
        <v>11.601662646614686</v>
      </c>
      <c r="Y48" s="19">
        <f t="shared" si="27"/>
        <v>261.99731512839116</v>
      </c>
      <c r="Z48" s="19">
        <f t="shared" si="28"/>
        <v>15.704279087949978</v>
      </c>
      <c r="AA48" s="19">
        <f t="shared" si="29"/>
        <v>487.20687866210938</v>
      </c>
      <c r="AB48" s="19">
        <f t="shared" si="30"/>
        <v>4620.0128715551773</v>
      </c>
      <c r="AC48" s="19">
        <f t="shared" si="31"/>
        <v>8720.764701955708</v>
      </c>
      <c r="AD48" s="21">
        <f t="shared" si="32"/>
        <v>183.87170937344877</v>
      </c>
      <c r="AE48" s="21">
        <f t="shared" si="33"/>
        <v>-10749.324400617264</v>
      </c>
      <c r="AF48" s="21">
        <f t="shared" si="34"/>
        <v>-1725.5666668954618</v>
      </c>
      <c r="AG48" s="21">
        <f t="shared" si="35"/>
        <v>-12930.179318754199</v>
      </c>
      <c r="AH48" s="21">
        <f t="shared" si="36"/>
        <v>6449.2564744975443</v>
      </c>
      <c r="AI48" s="21">
        <f t="shared" si="37"/>
        <v>0</v>
      </c>
      <c r="AJ48" s="21">
        <f t="shared" si="38"/>
        <v>15713.670378754159</v>
      </c>
      <c r="AK48" s="21">
        <f t="shared" si="39"/>
        <v>62587.426039945058</v>
      </c>
      <c r="AL48" s="23">
        <f t="shared" si="40"/>
        <v>59529.154216303286</v>
      </c>
      <c r="AM48" s="23"/>
    </row>
    <row r="49" spans="1:39" x14ac:dyDescent="0.3">
      <c r="A49" s="13">
        <f t="shared" si="12"/>
        <v>44</v>
      </c>
      <c r="B49" s="1">
        <v>45590</v>
      </c>
      <c r="C49" s="7">
        <v>2024</v>
      </c>
      <c r="D49" s="7">
        <v>4</v>
      </c>
      <c r="E49" s="77">
        <v>19.95</v>
      </c>
      <c r="F49" s="2">
        <v>48.897464752197273</v>
      </c>
      <c r="G49" s="2">
        <v>36.257480621337891</v>
      </c>
      <c r="H49" s="2">
        <v>11.86919593811035</v>
      </c>
      <c r="I49" s="2">
        <v>304.97000122070313</v>
      </c>
      <c r="J49" s="2">
        <v>14.02000045776367</v>
      </c>
      <c r="K49" s="2">
        <v>424.21365356445313</v>
      </c>
      <c r="L49" s="2">
        <v>186.3800048828125</v>
      </c>
      <c r="M49" s="2">
        <v>260.48001098632813</v>
      </c>
      <c r="N49" s="12">
        <f t="shared" si="16"/>
        <v>-4.2382601677107834E-3</v>
      </c>
      <c r="O49" s="12">
        <f t="shared" si="17"/>
        <v>-8.0645338033835667E-3</v>
      </c>
      <c r="P49" s="12">
        <f t="shared" si="18"/>
        <v>2.1349213715432969E-2</v>
      </c>
      <c r="Q49" s="12">
        <f t="shared" si="19"/>
        <v>1.6973443560799328E-2</v>
      </c>
      <c r="R49" s="12">
        <f t="shared" si="20"/>
        <v>3.5791116520496047E-3</v>
      </c>
      <c r="S49" s="12">
        <f t="shared" si="21"/>
        <v>0</v>
      </c>
      <c r="T49" s="12">
        <f t="shared" si="22"/>
        <v>1.7096388948082852E-2</v>
      </c>
      <c r="U49" s="12">
        <f t="shared" si="23"/>
        <v>0.22892317585503896</v>
      </c>
      <c r="V49" s="19">
        <f t="shared" si="24"/>
        <v>47.25958437700347</v>
      </c>
      <c r="W49" s="19">
        <f t="shared" si="25"/>
        <v>32.105412003450709</v>
      </c>
      <c r="X49" s="19">
        <f t="shared" si="26"/>
        <v>11.86919593811035</v>
      </c>
      <c r="Y49" s="19">
        <f t="shared" si="27"/>
        <v>269.90474571392286</v>
      </c>
      <c r="Z49" s="19">
        <f t="shared" si="28"/>
        <v>15.615691398424445</v>
      </c>
      <c r="AA49" s="19">
        <f t="shared" si="29"/>
        <v>487.20687866210938</v>
      </c>
      <c r="AB49" s="19">
        <f t="shared" si="30"/>
        <v>4645.7240172212623</v>
      </c>
      <c r="AC49" s="19">
        <f t="shared" si="31"/>
        <v>10332.574161523922</v>
      </c>
      <c r="AD49" s="21">
        <f t="shared" si="32"/>
        <v>-4023.0188808290277</v>
      </c>
      <c r="AE49" s="21">
        <f t="shared" si="33"/>
        <v>-7439.0753149850643</v>
      </c>
      <c r="AF49" s="21">
        <f t="shared" si="34"/>
        <v>22031.389617919449</v>
      </c>
      <c r="AG49" s="21">
        <f t="shared" si="35"/>
        <v>17118.056906266258</v>
      </c>
      <c r="AH49" s="21">
        <f t="shared" si="36"/>
        <v>2489.3867527062553</v>
      </c>
      <c r="AI49" s="21">
        <f t="shared" si="37"/>
        <v>0</v>
      </c>
      <c r="AJ49" s="21">
        <f t="shared" si="38"/>
        <v>23427.014078579668</v>
      </c>
      <c r="AK49" s="21">
        <f t="shared" si="39"/>
        <v>384949.31795358786</v>
      </c>
      <c r="AL49" s="23">
        <f t="shared" si="40"/>
        <v>438553.07111324539</v>
      </c>
      <c r="AM49" s="23"/>
    </row>
    <row r="50" spans="1:39" x14ac:dyDescent="0.3">
      <c r="A50" s="13">
        <f t="shared" si="12"/>
        <v>45</v>
      </c>
      <c r="B50" s="1">
        <v>45589</v>
      </c>
      <c r="C50" s="7">
        <v>2024</v>
      </c>
      <c r="D50" s="7">
        <v>4</v>
      </c>
      <c r="E50" s="77">
        <v>19.792000000000002</v>
      </c>
      <c r="F50" s="2">
        <v>49.105587005615227</v>
      </c>
      <c r="G50" s="2">
        <v>36.552257537841797</v>
      </c>
      <c r="H50" s="2">
        <v>11.62109470367432</v>
      </c>
      <c r="I50" s="2">
        <v>299.8800048828125</v>
      </c>
      <c r="J50" s="2">
        <v>13.97000026702881</v>
      </c>
      <c r="K50" s="2">
        <v>424.21365356445313</v>
      </c>
      <c r="L50" s="2">
        <v>184.71000671386719</v>
      </c>
      <c r="M50" s="2">
        <v>213.6499938964844</v>
      </c>
      <c r="N50" s="12">
        <f t="shared" si="16"/>
        <v>-3.0727026889092457E-3</v>
      </c>
      <c r="O50" s="12">
        <f t="shared" si="17"/>
        <v>-1.878231905754868E-3</v>
      </c>
      <c r="P50" s="12">
        <f t="shared" si="18"/>
        <v>4.2881028182060188E-3</v>
      </c>
      <c r="Q50" s="12">
        <f t="shared" si="19"/>
        <v>-5.7358196106588322E-3</v>
      </c>
      <c r="R50" s="12">
        <f t="shared" si="20"/>
        <v>-2.1023138129728891E-2</v>
      </c>
      <c r="S50" s="12">
        <f t="shared" si="21"/>
        <v>-2.2111789199976806E-2</v>
      </c>
      <c r="T50" s="12">
        <f t="shared" si="22"/>
        <v>-2.7974450015493368E-2</v>
      </c>
      <c r="U50" s="12">
        <f t="shared" si="23"/>
        <v>-2.1500206006621725E-2</v>
      </c>
      <c r="V50" s="19">
        <f t="shared" si="24"/>
        <v>47.314902592006334</v>
      </c>
      <c r="W50" s="19">
        <f t="shared" si="25"/>
        <v>32.305640524326812</v>
      </c>
      <c r="X50" s="19">
        <f t="shared" si="26"/>
        <v>11.670927152623785</v>
      </c>
      <c r="Y50" s="19">
        <f t="shared" si="27"/>
        <v>263.87770740682419</v>
      </c>
      <c r="Z50" s="19">
        <f t="shared" si="28"/>
        <v>15.232880381496457</v>
      </c>
      <c r="AA50" s="19">
        <f t="shared" si="29"/>
        <v>476.43386286435413</v>
      </c>
      <c r="AB50" s="19">
        <f t="shared" si="30"/>
        <v>4439.8569221016414</v>
      </c>
      <c r="AC50" s="19">
        <f t="shared" si="31"/>
        <v>8227.0575468950756</v>
      </c>
      <c r="AD50" s="21">
        <f t="shared" si="32"/>
        <v>-2916.6545807717625</v>
      </c>
      <c r="AE50" s="21">
        <f t="shared" si="33"/>
        <v>-1732.5624700161484</v>
      </c>
      <c r="AF50" s="21">
        <f t="shared" si="34"/>
        <v>4425.1214667124559</v>
      </c>
      <c r="AG50" s="21">
        <f t="shared" si="35"/>
        <v>-5784.6886607087181</v>
      </c>
      <c r="AH50" s="21">
        <f t="shared" si="36"/>
        <v>-14622.265703974814</v>
      </c>
      <c r="AI50" s="21">
        <f t="shared" si="37"/>
        <v>-37705.55529214337</v>
      </c>
      <c r="AJ50" s="21">
        <f t="shared" si="38"/>
        <v>-38333.114457306598</v>
      </c>
      <c r="AK50" s="21">
        <f t="shared" si="39"/>
        <v>-36154.004972181428</v>
      </c>
      <c r="AL50" s="23">
        <f t="shared" si="40"/>
        <v>-132823.72467039037</v>
      </c>
      <c r="AM50" s="23"/>
    </row>
    <row r="51" spans="1:39" x14ac:dyDescent="0.3">
      <c r="A51" s="13">
        <f t="shared" si="12"/>
        <v>46</v>
      </c>
      <c r="B51" s="1">
        <v>45588</v>
      </c>
      <c r="C51" s="7">
        <v>2024</v>
      </c>
      <c r="D51" s="7">
        <v>4</v>
      </c>
      <c r="E51" s="77">
        <v>19.826000000000001</v>
      </c>
      <c r="F51" s="2">
        <v>49.256938934326172</v>
      </c>
      <c r="G51" s="2">
        <v>36.621040344238281</v>
      </c>
      <c r="H51" s="2">
        <v>11.571475028991699</v>
      </c>
      <c r="I51" s="2">
        <v>301.6099853515625</v>
      </c>
      <c r="J51" s="2">
        <v>14.27000045776367</v>
      </c>
      <c r="K51" s="2">
        <v>433.80587768554688</v>
      </c>
      <c r="L51" s="2">
        <v>189.69999694824219</v>
      </c>
      <c r="M51" s="2">
        <v>217.9700012207031</v>
      </c>
      <c r="N51" s="12">
        <f t="shared" si="16"/>
        <v>-1.1766885738953459E-2</v>
      </c>
      <c r="O51" s="12">
        <f t="shared" si="17"/>
        <v>-1.114350193120861E-2</v>
      </c>
      <c r="P51" s="12">
        <f t="shared" si="18"/>
        <v>-1.0186692536181874E-2</v>
      </c>
      <c r="Q51" s="12">
        <f t="shared" si="19"/>
        <v>-6.6371153154221041E-5</v>
      </c>
      <c r="R51" s="12">
        <f t="shared" si="20"/>
        <v>1.7831668462005013E-2</v>
      </c>
      <c r="S51" s="12">
        <f t="shared" si="21"/>
        <v>0</v>
      </c>
      <c r="T51" s="12">
        <f t="shared" si="22"/>
        <v>-2.80423558276921E-3</v>
      </c>
      <c r="U51" s="12">
        <f t="shared" si="23"/>
        <v>-1.011235021429524E-2</v>
      </c>
      <c r="V51" s="19">
        <f t="shared" si="24"/>
        <v>46.902270271435476</v>
      </c>
      <c r="W51" s="19">
        <f t="shared" si="25"/>
        <v>32.005756790326465</v>
      </c>
      <c r="X51" s="19">
        <f t="shared" si="26"/>
        <v>11.502714184994138</v>
      </c>
      <c r="Y51" s="19">
        <f t="shared" si="27"/>
        <v>265.38237899284235</v>
      </c>
      <c r="Z51" s="19">
        <f t="shared" si="28"/>
        <v>15.837461188367962</v>
      </c>
      <c r="AA51" s="19">
        <f t="shared" si="29"/>
        <v>487.20687866210938</v>
      </c>
      <c r="AB51" s="19">
        <f t="shared" si="30"/>
        <v>4554.8252485841031</v>
      </c>
      <c r="AC51" s="19">
        <f t="shared" si="31"/>
        <v>8322.8046748089782</v>
      </c>
      <c r="AD51" s="21">
        <f t="shared" si="32"/>
        <v>-11169.300992188908</v>
      </c>
      <c r="AE51" s="21">
        <f t="shared" si="33"/>
        <v>-10279.248889026014</v>
      </c>
      <c r="AF51" s="21">
        <f t="shared" si="34"/>
        <v>-10512.190058800128</v>
      </c>
      <c r="AG51" s="21">
        <f t="shared" si="35"/>
        <v>-66.936633839702608</v>
      </c>
      <c r="AH51" s="21">
        <f t="shared" si="36"/>
        <v>12402.496363181463</v>
      </c>
      <c r="AI51" s="21">
        <f t="shared" si="37"/>
        <v>0</v>
      </c>
      <c r="AJ51" s="21">
        <f t="shared" si="38"/>
        <v>-3842.6165125681109</v>
      </c>
      <c r="AK51" s="21">
        <f t="shared" si="39"/>
        <v>-17004.579389400897</v>
      </c>
      <c r="AL51" s="23">
        <f t="shared" si="40"/>
        <v>-40472.376112642305</v>
      </c>
      <c r="AM51" s="23"/>
    </row>
    <row r="52" spans="1:39" x14ac:dyDescent="0.3">
      <c r="A52" s="13">
        <f t="shared" si="12"/>
        <v>47</v>
      </c>
      <c r="B52" s="1">
        <v>45587</v>
      </c>
      <c r="C52" s="7">
        <v>2024</v>
      </c>
      <c r="D52" s="7">
        <v>4</v>
      </c>
      <c r="E52" s="77">
        <v>19.948</v>
      </c>
      <c r="F52" s="2">
        <v>49.843441009521477</v>
      </c>
      <c r="G52" s="2">
        <v>37.033725738525391</v>
      </c>
      <c r="H52" s="2">
        <v>11.6905632019043</v>
      </c>
      <c r="I52" s="2">
        <v>301.6300048828125</v>
      </c>
      <c r="J52" s="2">
        <v>14.02000045776367</v>
      </c>
      <c r="K52" s="2">
        <v>433.80587768554688</v>
      </c>
      <c r="L52" s="2">
        <v>189.07000732421881</v>
      </c>
      <c r="M52" s="2">
        <v>218.8500061035156</v>
      </c>
      <c r="N52" s="12">
        <f t="shared" si="16"/>
        <v>-2.8388906110938805E-3</v>
      </c>
      <c r="O52" s="12">
        <f t="shared" si="17"/>
        <v>-3.7006519448588016E-3</v>
      </c>
      <c r="P52" s="12">
        <f t="shared" si="18"/>
        <v>-1.0084050171367154E-2</v>
      </c>
      <c r="Q52" s="12">
        <f t="shared" si="19"/>
        <v>2.7525182850773211E-2</v>
      </c>
      <c r="R52" s="12">
        <f t="shared" si="20"/>
        <v>-1.1980206317598663E-2</v>
      </c>
      <c r="S52" s="12">
        <f t="shared" si="21"/>
        <v>0</v>
      </c>
      <c r="T52" s="12">
        <f t="shared" si="22"/>
        <v>-5.2866040557630889E-4</v>
      </c>
      <c r="U52" s="12">
        <f t="shared" si="23"/>
        <v>-9.3259718773618383E-3</v>
      </c>
      <c r="V52" s="19">
        <f t="shared" si="24"/>
        <v>47.325999485146397</v>
      </c>
      <c r="W52" s="19">
        <f t="shared" si="25"/>
        <v>32.246655289709565</v>
      </c>
      <c r="X52" s="19">
        <f t="shared" si="26"/>
        <v>11.503907001636259</v>
      </c>
      <c r="Y52" s="19">
        <f t="shared" si="27"/>
        <v>272.70517725707919</v>
      </c>
      <c r="Z52" s="19">
        <f t="shared" si="28"/>
        <v>15.373588404287769</v>
      </c>
      <c r="AA52" s="19">
        <f t="shared" si="29"/>
        <v>487.20687866210938</v>
      </c>
      <c r="AB52" s="19">
        <f t="shared" si="30"/>
        <v>4565.219243065404</v>
      </c>
      <c r="AC52" s="19">
        <f t="shared" si="31"/>
        <v>8329.4164082720781</v>
      </c>
      <c r="AD52" s="21">
        <f t="shared" si="32"/>
        <v>-2694.7167179704934</v>
      </c>
      <c r="AE52" s="21">
        <f t="shared" si="33"/>
        <v>-3413.6416566076696</v>
      </c>
      <c r="AF52" s="21">
        <f t="shared" si="34"/>
        <v>-10406.267940979813</v>
      </c>
      <c r="AG52" s="21">
        <f t="shared" si="35"/>
        <v>27759.696770260278</v>
      </c>
      <c r="AH52" s="21">
        <f t="shared" si="36"/>
        <v>-8332.6170852031682</v>
      </c>
      <c r="AI52" s="21">
        <f t="shared" si="37"/>
        <v>0</v>
      </c>
      <c r="AJ52" s="21">
        <f t="shared" si="38"/>
        <v>-724.41816817781728</v>
      </c>
      <c r="AK52" s="21">
        <f t="shared" si="39"/>
        <v>-15682.23269678092</v>
      </c>
      <c r="AL52" s="23">
        <f t="shared" si="40"/>
        <v>-13494.197495459604</v>
      </c>
      <c r="AM52" s="23"/>
    </row>
    <row r="53" spans="1:39" x14ac:dyDescent="0.3">
      <c r="A53" s="13">
        <f t="shared" si="12"/>
        <v>48</v>
      </c>
      <c r="B53" s="1">
        <v>45586</v>
      </c>
      <c r="C53" s="7">
        <v>2024</v>
      </c>
      <c r="D53" s="7">
        <v>4</v>
      </c>
      <c r="E53" s="77">
        <v>19.966999999999999</v>
      </c>
      <c r="F53" s="2">
        <v>49.985343933105469</v>
      </c>
      <c r="G53" s="2">
        <v>37.171283721923828</v>
      </c>
      <c r="H53" s="2">
        <v>11.809652328491209</v>
      </c>
      <c r="I53" s="2">
        <v>293.54998779296881</v>
      </c>
      <c r="J53" s="2">
        <v>14.189999580383301</v>
      </c>
      <c r="K53" s="2">
        <v>433.80587768554688</v>
      </c>
      <c r="L53" s="2">
        <v>188.99000549316409</v>
      </c>
      <c r="M53" s="2">
        <v>220.69999694824219</v>
      </c>
      <c r="N53" s="12">
        <f t="shared" si="16"/>
        <v>9.7457102391798056E-3</v>
      </c>
      <c r="O53" s="12">
        <f t="shared" si="17"/>
        <v>1.3233517113913074E-3</v>
      </c>
      <c r="P53" s="12">
        <f t="shared" si="18"/>
        <v>1.0186774112603159E-2</v>
      </c>
      <c r="Q53" s="12">
        <f t="shared" si="19"/>
        <v>4.1141958090854525E-2</v>
      </c>
      <c r="R53" s="12">
        <f t="shared" si="20"/>
        <v>3.956043787136565E-2</v>
      </c>
      <c r="S53" s="12">
        <f t="shared" si="21"/>
        <v>0</v>
      </c>
      <c r="T53" s="12">
        <f t="shared" si="22"/>
        <v>1.377662436167415E-2</v>
      </c>
      <c r="U53" s="12">
        <f t="shared" si="23"/>
        <v>5.0796025821744362E-3</v>
      </c>
      <c r="V53" s="19">
        <f t="shared" si="24"/>
        <v>47.923273895222231</v>
      </c>
      <c r="W53" s="19">
        <f t="shared" si="25"/>
        <v>32.409264363371605</v>
      </c>
      <c r="X53" s="19">
        <f t="shared" si="26"/>
        <v>11.739476170361819</v>
      </c>
      <c r="Y53" s="19">
        <f t="shared" si="27"/>
        <v>276.31906932268657</v>
      </c>
      <c r="Z53" s="19">
        <f t="shared" si="28"/>
        <v>16.175560849495369</v>
      </c>
      <c r="AA53" s="19">
        <f t="shared" si="29"/>
        <v>487.20687866210938</v>
      </c>
      <c r="AB53" s="19">
        <f t="shared" si="30"/>
        <v>4630.5605477230074</v>
      </c>
      <c r="AC53" s="19">
        <f t="shared" si="31"/>
        <v>8450.535994399952</v>
      </c>
      <c r="AD53" s="21">
        <f t="shared" si="32"/>
        <v>9250.7714835461738</v>
      </c>
      <c r="AE53" s="21">
        <f t="shared" si="33"/>
        <v>1220.7169427604647</v>
      </c>
      <c r="AF53" s="21">
        <f t="shared" si="34"/>
        <v>10512.274241849886</v>
      </c>
      <c r="AG53" s="21">
        <f t="shared" si="35"/>
        <v>41492.486619568357</v>
      </c>
      <c r="AH53" s="21">
        <f t="shared" si="36"/>
        <v>27515.551215576543</v>
      </c>
      <c r="AI53" s="21">
        <f t="shared" si="37"/>
        <v>0</v>
      </c>
      <c r="AJ53" s="21">
        <f t="shared" si="38"/>
        <v>18877.973229103191</v>
      </c>
      <c r="AK53" s="21">
        <f t="shared" si="39"/>
        <v>8541.6845287938486</v>
      </c>
      <c r="AL53" s="23">
        <f t="shared" si="40"/>
        <v>117411.45826119845</v>
      </c>
      <c r="AM53" s="23"/>
    </row>
    <row r="54" spans="1:39" x14ac:dyDescent="0.3">
      <c r="A54" s="13">
        <f t="shared" si="12"/>
        <v>49</v>
      </c>
      <c r="B54" s="1">
        <v>45583</v>
      </c>
      <c r="C54" s="7">
        <v>2024</v>
      </c>
      <c r="D54" s="7">
        <v>4</v>
      </c>
      <c r="E54" s="77">
        <v>19.849</v>
      </c>
      <c r="F54" s="2">
        <v>49.502902984619141</v>
      </c>
      <c r="G54" s="2">
        <v>37.122158050537109</v>
      </c>
      <c r="H54" s="2">
        <v>11.6905632019043</v>
      </c>
      <c r="I54" s="2">
        <v>281.95001220703119</v>
      </c>
      <c r="J54" s="2">
        <v>13.64999961853027</v>
      </c>
      <c r="K54" s="2">
        <v>433.80587768554688</v>
      </c>
      <c r="L54" s="2">
        <v>187.5299987792969</v>
      </c>
      <c r="M54" s="2">
        <v>220.88999938964841</v>
      </c>
      <c r="N54" s="12">
        <f t="shared" si="16"/>
        <v>7.6525225715884382E-4</v>
      </c>
      <c r="O54" s="12">
        <f t="shared" si="17"/>
        <v>-3.0287500267804579E-2</v>
      </c>
      <c r="P54" s="12">
        <f t="shared" si="18"/>
        <v>-5.0675759306492152E-3</v>
      </c>
      <c r="Q54" s="12">
        <f t="shared" si="19"/>
        <v>1.4756185040313063E-2</v>
      </c>
      <c r="R54" s="12">
        <f t="shared" si="20"/>
        <v>-1.7985612004386087E-2</v>
      </c>
      <c r="S54" s="12">
        <f t="shared" si="21"/>
        <v>-1.8938994220933814E-2</v>
      </c>
      <c r="T54" s="12">
        <f t="shared" si="22"/>
        <v>4.2339699276210396E-3</v>
      </c>
      <c r="U54" s="12">
        <f t="shared" si="23"/>
        <v>-1.1828602990349157E-3</v>
      </c>
      <c r="V54" s="19">
        <f t="shared" si="24"/>
        <v>47.497054755875773</v>
      </c>
      <c r="W54" s="19">
        <f t="shared" si="25"/>
        <v>31.386133866320684</v>
      </c>
      <c r="X54" s="19">
        <f t="shared" si="26"/>
        <v>11.562203923866186</v>
      </c>
      <c r="Y54" s="19">
        <f t="shared" si="27"/>
        <v>269.31628531611887</v>
      </c>
      <c r="Z54" s="19">
        <f t="shared" si="28"/>
        <v>15.280144289281388</v>
      </c>
      <c r="AA54" s="19">
        <f t="shared" si="29"/>
        <v>477.97967040272846</v>
      </c>
      <c r="AB54" s="19">
        <f t="shared" si="30"/>
        <v>4586.973195163263</v>
      </c>
      <c r="AC54" s="19">
        <f t="shared" si="31"/>
        <v>8397.8822863202222</v>
      </c>
      <c r="AD54" s="21">
        <f t="shared" si="32"/>
        <v>726.38869661702188</v>
      </c>
      <c r="AE54" s="21">
        <f t="shared" si="33"/>
        <v>-27938.502223190797</v>
      </c>
      <c r="AF54" s="21">
        <f t="shared" si="34"/>
        <v>-5229.5012469623343</v>
      </c>
      <c r="AG54" s="21">
        <f t="shared" si="35"/>
        <v>14881.907394611062</v>
      </c>
      <c r="AH54" s="21">
        <f t="shared" si="36"/>
        <v>-12509.569025988405</v>
      </c>
      <c r="AI54" s="21">
        <f t="shared" si="37"/>
        <v>-32295.228907833207</v>
      </c>
      <c r="AJ54" s="21">
        <f t="shared" si="38"/>
        <v>5801.7674611798611</v>
      </c>
      <c r="AK54" s="21">
        <f t="shared" si="39"/>
        <v>-1989.0570871521049</v>
      </c>
      <c r="AL54" s="23">
        <f t="shared" si="40"/>
        <v>-58551.7949387189</v>
      </c>
      <c r="AM54" s="23"/>
    </row>
    <row r="55" spans="1:39" x14ac:dyDescent="0.3">
      <c r="A55" s="13">
        <f t="shared" si="12"/>
        <v>50</v>
      </c>
      <c r="B55" s="1">
        <v>45582</v>
      </c>
      <c r="C55" s="7">
        <v>2024</v>
      </c>
      <c r="D55" s="7">
        <v>4</v>
      </c>
      <c r="E55" s="77">
        <v>19.832999999999998</v>
      </c>
      <c r="F55" s="2">
        <v>49.465049743652337</v>
      </c>
      <c r="G55" s="2">
        <v>38.281612396240227</v>
      </c>
      <c r="H55" s="2">
        <v>11.75010776519775</v>
      </c>
      <c r="I55" s="2">
        <v>277.85000610351563</v>
      </c>
      <c r="J55" s="2">
        <v>13.89999961853027</v>
      </c>
      <c r="K55" s="2">
        <v>442.18032836914063</v>
      </c>
      <c r="L55" s="2">
        <v>186.88999938964841</v>
      </c>
      <c r="M55" s="2">
        <v>221.33000183105469</v>
      </c>
      <c r="N55" s="12">
        <f t="shared" si="16"/>
        <v>1.3405040013954039E-3</v>
      </c>
      <c r="O55" s="12">
        <f t="shared" si="17"/>
        <v>3.7549932238142736E-2</v>
      </c>
      <c r="P55" s="12">
        <f t="shared" si="18"/>
        <v>1.1965804243792455E-2</v>
      </c>
      <c r="Q55" s="12">
        <f t="shared" si="19"/>
        <v>1.2462243628650782E-2</v>
      </c>
      <c r="R55" s="12">
        <f t="shared" si="20"/>
        <v>5.9451199677960309E-2</v>
      </c>
      <c r="S55" s="12">
        <f t="shared" si="21"/>
        <v>5.9251140225264232E-2</v>
      </c>
      <c r="T55" s="12">
        <f t="shared" si="22"/>
        <v>-5.1151364787634934E-3</v>
      </c>
      <c r="U55" s="12">
        <f t="shared" si="23"/>
        <v>7.1523537451581021E-3</v>
      </c>
      <c r="V55" s="19">
        <f t="shared" si="24"/>
        <v>47.524356626651951</v>
      </c>
      <c r="W55" s="19">
        <f t="shared" si="25"/>
        <v>33.581789525464153</v>
      </c>
      <c r="X55" s="19">
        <f t="shared" si="26"/>
        <v>11.760150447997059</v>
      </c>
      <c r="Y55" s="19">
        <f t="shared" si="27"/>
        <v>268.70747327946481</v>
      </c>
      <c r="Z55" s="19">
        <f t="shared" si="28"/>
        <v>16.485061111552479</v>
      </c>
      <c r="AA55" s="19">
        <f t="shared" si="29"/>
        <v>516.07444174843135</v>
      </c>
      <c r="AB55" s="19">
        <f t="shared" si="30"/>
        <v>4544.2698991495799</v>
      </c>
      <c r="AC55" s="19">
        <f t="shared" si="31"/>
        <v>8467.9633287774759</v>
      </c>
      <c r="AD55" s="21">
        <f t="shared" si="32"/>
        <v>1272.4261121405789</v>
      </c>
      <c r="AE55" s="21">
        <f t="shared" si="33"/>
        <v>34637.684062398075</v>
      </c>
      <c r="AF55" s="21">
        <f t="shared" si="34"/>
        <v>12348.150095859257</v>
      </c>
      <c r="AG55" s="21">
        <f t="shared" si="35"/>
        <v>12568.421655325641</v>
      </c>
      <c r="AH55" s="21">
        <f t="shared" si="36"/>
        <v>41350.212929529363</v>
      </c>
      <c r="AI55" s="21">
        <f t="shared" si="37"/>
        <v>101036.47080212693</v>
      </c>
      <c r="AJ55" s="21">
        <f t="shared" si="38"/>
        <v>-7009.2213429250478</v>
      </c>
      <c r="AK55" s="21">
        <f t="shared" si="39"/>
        <v>12027.151404298638</v>
      </c>
      <c r="AL55" s="23">
        <f t="shared" si="40"/>
        <v>208231.29571875345</v>
      </c>
      <c r="AM55" s="23"/>
    </row>
    <row r="56" spans="1:39" x14ac:dyDescent="0.3">
      <c r="A56" s="13">
        <f t="shared" si="12"/>
        <v>51</v>
      </c>
      <c r="B56" s="1">
        <v>45581</v>
      </c>
      <c r="C56" s="7">
        <v>2024</v>
      </c>
      <c r="D56" s="7">
        <v>4</v>
      </c>
      <c r="E56" s="77">
        <v>19.850000000000001</v>
      </c>
      <c r="F56" s="2">
        <v>49.398830413818359</v>
      </c>
      <c r="G56" s="2">
        <v>36.896163940429688</v>
      </c>
      <c r="H56" s="2">
        <v>11.611170768737789</v>
      </c>
      <c r="I56" s="2">
        <v>274.42999267578119</v>
      </c>
      <c r="J56" s="2">
        <v>13.11999988555908</v>
      </c>
      <c r="K56" s="2">
        <v>417.4461669921875</v>
      </c>
      <c r="L56" s="2">
        <v>187.69000244140619</v>
      </c>
      <c r="M56" s="2">
        <v>219.57000732421881</v>
      </c>
      <c r="N56" s="12">
        <f t="shared" si="16"/>
        <v>4.2305367623896029E-3</v>
      </c>
      <c r="O56" s="12">
        <f t="shared" si="17"/>
        <v>-1.0018436051303259E-2</v>
      </c>
      <c r="P56" s="12">
        <f t="shared" si="18"/>
        <v>-8.5395870092963566E-4</v>
      </c>
      <c r="Q56" s="12">
        <f t="shared" si="19"/>
        <v>2.4221804042844353E-2</v>
      </c>
      <c r="R56" s="12">
        <f t="shared" si="20"/>
        <v>6.9274604407824958E-2</v>
      </c>
      <c r="S56" s="12">
        <f t="shared" si="21"/>
        <v>5.2619714238533177E-4</v>
      </c>
      <c r="T56" s="12">
        <f t="shared" si="22"/>
        <v>9.2398690606174672E-3</v>
      </c>
      <c r="U56" s="12">
        <f t="shared" si="23"/>
        <v>1.0319818174816531E-2</v>
      </c>
      <c r="V56" s="19">
        <f t="shared" si="24"/>
        <v>47.661519706590646</v>
      </c>
      <c r="W56" s="19">
        <f t="shared" si="25"/>
        <v>32.04217115883764</v>
      </c>
      <c r="X56" s="19">
        <f t="shared" si="26"/>
        <v>11.611170768737789</v>
      </c>
      <c r="Y56" s="19">
        <f t="shared" si="27"/>
        <v>271.82846054161712</v>
      </c>
      <c r="Z56" s="19">
        <f t="shared" si="28"/>
        <v>16.637913293271236</v>
      </c>
      <c r="AA56" s="19">
        <f t="shared" si="29"/>
        <v>487.46324552941184</v>
      </c>
      <c r="AB56" s="19">
        <f t="shared" si="30"/>
        <v>4609.8383100949959</v>
      </c>
      <c r="AC56" s="19">
        <f t="shared" si="31"/>
        <v>8494.5948235417145</v>
      </c>
      <c r="AD56" s="21">
        <f t="shared" si="32"/>
        <v>4015.6877109144771</v>
      </c>
      <c r="AE56" s="21">
        <f t="shared" si="33"/>
        <v>-9241.4393864575504</v>
      </c>
      <c r="AF56" s="21">
        <f t="shared" si="34"/>
        <v>-881.24542236391221</v>
      </c>
      <c r="AG56" s="21">
        <f t="shared" si="35"/>
        <v>24428.173251504428</v>
      </c>
      <c r="AH56" s="21">
        <f t="shared" si="36"/>
        <v>48182.70545235779</v>
      </c>
      <c r="AI56" s="21">
        <f t="shared" si="37"/>
        <v>897.28403555861291</v>
      </c>
      <c r="AJ56" s="21">
        <f t="shared" si="38"/>
        <v>12661.301940699741</v>
      </c>
      <c r="AK56" s="21">
        <f t="shared" si="39"/>
        <v>17353.450357146357</v>
      </c>
      <c r="AL56" s="23">
        <f t="shared" si="40"/>
        <v>97415.917939359933</v>
      </c>
      <c r="AM56" s="23"/>
    </row>
    <row r="57" spans="1:39" x14ac:dyDescent="0.3">
      <c r="A57" s="13">
        <f t="shared" si="12"/>
        <v>52</v>
      </c>
      <c r="B57" s="1">
        <v>45580</v>
      </c>
      <c r="C57" s="7">
        <v>2024</v>
      </c>
      <c r="D57" s="7">
        <v>4</v>
      </c>
      <c r="E57" s="77">
        <v>19.684000000000001</v>
      </c>
      <c r="F57" s="2">
        <v>49.190727233886719</v>
      </c>
      <c r="G57" s="2">
        <v>37.269546508789063</v>
      </c>
      <c r="H57" s="2">
        <v>11.62109470367432</v>
      </c>
      <c r="I57" s="2">
        <v>267.94000244140619</v>
      </c>
      <c r="J57" s="2">
        <v>12.27000045776367</v>
      </c>
      <c r="K57" s="2">
        <v>417.22662353515619</v>
      </c>
      <c r="L57" s="2">
        <v>187.53999328613281</v>
      </c>
      <c r="M57" s="2">
        <v>219.1600036621094</v>
      </c>
      <c r="N57" s="12">
        <f t="shared" si="16"/>
        <v>-3.0674007111088919E-3</v>
      </c>
      <c r="O57" s="12">
        <f t="shared" si="17"/>
        <v>-7.0681185645458111E-3</v>
      </c>
      <c r="P57" s="12">
        <f t="shared" si="18"/>
        <v>-1.5966399312364765E-2</v>
      </c>
      <c r="Q57" s="12">
        <f t="shared" si="19"/>
        <v>-1.7923191626753932E-2</v>
      </c>
      <c r="R57" s="12">
        <f t="shared" si="20"/>
        <v>9.8766125926772474E-3</v>
      </c>
      <c r="S57" s="12">
        <f t="shared" si="21"/>
        <v>0</v>
      </c>
      <c r="T57" s="12">
        <f t="shared" si="22"/>
        <v>9.7387578519210205E-3</v>
      </c>
      <c r="U57" s="12">
        <f t="shared" si="23"/>
        <v>2.297862218902913E-2</v>
      </c>
      <c r="V57" s="19">
        <f t="shared" si="24"/>
        <v>47.315154227771394</v>
      </c>
      <c r="W57" s="19">
        <f t="shared" si="25"/>
        <v>32.137662409711574</v>
      </c>
      <c r="X57" s="19">
        <f t="shared" si="26"/>
        <v>11.435547665188649</v>
      </c>
      <c r="Y57" s="19">
        <f t="shared" si="27"/>
        <v>260.64317894813837</v>
      </c>
      <c r="Z57" s="19">
        <f t="shared" si="28"/>
        <v>15.71368051570315</v>
      </c>
      <c r="AA57" s="19">
        <f t="shared" si="29"/>
        <v>487.20687866210938</v>
      </c>
      <c r="AB57" s="19">
        <f t="shared" si="30"/>
        <v>4612.1170514855521</v>
      </c>
      <c r="AC57" s="19">
        <f t="shared" si="31"/>
        <v>8601.0278649578649</v>
      </c>
      <c r="AD57" s="21">
        <f t="shared" si="32"/>
        <v>-2911.6218654705508</v>
      </c>
      <c r="AE57" s="21">
        <f t="shared" si="33"/>
        <v>-6519.938736550429</v>
      </c>
      <c r="AF57" s="21">
        <f t="shared" si="34"/>
        <v>-16476.577017527605</v>
      </c>
      <c r="AG57" s="21">
        <f t="shared" si="35"/>
        <v>-18075.896803714819</v>
      </c>
      <c r="AH57" s="21">
        <f t="shared" si="36"/>
        <v>6869.500295064332</v>
      </c>
      <c r="AI57" s="21">
        <f t="shared" si="37"/>
        <v>0</v>
      </c>
      <c r="AJ57" s="21">
        <f t="shared" si="38"/>
        <v>13344.924357866603</v>
      </c>
      <c r="AK57" s="21">
        <f t="shared" si="39"/>
        <v>38640.058640376446</v>
      </c>
      <c r="AL57" s="23">
        <f t="shared" si="40"/>
        <v>14870.448870043972</v>
      </c>
      <c r="AM57" s="23"/>
    </row>
    <row r="58" spans="1:39" x14ac:dyDescent="0.3">
      <c r="A58" s="13">
        <f t="shared" si="12"/>
        <v>53</v>
      </c>
      <c r="B58" s="1">
        <v>45579</v>
      </c>
      <c r="C58" s="7">
        <v>2024</v>
      </c>
      <c r="D58" s="7">
        <v>4</v>
      </c>
      <c r="E58" s="77">
        <v>19.361999999999998</v>
      </c>
      <c r="F58" s="2">
        <v>49.342079162597663</v>
      </c>
      <c r="G58" s="2">
        <v>37.534847259521477</v>
      </c>
      <c r="H58" s="2">
        <v>11.809652328491209</v>
      </c>
      <c r="I58" s="2">
        <v>272.82998657226563</v>
      </c>
      <c r="J58" s="2">
        <v>12.14999961853027</v>
      </c>
      <c r="K58" s="2">
        <v>417.22662353515619</v>
      </c>
      <c r="L58" s="2">
        <v>188.82000732421881</v>
      </c>
      <c r="M58" s="2">
        <v>217.80000305175781</v>
      </c>
      <c r="N58" s="12">
        <f t="shared" si="16"/>
        <v>-5.7501940168913634E-4</v>
      </c>
      <c r="O58" s="12">
        <f t="shared" si="17"/>
        <v>3.151308159909938E-3</v>
      </c>
      <c r="P58" s="12">
        <f t="shared" si="18"/>
        <v>-9.1590622531062538E-3</v>
      </c>
      <c r="Q58" s="12">
        <f t="shared" si="19"/>
        <v>9.7708431363294768E-3</v>
      </c>
      <c r="R58" s="12">
        <f t="shared" si="20"/>
        <v>-1.6434229776743914E-3</v>
      </c>
      <c r="S58" s="12">
        <f t="shared" si="21"/>
        <v>6.3938163148035132E-2</v>
      </c>
      <c r="T58" s="12">
        <f t="shared" si="22"/>
        <v>1.7194887245034041E-2</v>
      </c>
      <c r="U58" s="12">
        <f t="shared" si="23"/>
        <v>-8.2803787159952846E-2</v>
      </c>
      <c r="V58" s="19">
        <f t="shared" si="24"/>
        <v>47.433444477416892</v>
      </c>
      <c r="W58" s="19">
        <f t="shared" si="25"/>
        <v>32.468428791808748</v>
      </c>
      <c r="X58" s="19">
        <f t="shared" si="26"/>
        <v>11.514656373834123</v>
      </c>
      <c r="Y58" s="19">
        <f t="shared" si="27"/>
        <v>267.99317560522974</v>
      </c>
      <c r="Z58" s="19">
        <f t="shared" si="28"/>
        <v>15.534428757394478</v>
      </c>
      <c r="AA58" s="19">
        <f t="shared" si="29"/>
        <v>518.35799155685231</v>
      </c>
      <c r="AB58" s="19">
        <f t="shared" si="30"/>
        <v>4646.173921388433</v>
      </c>
      <c r="AC58" s="19">
        <f t="shared" si="31"/>
        <v>7711.6276070267168</v>
      </c>
      <c r="AD58" s="21">
        <f t="shared" si="32"/>
        <v>-545.81687256060718</v>
      </c>
      <c r="AE58" s="21">
        <f t="shared" si="33"/>
        <v>2906.9031532190302</v>
      </c>
      <c r="AF58" s="21">
        <f t="shared" si="34"/>
        <v>-9451.7236898094707</v>
      </c>
      <c r="AG58" s="21">
        <f t="shared" si="35"/>
        <v>9854.0904932323774</v>
      </c>
      <c r="AH58" s="21">
        <f t="shared" si="36"/>
        <v>-1143.0533013332918</v>
      </c>
      <c r="AI58" s="21">
        <f t="shared" si="37"/>
        <v>109028.89513160028</v>
      </c>
      <c r="AJ58" s="21">
        <f t="shared" si="38"/>
        <v>23561.985328730862</v>
      </c>
      <c r="AK58" s="21">
        <f t="shared" si="39"/>
        <v>-139239.99294585318</v>
      </c>
      <c r="AL58" s="23">
        <f t="shared" si="40"/>
        <v>-5028.7127027740062</v>
      </c>
      <c r="AM58" s="23"/>
    </row>
    <row r="59" spans="1:39" x14ac:dyDescent="0.3">
      <c r="A59" s="13">
        <f t="shared" si="12"/>
        <v>54</v>
      </c>
      <c r="B59" s="1">
        <v>45576</v>
      </c>
      <c r="C59" s="7">
        <v>2024</v>
      </c>
      <c r="D59" s="7">
        <v>4</v>
      </c>
      <c r="E59" s="77">
        <v>19.256</v>
      </c>
      <c r="F59" s="2">
        <v>49.370468139648438</v>
      </c>
      <c r="G59" s="2">
        <v>37.416934967041023</v>
      </c>
      <c r="H59" s="2">
        <v>11.9188175201416</v>
      </c>
      <c r="I59" s="2">
        <v>270.19000244140619</v>
      </c>
      <c r="J59" s="2">
        <v>12.170000076293951</v>
      </c>
      <c r="K59" s="2">
        <v>392.153076171875</v>
      </c>
      <c r="L59" s="2">
        <v>186.6499938964844</v>
      </c>
      <c r="M59" s="2">
        <v>238.77000427246091</v>
      </c>
      <c r="N59" s="12">
        <f t="shared" si="16"/>
        <v>6.1695675611883605E-3</v>
      </c>
      <c r="O59" s="12">
        <f t="shared" si="17"/>
        <v>2.1052268084074122E-3</v>
      </c>
      <c r="P59" s="12">
        <f t="shared" si="18"/>
        <v>1.6934801222783902E-2</v>
      </c>
      <c r="Q59" s="12">
        <f t="shared" si="19"/>
        <v>9.1129876429736356E-3</v>
      </c>
      <c r="R59" s="12">
        <f t="shared" si="20"/>
        <v>3.2976060573495225E-3</v>
      </c>
      <c r="S59" s="12">
        <f t="shared" si="21"/>
        <v>0</v>
      </c>
      <c r="T59" s="12">
        <f t="shared" si="22"/>
        <v>-2.0613815134363778E-3</v>
      </c>
      <c r="U59" s="12">
        <f t="shared" si="23"/>
        <v>-1.9338563437554579E-2</v>
      </c>
      <c r="V59" s="19">
        <f t="shared" si="24"/>
        <v>47.753547534111789</v>
      </c>
      <c r="W59" s="19">
        <f t="shared" si="25"/>
        <v>32.434570870680176</v>
      </c>
      <c r="X59" s="19">
        <f t="shared" si="26"/>
        <v>11.817895632472192</v>
      </c>
      <c r="Y59" s="19">
        <f t="shared" si="27"/>
        <v>267.81858076130834</v>
      </c>
      <c r="Z59" s="19">
        <f t="shared" si="28"/>
        <v>15.611311171252789</v>
      </c>
      <c r="AA59" s="19">
        <f t="shared" si="29"/>
        <v>487.20687866210938</v>
      </c>
      <c r="AB59" s="19">
        <f t="shared" si="30"/>
        <v>4558.2183340661577</v>
      </c>
      <c r="AC59" s="19">
        <f t="shared" si="31"/>
        <v>8245.2322648875597</v>
      </c>
      <c r="AD59" s="21">
        <f t="shared" si="32"/>
        <v>5856.2442613373378</v>
      </c>
      <c r="AE59" s="21">
        <f t="shared" si="33"/>
        <v>1941.9524010547314</v>
      </c>
      <c r="AF59" s="21">
        <f t="shared" si="34"/>
        <v>17475.922477251035</v>
      </c>
      <c r="AG59" s="21">
        <f t="shared" si="35"/>
        <v>9190.6300863310662</v>
      </c>
      <c r="AH59" s="21">
        <f t="shared" si="36"/>
        <v>2293.5905981331935</v>
      </c>
      <c r="AI59" s="21">
        <f t="shared" si="37"/>
        <v>0</v>
      </c>
      <c r="AJ59" s="21">
        <f t="shared" si="38"/>
        <v>-2824.6908679517219</v>
      </c>
      <c r="AK59" s="21">
        <f t="shared" si="39"/>
        <v>-32519.061373684599</v>
      </c>
      <c r="AL59" s="23">
        <f t="shared" si="40"/>
        <v>1414.5875824710456</v>
      </c>
      <c r="AM59" s="23"/>
    </row>
    <row r="60" spans="1:39" x14ac:dyDescent="0.3">
      <c r="A60" s="13">
        <f t="shared" si="12"/>
        <v>55</v>
      </c>
      <c r="B60" s="1">
        <v>45575</v>
      </c>
      <c r="C60" s="7">
        <v>2024</v>
      </c>
      <c r="D60" s="7">
        <v>4</v>
      </c>
      <c r="E60" s="77">
        <v>19.45</v>
      </c>
      <c r="F60" s="2">
        <v>49.067741394042969</v>
      </c>
      <c r="G60" s="2">
        <v>37.338329315185547</v>
      </c>
      <c r="H60" s="2">
        <v>11.72033596038818</v>
      </c>
      <c r="I60" s="2">
        <v>267.75</v>
      </c>
      <c r="J60" s="2">
        <v>12.13000011444092</v>
      </c>
      <c r="K60" s="2">
        <v>392.153076171875</v>
      </c>
      <c r="L60" s="2">
        <v>185.16999816894531</v>
      </c>
      <c r="M60" s="2">
        <v>241.05000305175781</v>
      </c>
      <c r="N60" s="12">
        <f t="shared" si="16"/>
        <v>2.5124355270667031E-3</v>
      </c>
      <c r="O60" s="12">
        <f t="shared" si="17"/>
        <v>5.5571616221452569E-3</v>
      </c>
      <c r="P60" s="12">
        <f t="shared" si="18"/>
        <v>8.4744541139558649E-4</v>
      </c>
      <c r="Q60" s="12">
        <f t="shared" si="19"/>
        <v>2.9174339756499856E-2</v>
      </c>
      <c r="R60" s="12">
        <f t="shared" si="20"/>
        <v>1.0833342870076645E-2</v>
      </c>
      <c r="S60" s="12">
        <f t="shared" si="21"/>
        <v>3.8193356162130598E-4</v>
      </c>
      <c r="T60" s="12">
        <f t="shared" si="22"/>
        <v>1.1328623867958187E-2</v>
      </c>
      <c r="U60" s="12">
        <f t="shared" si="23"/>
        <v>-1.6133792200774266E-2</v>
      </c>
      <c r="V60" s="19">
        <f t="shared" si="24"/>
        <v>47.579977358606222</v>
      </c>
      <c r="W60" s="19">
        <f t="shared" si="25"/>
        <v>32.546297684753121</v>
      </c>
      <c r="X60" s="19">
        <f t="shared" si="26"/>
        <v>11.630942947056342</v>
      </c>
      <c r="Y60" s="19">
        <f t="shared" si="27"/>
        <v>273.1428634897934</v>
      </c>
      <c r="Z60" s="19">
        <f t="shared" si="28"/>
        <v>15.728567239220943</v>
      </c>
      <c r="AA60" s="19">
        <f t="shared" si="29"/>
        <v>487.39295932052318</v>
      </c>
      <c r="AB60" s="19">
        <f t="shared" si="30"/>
        <v>4619.3789775086179</v>
      </c>
      <c r="AC60" s="19">
        <f t="shared" si="31"/>
        <v>8272.1774288533306</v>
      </c>
      <c r="AD60" s="21">
        <f t="shared" si="32"/>
        <v>2384.8407512259937</v>
      </c>
      <c r="AE60" s="21">
        <f t="shared" si="33"/>
        <v>5126.166602133665</v>
      </c>
      <c r="AF60" s="21">
        <f t="shared" si="34"/>
        <v>874.52401232354896</v>
      </c>
      <c r="AG60" s="21">
        <f t="shared" si="35"/>
        <v>29422.904454574291</v>
      </c>
      <c r="AH60" s="21">
        <f t="shared" si="36"/>
        <v>7534.9368363097174</v>
      </c>
      <c r="AI60" s="21">
        <f t="shared" si="37"/>
        <v>651.28230444830137</v>
      </c>
      <c r="AJ60" s="21">
        <f t="shared" si="38"/>
        <v>15523.50216478635</v>
      </c>
      <c r="AK60" s="21">
        <f t="shared" si="39"/>
        <v>-27130.028580530416</v>
      </c>
      <c r="AL60" s="23">
        <f t="shared" si="40"/>
        <v>34388.128545271451</v>
      </c>
      <c r="AM60" s="23"/>
    </row>
    <row r="61" spans="1:39" x14ac:dyDescent="0.3">
      <c r="A61" s="13">
        <f t="shared" si="12"/>
        <v>56</v>
      </c>
      <c r="B61" s="1">
        <v>45574</v>
      </c>
      <c r="C61" s="7">
        <v>2024</v>
      </c>
      <c r="D61" s="7">
        <v>4</v>
      </c>
      <c r="E61" s="77">
        <v>19.489999999999998</v>
      </c>
      <c r="F61" s="2">
        <v>48.944770812988281</v>
      </c>
      <c r="G61" s="2">
        <v>37.131980895996087</v>
      </c>
      <c r="H61" s="2">
        <v>11.71041202545166</v>
      </c>
      <c r="I61" s="2">
        <v>260.16000366210938</v>
      </c>
      <c r="J61" s="2">
        <v>12</v>
      </c>
      <c r="K61" s="2">
        <v>392.00335693359381</v>
      </c>
      <c r="L61" s="2">
        <v>182.7200012207031</v>
      </c>
      <c r="M61" s="2">
        <v>244.5</v>
      </c>
      <c r="N61" s="12">
        <f t="shared" si="16"/>
        <v>-5.0000566108524547E-3</v>
      </c>
      <c r="O61" s="12">
        <f t="shared" si="17"/>
        <v>-6.8331500677951684E-3</v>
      </c>
      <c r="P61" s="12">
        <f t="shared" si="18"/>
        <v>3.3274982301570999E-2</v>
      </c>
      <c r="Q61" s="12">
        <f t="shared" si="19"/>
        <v>-1.5515045606605216E-2</v>
      </c>
      <c r="R61" s="12">
        <f t="shared" si="20"/>
        <v>-2.4937434444797235E-3</v>
      </c>
      <c r="S61" s="12">
        <f t="shared" si="21"/>
        <v>0</v>
      </c>
      <c r="T61" s="12">
        <f t="shared" si="22"/>
        <v>1.8931935774073816E-2</v>
      </c>
      <c r="U61" s="12">
        <f t="shared" si="23"/>
        <v>2.3589430561596458E-2</v>
      </c>
      <c r="V61" s="19">
        <f t="shared" si="24"/>
        <v>47.223428957647016</v>
      </c>
      <c r="W61" s="19">
        <f t="shared" si="25"/>
        <v>32.145267501628425</v>
      </c>
      <c r="X61" s="19">
        <f t="shared" si="26"/>
        <v>12.007786424263964</v>
      </c>
      <c r="Y61" s="19">
        <f t="shared" si="27"/>
        <v>261.28230088718766</v>
      </c>
      <c r="Z61" s="19">
        <f t="shared" si="28"/>
        <v>15.521197770574178</v>
      </c>
      <c r="AA61" s="19">
        <f t="shared" si="29"/>
        <v>487.20687866210938</v>
      </c>
      <c r="AB61" s="19">
        <f t="shared" si="30"/>
        <v>4654.1081232577217</v>
      </c>
      <c r="AC61" s="19">
        <f t="shared" si="31"/>
        <v>8606.163436433797</v>
      </c>
      <c r="AD61" s="21">
        <f t="shared" si="32"/>
        <v>-4746.1272679581161</v>
      </c>
      <c r="AE61" s="21">
        <f t="shared" si="33"/>
        <v>-6303.193616920179</v>
      </c>
      <c r="AF61" s="21">
        <f t="shared" si="34"/>
        <v>34338.22478836037</v>
      </c>
      <c r="AG61" s="21">
        <f t="shared" si="35"/>
        <v>-15647.233435327518</v>
      </c>
      <c r="AH61" s="21">
        <f t="shared" si="36"/>
        <v>-1734.4784122007115</v>
      </c>
      <c r="AI61" s="21">
        <f t="shared" si="37"/>
        <v>0</v>
      </c>
      <c r="AJ61" s="21">
        <f t="shared" si="38"/>
        <v>25942.245889517471</v>
      </c>
      <c r="AK61" s="21">
        <f t="shared" si="39"/>
        <v>39667.172935562849</v>
      </c>
      <c r="AL61" s="23">
        <f t="shared" si="40"/>
        <v>71516.610881034168</v>
      </c>
      <c r="AM61" s="23"/>
    </row>
    <row r="62" spans="1:39" x14ac:dyDescent="0.3">
      <c r="A62" s="13">
        <f t="shared" si="12"/>
        <v>57</v>
      </c>
      <c r="B62" s="1">
        <v>45573</v>
      </c>
      <c r="C62" s="7">
        <v>2024</v>
      </c>
      <c r="D62" s="7">
        <v>4</v>
      </c>
      <c r="E62" s="77">
        <v>19.331</v>
      </c>
      <c r="F62" s="2">
        <v>49.190727233886719</v>
      </c>
      <c r="G62" s="2">
        <v>37.387454986572273</v>
      </c>
      <c r="H62" s="2">
        <v>11.333296775817869</v>
      </c>
      <c r="I62" s="2">
        <v>264.260009765625</v>
      </c>
      <c r="J62" s="2">
        <v>12.02999973297119</v>
      </c>
      <c r="K62" s="2">
        <v>392.00335693359381</v>
      </c>
      <c r="L62" s="2">
        <v>180.80000305175781</v>
      </c>
      <c r="M62" s="2">
        <v>240.83000183105469</v>
      </c>
      <c r="N62" s="12">
        <f t="shared" si="16"/>
        <v>-9.5235125229271578E-3</v>
      </c>
      <c r="O62" s="12">
        <f t="shared" si="17"/>
        <v>-1.3737777882879776E-2</v>
      </c>
      <c r="P62" s="12">
        <f t="shared" si="18"/>
        <v>-1.7482266360963061E-3</v>
      </c>
      <c r="Q62" s="12">
        <f t="shared" si="19"/>
        <v>-1.0854895406245513E-2</v>
      </c>
      <c r="R62" s="12">
        <f t="shared" si="20"/>
        <v>6.6945543918772721E-3</v>
      </c>
      <c r="S62" s="12">
        <f t="shared" si="21"/>
        <v>-5.3278400359668243E-2</v>
      </c>
      <c r="T62" s="12">
        <f t="shared" si="22"/>
        <v>-2.7546306096344897E-2</v>
      </c>
      <c r="U62" s="12">
        <f t="shared" si="23"/>
        <v>-3.3939708819023973E-2</v>
      </c>
      <c r="V62" s="19">
        <f t="shared" si="24"/>
        <v>47.008742413867623</v>
      </c>
      <c r="W62" s="19">
        <f t="shared" si="25"/>
        <v>31.921789333654708</v>
      </c>
      <c r="X62" s="19">
        <f t="shared" si="26"/>
        <v>11.600778396372759</v>
      </c>
      <c r="Y62" s="19">
        <f t="shared" si="27"/>
        <v>262.51910472191986</v>
      </c>
      <c r="Z62" s="19">
        <f t="shared" si="28"/>
        <v>15.664167688763456</v>
      </c>
      <c r="AA62" s="19">
        <f t="shared" si="29"/>
        <v>461.24927552276523</v>
      </c>
      <c r="AB62" s="19">
        <f t="shared" si="30"/>
        <v>4441.8125268109188</v>
      </c>
      <c r="AC62" s="19">
        <f t="shared" si="31"/>
        <v>8122.4683521700235</v>
      </c>
      <c r="AD62" s="21">
        <f t="shared" si="32"/>
        <v>-9039.8581435459855</v>
      </c>
      <c r="AE62" s="21">
        <f t="shared" si="33"/>
        <v>-12672.321404171107</v>
      </c>
      <c r="AF62" s="21">
        <f t="shared" si="34"/>
        <v>-1804.0880883786442</v>
      </c>
      <c r="AG62" s="21">
        <f t="shared" si="35"/>
        <v>-10947.378863345159</v>
      </c>
      <c r="AH62" s="21">
        <f t="shared" si="36"/>
        <v>4656.2769308600282</v>
      </c>
      <c r="AI62" s="21">
        <f t="shared" si="37"/>
        <v>-90851.610987704509</v>
      </c>
      <c r="AJ62" s="21">
        <f t="shared" si="38"/>
        <v>-37746.433044523379</v>
      </c>
      <c r="AK62" s="21">
        <f t="shared" si="39"/>
        <v>-57071.843917191836</v>
      </c>
      <c r="AL62" s="23">
        <f t="shared" si="40"/>
        <v>-215477.25751800061</v>
      </c>
      <c r="AM62" s="23"/>
    </row>
    <row r="63" spans="1:39" x14ac:dyDescent="0.3">
      <c r="A63" s="13">
        <f t="shared" si="12"/>
        <v>58</v>
      </c>
      <c r="B63" s="1">
        <v>45572</v>
      </c>
      <c r="C63" s="7">
        <v>2024</v>
      </c>
      <c r="D63" s="7">
        <v>4</v>
      </c>
      <c r="E63" s="77">
        <v>19.27</v>
      </c>
      <c r="F63" s="2">
        <v>49.663700103759773</v>
      </c>
      <c r="G63" s="2">
        <v>37.908229827880859</v>
      </c>
      <c r="H63" s="2">
        <v>11.35314464569092</v>
      </c>
      <c r="I63" s="2">
        <v>267.16000366210938</v>
      </c>
      <c r="J63" s="2">
        <v>11.94999980926514</v>
      </c>
      <c r="K63" s="2">
        <v>414.06402587890619</v>
      </c>
      <c r="L63" s="2">
        <v>186.50999450683591</v>
      </c>
      <c r="M63" s="2">
        <v>250.08000183105469</v>
      </c>
      <c r="N63" s="12">
        <f t="shared" si="16"/>
        <v>1.8230961647641042E-2</v>
      </c>
      <c r="O63" s="12">
        <f t="shared" si="17"/>
        <v>4.6875710869926923E-3</v>
      </c>
      <c r="P63" s="12">
        <f t="shared" si="18"/>
        <v>-1.8025820814944082E-2</v>
      </c>
      <c r="Q63" s="12">
        <f t="shared" si="19"/>
        <v>2.2230715220616926E-2</v>
      </c>
      <c r="R63" s="12">
        <f t="shared" si="20"/>
        <v>1.2711831873363666E-2</v>
      </c>
      <c r="S63" s="12">
        <f t="shared" si="21"/>
        <v>0</v>
      </c>
      <c r="T63" s="12">
        <f t="shared" si="22"/>
        <v>2.5697387540273287E-2</v>
      </c>
      <c r="U63" s="12">
        <f t="shared" si="23"/>
        <v>3.9843853688189546E-2</v>
      </c>
      <c r="V63" s="19">
        <f t="shared" si="24"/>
        <v>48.325990166451732</v>
      </c>
      <c r="W63" s="19">
        <f t="shared" si="25"/>
        <v>32.518152141664089</v>
      </c>
      <c r="X63" s="19">
        <f t="shared" si="26"/>
        <v>11.411614932872391</v>
      </c>
      <c r="Y63" s="19">
        <f t="shared" si="27"/>
        <v>271.30002558035056</v>
      </c>
      <c r="Z63" s="19">
        <f t="shared" si="28"/>
        <v>15.757796528900334</v>
      </c>
      <c r="AA63" s="19">
        <f t="shared" si="29"/>
        <v>487.20687866210938</v>
      </c>
      <c r="AB63" s="19">
        <f t="shared" si="30"/>
        <v>4685.0102305693908</v>
      </c>
      <c r="AC63" s="19">
        <f t="shared" si="31"/>
        <v>8742.8278233605542</v>
      </c>
      <c r="AD63" s="21">
        <f t="shared" si="32"/>
        <v>17305.096908136191</v>
      </c>
      <c r="AE63" s="21">
        <f t="shared" si="33"/>
        <v>4324.0186240962576</v>
      </c>
      <c r="AF63" s="21">
        <f t="shared" si="34"/>
        <v>-18601.803647211287</v>
      </c>
      <c r="AG63" s="21">
        <f t="shared" si="35"/>
        <v>22420.120398691517</v>
      </c>
      <c r="AH63" s="21">
        <f t="shared" si="36"/>
        <v>8841.48608497848</v>
      </c>
      <c r="AI63" s="21">
        <f t="shared" si="37"/>
        <v>0</v>
      </c>
      <c r="AJ63" s="21">
        <f t="shared" si="38"/>
        <v>35212.878083018222</v>
      </c>
      <c r="AK63" s="21">
        <f t="shared" si="39"/>
        <v>67000.050320914306</v>
      </c>
      <c r="AL63" s="23">
        <f t="shared" si="40"/>
        <v>136501.84677262368</v>
      </c>
      <c r="AM63" s="23"/>
    </row>
    <row r="64" spans="1:39" x14ac:dyDescent="0.3">
      <c r="A64" s="13">
        <f t="shared" si="12"/>
        <v>59</v>
      </c>
      <c r="B64" s="1">
        <v>45569</v>
      </c>
      <c r="C64" s="7">
        <v>2024</v>
      </c>
      <c r="D64" s="7">
        <v>4</v>
      </c>
      <c r="E64" s="77">
        <v>19.257000000000001</v>
      </c>
      <c r="F64" s="2">
        <v>48.774494171142578</v>
      </c>
      <c r="G64" s="2">
        <v>37.731361389160163</v>
      </c>
      <c r="H64" s="2">
        <v>11.561551094055179</v>
      </c>
      <c r="I64" s="2">
        <v>261.35000610351563</v>
      </c>
      <c r="J64" s="2">
        <v>11.80000019073486</v>
      </c>
      <c r="K64" s="2">
        <v>414.06402587890619</v>
      </c>
      <c r="L64" s="2">
        <v>181.96000671386719</v>
      </c>
      <c r="M64" s="2">
        <v>240.6600036621094</v>
      </c>
      <c r="N64" s="12">
        <f t="shared" si="16"/>
        <v>-1.1503061911613321E-2</v>
      </c>
      <c r="O64" s="12">
        <f t="shared" si="17"/>
        <v>-1.538464907713788E-2</v>
      </c>
      <c r="P64" s="12">
        <f t="shared" si="18"/>
        <v>9.5320916166006242E-3</v>
      </c>
      <c r="Q64" s="12">
        <f t="shared" si="19"/>
        <v>-9.2121945827076113E-3</v>
      </c>
      <c r="R64" s="12">
        <f t="shared" si="20"/>
        <v>-4.6079199684524341E-2</v>
      </c>
      <c r="S64" s="12">
        <f t="shared" si="21"/>
        <v>0</v>
      </c>
      <c r="T64" s="12">
        <f t="shared" si="22"/>
        <v>-1.9381314973552999E-2</v>
      </c>
      <c r="U64" s="12">
        <f t="shared" si="23"/>
        <v>-3.7719149446687639E-2</v>
      </c>
      <c r="V64" s="19">
        <f t="shared" si="24"/>
        <v>46.914791544276248</v>
      </c>
      <c r="W64" s="19">
        <f t="shared" si="25"/>
        <v>31.868485988820186</v>
      </c>
      <c r="X64" s="19">
        <f t="shared" si="26"/>
        <v>11.731868043074936</v>
      </c>
      <c r="Y64" s="19">
        <f t="shared" si="27"/>
        <v>262.95507751046057</v>
      </c>
      <c r="Z64" s="19">
        <f t="shared" si="28"/>
        <v>14.843008053189898</v>
      </c>
      <c r="AA64" s="19">
        <f t="shared" si="29"/>
        <v>487.20687866210938</v>
      </c>
      <c r="AB64" s="19">
        <f t="shared" si="30"/>
        <v>4479.1072176305206</v>
      </c>
      <c r="AC64" s="19">
        <f t="shared" si="31"/>
        <v>8090.6914670549377</v>
      </c>
      <c r="AD64" s="21">
        <f t="shared" si="32"/>
        <v>-10918.875535373474</v>
      </c>
      <c r="AE64" s="21">
        <f t="shared" si="33"/>
        <v>-14191.46673195497</v>
      </c>
      <c r="AF64" s="21">
        <f t="shared" si="34"/>
        <v>9836.6725387747065</v>
      </c>
      <c r="AG64" s="21">
        <f t="shared" si="35"/>
        <v>-9290.6822668904624</v>
      </c>
      <c r="AH64" s="21">
        <f t="shared" si="36"/>
        <v>-32049.558779278013</v>
      </c>
      <c r="AI64" s="21">
        <f t="shared" si="37"/>
        <v>0</v>
      </c>
      <c r="AJ64" s="21">
        <f t="shared" si="38"/>
        <v>-26558.025798642848</v>
      </c>
      <c r="AK64" s="21">
        <f t="shared" si="39"/>
        <v>-63427.220940209008</v>
      </c>
      <c r="AL64" s="23">
        <f t="shared" si="40"/>
        <v>-146599.15751357406</v>
      </c>
      <c r="AM64" s="23"/>
    </row>
    <row r="65" spans="1:39" x14ac:dyDescent="0.3">
      <c r="A65" s="13">
        <f t="shared" si="12"/>
        <v>60</v>
      </c>
      <c r="B65" s="1">
        <v>45568</v>
      </c>
      <c r="C65" s="7">
        <v>2024</v>
      </c>
      <c r="D65" s="7">
        <v>4</v>
      </c>
      <c r="E65" s="77">
        <v>19.34</v>
      </c>
      <c r="F65" s="2">
        <v>49.342079162597663</v>
      </c>
      <c r="G65" s="2">
        <v>38.320915222167969</v>
      </c>
      <c r="H65" s="2">
        <v>11.45238590240479</v>
      </c>
      <c r="I65" s="2">
        <v>263.77999877929688</v>
      </c>
      <c r="J65" s="2">
        <v>12.36999988555908</v>
      </c>
      <c r="K65" s="2">
        <v>414.06402587890619</v>
      </c>
      <c r="L65" s="2">
        <v>184.75999450683591</v>
      </c>
      <c r="M65" s="2">
        <v>249.02000427246091</v>
      </c>
      <c r="N65" s="12">
        <f t="shared" si="16"/>
        <v>-6.8546503168570583E-3</v>
      </c>
      <c r="O65" s="12">
        <f t="shared" si="17"/>
        <v>-1.315786500744287E-2</v>
      </c>
      <c r="P65" s="12">
        <f t="shared" si="18"/>
        <v>-4.2323602147150474E-2</v>
      </c>
      <c r="Q65" s="12">
        <f t="shared" si="19"/>
        <v>1.0651336319145166E-2</v>
      </c>
      <c r="R65" s="12">
        <f t="shared" si="20"/>
        <v>-2.4193333785558213E-3</v>
      </c>
      <c r="S65" s="12">
        <f t="shared" si="21"/>
        <v>-2.4026456814096875E-5</v>
      </c>
      <c r="T65" s="12">
        <f t="shared" si="22"/>
        <v>-1.1492674108293133E-2</v>
      </c>
      <c r="U65" s="12">
        <f t="shared" si="23"/>
        <v>-5.1141556099470131E-2</v>
      </c>
      <c r="V65" s="19">
        <f t="shared" si="24"/>
        <v>47.135408576638255</v>
      </c>
      <c r="W65" s="19">
        <f t="shared" si="25"/>
        <v>31.940559044413611</v>
      </c>
      <c r="X65" s="19">
        <f t="shared" si="26"/>
        <v>11.129248114921651</v>
      </c>
      <c r="Y65" s="19">
        <f t="shared" si="27"/>
        <v>268.2268584905749</v>
      </c>
      <c r="Z65" s="19">
        <f t="shared" si="28"/>
        <v>15.522355591231179</v>
      </c>
      <c r="AA65" s="19">
        <f t="shared" si="29"/>
        <v>487.19517280707964</v>
      </c>
      <c r="AB65" s="19">
        <f t="shared" si="30"/>
        <v>4515.1396416261205</v>
      </c>
      <c r="AC65" s="19">
        <f t="shared" si="31"/>
        <v>7977.8381863203522</v>
      </c>
      <c r="AD65" s="21">
        <f t="shared" si="32"/>
        <v>-6506.5348881333302</v>
      </c>
      <c r="AE65" s="21">
        <f t="shared" si="33"/>
        <v>-12137.384647542369</v>
      </c>
      <c r="AF65" s="21">
        <f t="shared" si="34"/>
        <v>-43675.977081236975</v>
      </c>
      <c r="AG65" s="21">
        <f t="shared" si="35"/>
        <v>10742.085457543988</v>
      </c>
      <c r="AH65" s="21">
        <f t="shared" si="36"/>
        <v>-1682.7238288327624</v>
      </c>
      <c r="AI65" s="21">
        <f t="shared" si="37"/>
        <v>-40.970492604060382</v>
      </c>
      <c r="AJ65" s="21">
        <f t="shared" si="38"/>
        <v>-15748.298599962891</v>
      </c>
      <c r="AK65" s="21">
        <f t="shared" si="39"/>
        <v>-85997.877087126108</v>
      </c>
      <c r="AL65" s="23">
        <f t="shared" si="40"/>
        <v>-155047.68116789451</v>
      </c>
      <c r="AM65" s="23"/>
    </row>
    <row r="66" spans="1:39" x14ac:dyDescent="0.3">
      <c r="A66" s="13">
        <f t="shared" si="12"/>
        <v>61</v>
      </c>
      <c r="B66" s="1">
        <v>45567</v>
      </c>
      <c r="C66" s="7">
        <v>2024</v>
      </c>
      <c r="D66" s="7">
        <v>4</v>
      </c>
      <c r="E66" s="77">
        <v>19.399999999999999</v>
      </c>
      <c r="F66" s="2">
        <v>49.682636260986328</v>
      </c>
      <c r="G66" s="2">
        <v>38.831859588623047</v>
      </c>
      <c r="H66" s="2">
        <v>11.958513259887701</v>
      </c>
      <c r="I66" s="2">
        <v>261</v>
      </c>
      <c r="J66" s="2">
        <v>12.39999961853027</v>
      </c>
      <c r="K66" s="2">
        <v>414.073974609375</v>
      </c>
      <c r="L66" s="2">
        <v>186.33000183105469</v>
      </c>
      <c r="M66" s="2">
        <v>261.6300048828125</v>
      </c>
      <c r="N66" s="12">
        <f t="shared" si="16"/>
        <v>-3.036893591529144E-3</v>
      </c>
      <c r="O66" s="12">
        <f t="shared" si="17"/>
        <v>-7.5849594974741752E-4</v>
      </c>
      <c r="P66" s="12">
        <f t="shared" si="18"/>
        <v>-1.7128940879169385E-2</v>
      </c>
      <c r="Q66" s="12">
        <f t="shared" si="19"/>
        <v>-3.729108442262774E-2</v>
      </c>
      <c r="R66" s="12">
        <f t="shared" si="20"/>
        <v>-3.8759691068654956E-2</v>
      </c>
      <c r="S66" s="12">
        <f t="shared" si="21"/>
        <v>0</v>
      </c>
      <c r="T66" s="12">
        <f t="shared" si="22"/>
        <v>-2.2728986086148817E-2</v>
      </c>
      <c r="U66" s="12">
        <f t="shared" si="23"/>
        <v>-9.6988097397687767E-3</v>
      </c>
      <c r="V66" s="19">
        <f t="shared" si="24"/>
        <v>47.316602118099176</v>
      </c>
      <c r="W66" s="19">
        <f t="shared" si="25"/>
        <v>32.34188238221757</v>
      </c>
      <c r="X66" s="19">
        <f t="shared" si="26"/>
        <v>11.422037659543854</v>
      </c>
      <c r="Y66" s="19">
        <f t="shared" si="27"/>
        <v>255.5029403183257</v>
      </c>
      <c r="Z66" s="19">
        <f t="shared" si="28"/>
        <v>14.956899610324214</v>
      </c>
      <c r="AA66" s="19">
        <f t="shared" si="29"/>
        <v>487.20687866210938</v>
      </c>
      <c r="AB66" s="19">
        <f t="shared" si="30"/>
        <v>4463.816281335261</v>
      </c>
      <c r="AC66" s="19">
        <f t="shared" si="31"/>
        <v>8326.2816518127402</v>
      </c>
      <c r="AD66" s="21">
        <f t="shared" si="32"/>
        <v>-2882.6640589149119</v>
      </c>
      <c r="AE66" s="21">
        <f t="shared" si="33"/>
        <v>-699.66952012954664</v>
      </c>
      <c r="AF66" s="21">
        <f t="shared" si="34"/>
        <v>-17676.2655187854</v>
      </c>
      <c r="AG66" s="21">
        <f t="shared" si="35"/>
        <v>-37608.803597002967</v>
      </c>
      <c r="AH66" s="21">
        <f t="shared" si="36"/>
        <v>-26958.60617537408</v>
      </c>
      <c r="AI66" s="21">
        <f t="shared" si="37"/>
        <v>0</v>
      </c>
      <c r="AJ66" s="21">
        <f t="shared" si="38"/>
        <v>-31145.306687220727</v>
      </c>
      <c r="AK66" s="21">
        <f t="shared" si="39"/>
        <v>-16309.18398864851</v>
      </c>
      <c r="AL66" s="23">
        <f t="shared" si="40"/>
        <v>-133280.49954607614</v>
      </c>
      <c r="AM66" s="23"/>
    </row>
    <row r="67" spans="1:39" x14ac:dyDescent="0.3">
      <c r="A67" s="13">
        <f t="shared" si="12"/>
        <v>62</v>
      </c>
      <c r="B67" s="1">
        <v>45565</v>
      </c>
      <c r="C67" s="7">
        <v>2024</v>
      </c>
      <c r="D67" s="7">
        <v>4</v>
      </c>
      <c r="E67" s="77">
        <v>19.678000000000001</v>
      </c>
      <c r="F67" s="2">
        <v>49.833976745605469</v>
      </c>
      <c r="G67" s="2">
        <v>38.861335754394531</v>
      </c>
      <c r="H67" s="2">
        <v>12.16691970825195</v>
      </c>
      <c r="I67" s="2">
        <v>271.1099853515625</v>
      </c>
      <c r="J67" s="2">
        <v>12.89999961853027</v>
      </c>
      <c r="K67" s="2">
        <v>414.073974609375</v>
      </c>
      <c r="L67" s="2">
        <v>187.9700012207031</v>
      </c>
      <c r="M67" s="2">
        <v>260.45999145507813</v>
      </c>
      <c r="N67" s="12">
        <f t="shared" si="16"/>
        <v>-1.6809850146357053E-2</v>
      </c>
      <c r="O67" s="12">
        <f t="shared" si="17"/>
        <v>-9.0203351266221476E-3</v>
      </c>
      <c r="P67" s="12">
        <f t="shared" si="18"/>
        <v>-2.5437216602601453E-2</v>
      </c>
      <c r="Q67" s="12">
        <f t="shared" si="19"/>
        <v>-7.2652711847156382E-2</v>
      </c>
      <c r="R67" s="12">
        <f t="shared" si="20"/>
        <v>1.4948826106455204E-2</v>
      </c>
      <c r="S67" s="12">
        <f t="shared" si="21"/>
        <v>1.5911740920334427E-2</v>
      </c>
      <c r="T67" s="12">
        <f t="shared" si="22"/>
        <v>-1.7885426427592832E-2</v>
      </c>
      <c r="U67" s="12">
        <f t="shared" si="23"/>
        <v>2.3297579861264905E-2</v>
      </c>
      <c r="V67" s="19">
        <f t="shared" si="24"/>
        <v>46.662927472462243</v>
      </c>
      <c r="W67" s="19">
        <f t="shared" si="25"/>
        <v>32.07447612473505</v>
      </c>
      <c r="X67" s="19">
        <f t="shared" si="26"/>
        <v>11.325486400537612</v>
      </c>
      <c r="Y67" s="19">
        <f t="shared" si="27"/>
        <v>246.11796461568602</v>
      </c>
      <c r="Z67" s="19">
        <f t="shared" si="28"/>
        <v>15.792604160105919</v>
      </c>
      <c r="AA67" s="19">
        <f t="shared" si="29"/>
        <v>494.95918828998566</v>
      </c>
      <c r="AB67" s="19">
        <f t="shared" si="30"/>
        <v>4485.93988896882</v>
      </c>
      <c r="AC67" s="19">
        <f t="shared" si="31"/>
        <v>8603.7096060687127</v>
      </c>
      <c r="AD67" s="21">
        <f t="shared" si="32"/>
        <v>-15956.156971653571</v>
      </c>
      <c r="AE67" s="21">
        <f t="shared" si="33"/>
        <v>-8320.7478583813663</v>
      </c>
      <c r="AF67" s="21">
        <f t="shared" si="34"/>
        <v>-26250.017318539696</v>
      </c>
      <c r="AG67" s="21">
        <f t="shared" si="35"/>
        <v>-73271.711267033752</v>
      </c>
      <c r="AH67" s="21">
        <f t="shared" si="36"/>
        <v>10397.387199868106</v>
      </c>
      <c r="AI67" s="21">
        <f t="shared" si="37"/>
        <v>27133.083697567003</v>
      </c>
      <c r="AJ67" s="21">
        <f t="shared" si="38"/>
        <v>-24508.224397153026</v>
      </c>
      <c r="AK67" s="21">
        <f t="shared" si="39"/>
        <v>39176.406862545991</v>
      </c>
      <c r="AL67" s="23">
        <f t="shared" si="40"/>
        <v>-71599.980052780316</v>
      </c>
      <c r="AM67" s="23"/>
    </row>
    <row r="68" spans="1:39" x14ac:dyDescent="0.3">
      <c r="A68" s="13">
        <f t="shared" si="12"/>
        <v>63</v>
      </c>
      <c r="B68" s="1">
        <v>45562</v>
      </c>
      <c r="C68" s="7">
        <v>2024</v>
      </c>
      <c r="D68" s="7">
        <v>4</v>
      </c>
      <c r="E68" s="77">
        <v>19.702000000000002</v>
      </c>
      <c r="F68" s="2">
        <v>50.686000823974609</v>
      </c>
      <c r="G68" s="2">
        <v>39.215068817138672</v>
      </c>
      <c r="H68" s="2">
        <v>12.48449039459229</v>
      </c>
      <c r="I68" s="2">
        <v>292.35000610351563</v>
      </c>
      <c r="J68" s="2">
        <v>12.710000038146971</v>
      </c>
      <c r="K68" s="2">
        <v>407.58853149414063</v>
      </c>
      <c r="L68" s="2">
        <v>191.1600036621094</v>
      </c>
      <c r="M68" s="2">
        <v>254.2200012207031</v>
      </c>
      <c r="N68" s="12">
        <f t="shared" si="16"/>
        <v>1.2641411838479888E-2</v>
      </c>
      <c r="O68" s="12">
        <f t="shared" si="17"/>
        <v>2.019429947302176E-2</v>
      </c>
      <c r="P68" s="12">
        <f t="shared" si="18"/>
        <v>5.5955195898886867E-3</v>
      </c>
      <c r="Q68" s="12">
        <f t="shared" si="19"/>
        <v>4.0650744760151625E-2</v>
      </c>
      <c r="R68" s="12">
        <f t="shared" si="20"/>
        <v>2.8317183753370223E-2</v>
      </c>
      <c r="S68" s="12">
        <f t="shared" si="21"/>
        <v>1.6295520141594855E-2</v>
      </c>
      <c r="T68" s="12">
        <f t="shared" si="22"/>
        <v>-2.508514803962747E-3</v>
      </c>
      <c r="U68" s="12">
        <f t="shared" si="23"/>
        <v>-6.3043450292843417E-3</v>
      </c>
      <c r="V68" s="19">
        <f t="shared" si="24"/>
        <v>48.060706022395337</v>
      </c>
      <c r="W68" s="19">
        <f t="shared" si="25"/>
        <v>33.020049614458344</v>
      </c>
      <c r="X68" s="19">
        <f t="shared" si="26"/>
        <v>11.686120766744681</v>
      </c>
      <c r="Y68" s="19">
        <f t="shared" si="27"/>
        <v>276.18870130771614</v>
      </c>
      <c r="Z68" s="19">
        <f t="shared" si="28"/>
        <v>16.000615810701504</v>
      </c>
      <c r="AA68" s="19">
        <f t="shared" si="29"/>
        <v>495.14616816647134</v>
      </c>
      <c r="AB68" s="19">
        <f t="shared" si="30"/>
        <v>4556.1759928591009</v>
      </c>
      <c r="AC68" s="19">
        <f t="shared" si="31"/>
        <v>8354.8217257969027</v>
      </c>
      <c r="AD68" s="21">
        <f t="shared" si="32"/>
        <v>11999.414027008299</v>
      </c>
      <c r="AE68" s="21">
        <f t="shared" si="33"/>
        <v>18628.096598732522</v>
      </c>
      <c r="AF68" s="21">
        <f t="shared" si="34"/>
        <v>5774.3144006480534</v>
      </c>
      <c r="AG68" s="21">
        <f t="shared" si="35"/>
        <v>40997.088162680724</v>
      </c>
      <c r="AH68" s="21">
        <f t="shared" si="36"/>
        <v>19695.507981490773</v>
      </c>
      <c r="AI68" s="21">
        <f t="shared" si="37"/>
        <v>27787.51326526688</v>
      </c>
      <c r="AJ68" s="21">
        <f t="shared" si="38"/>
        <v>-3437.3932300687557</v>
      </c>
      <c r="AK68" s="21">
        <f t="shared" si="39"/>
        <v>-10601.169191816007</v>
      </c>
      <c r="AL68" s="23">
        <f t="shared" si="40"/>
        <v>110843.3720139425</v>
      </c>
      <c r="AM68" s="23"/>
    </row>
    <row r="69" spans="1:39" x14ac:dyDescent="0.3">
      <c r="A69" s="13">
        <f t="shared" ref="A69:A132" si="41">+A70-1</f>
        <v>64</v>
      </c>
      <c r="B69" s="1">
        <v>45561</v>
      </c>
      <c r="C69" s="7">
        <v>2024</v>
      </c>
      <c r="D69" s="7">
        <v>3</v>
      </c>
      <c r="E69" s="77">
        <v>19.611000000000001</v>
      </c>
      <c r="F69" s="2">
        <v>50.053256988525391</v>
      </c>
      <c r="G69" s="2">
        <v>38.438823699951172</v>
      </c>
      <c r="H69" s="2">
        <v>12.415021896362299</v>
      </c>
      <c r="I69" s="2">
        <v>280.92999267578119</v>
      </c>
      <c r="J69" s="2">
        <v>12.35999965667725</v>
      </c>
      <c r="K69" s="2">
        <v>401.05316162109381</v>
      </c>
      <c r="L69" s="2">
        <v>192.5299987792969</v>
      </c>
      <c r="M69" s="2">
        <v>257.01998901367188</v>
      </c>
      <c r="N69" s="12">
        <f t="shared" si="16"/>
        <v>-8.7899408333194096E-3</v>
      </c>
      <c r="O69" s="12">
        <f t="shared" si="17"/>
        <v>-2.5411060273493824E-2</v>
      </c>
      <c r="P69" s="12">
        <f t="shared" si="18"/>
        <v>-5.5643839703767295E-3</v>
      </c>
      <c r="Q69" s="12">
        <f t="shared" si="19"/>
        <v>-5.3916648595650818E-2</v>
      </c>
      <c r="R69" s="12">
        <f t="shared" si="20"/>
        <v>1.8961215174475798E-2</v>
      </c>
      <c r="S69" s="12">
        <f t="shared" si="21"/>
        <v>-1.2432148165630874E-4</v>
      </c>
      <c r="T69" s="12">
        <f t="shared" si="22"/>
        <v>-8.0302648741817917E-3</v>
      </c>
      <c r="U69" s="12">
        <f t="shared" si="23"/>
        <v>1.0145596187703498E-2</v>
      </c>
      <c r="V69" s="19">
        <f t="shared" si="24"/>
        <v>47.043558265667102</v>
      </c>
      <c r="W69" s="19">
        <f t="shared" si="25"/>
        <v>31.543966830724862</v>
      </c>
      <c r="X69" s="19">
        <f t="shared" si="26"/>
        <v>11.556430470586964</v>
      </c>
      <c r="Y69" s="19">
        <f t="shared" si="27"/>
        <v>251.09051568827977</v>
      </c>
      <c r="Z69" s="19">
        <f t="shared" si="28"/>
        <v>15.855036935687986</v>
      </c>
      <c r="AA69" s="19">
        <f t="shared" si="29"/>
        <v>487.14630838108093</v>
      </c>
      <c r="AB69" s="19">
        <f t="shared" si="30"/>
        <v>4530.9546596629025</v>
      </c>
      <c r="AC69" s="19">
        <f t="shared" si="31"/>
        <v>8493.1299951148594</v>
      </c>
      <c r="AD69" s="21">
        <f t="shared" si="32"/>
        <v>-8343.5411075564043</v>
      </c>
      <c r="AE69" s="21">
        <f t="shared" si="33"/>
        <v>-23440.262737671703</v>
      </c>
      <c r="AF69" s="21">
        <f t="shared" si="34"/>
        <v>-5742.1838981572255</v>
      </c>
      <c r="AG69" s="21">
        <f t="shared" si="35"/>
        <v>-54376.017191177518</v>
      </c>
      <c r="AH69" s="21">
        <f t="shared" si="36"/>
        <v>13188.132268386515</v>
      </c>
      <c r="AI69" s="21">
        <f t="shared" si="37"/>
        <v>-211.9959835995644</v>
      </c>
      <c r="AJ69" s="21">
        <f t="shared" si="38"/>
        <v>-11003.793188928285</v>
      </c>
      <c r="AK69" s="21">
        <f t="shared" si="39"/>
        <v>17060.484671775339</v>
      </c>
      <c r="AL69" s="23">
        <f t="shared" si="40"/>
        <v>-72869.177166928857</v>
      </c>
      <c r="AM69" s="23"/>
    </row>
    <row r="70" spans="1:39" x14ac:dyDescent="0.3">
      <c r="A70" s="13">
        <f t="shared" si="41"/>
        <v>65</v>
      </c>
      <c r="B70" s="1">
        <v>45560</v>
      </c>
      <c r="C70" s="7">
        <v>2024</v>
      </c>
      <c r="D70" s="7">
        <v>3</v>
      </c>
      <c r="E70" s="77">
        <v>19.623999999999999</v>
      </c>
      <c r="F70" s="2">
        <v>50.497123718261719</v>
      </c>
      <c r="G70" s="2">
        <v>39.441062927246087</v>
      </c>
      <c r="H70" s="2">
        <v>12.48449039459229</v>
      </c>
      <c r="I70" s="2">
        <v>296.94000244140619</v>
      </c>
      <c r="J70" s="2">
        <v>12.13000011444092</v>
      </c>
      <c r="K70" s="2">
        <v>401.10302734375</v>
      </c>
      <c r="L70" s="2">
        <v>193.96000671386719</v>
      </c>
      <c r="M70" s="2">
        <v>254.27000427246091</v>
      </c>
      <c r="N70" s="12">
        <f t="shared" ref="N70:N133" si="42">F70/F71-1</f>
        <v>2.3741173217002975E-2</v>
      </c>
      <c r="O70" s="12">
        <f t="shared" ref="O70:O133" si="43">G70/G71-1</f>
        <v>1.1847711372362069E-2</v>
      </c>
      <c r="P70" s="12">
        <f t="shared" ref="P70:P133" si="44">H70/H71-1</f>
        <v>3.9905191425200215E-3</v>
      </c>
      <c r="Q70" s="12">
        <f t="shared" ref="Q70:Q133" si="45">I70/I71-1</f>
        <v>7.6649802697983827E-2</v>
      </c>
      <c r="R70" s="12">
        <f t="shared" ref="R70:R133" si="46">J70/J71-1</f>
        <v>-1.7813786253715769E-2</v>
      </c>
      <c r="S70" s="12">
        <f t="shared" ref="S70:S133" si="47">K70/K71-1</f>
        <v>1.3743606324520874E-2</v>
      </c>
      <c r="T70" s="12">
        <f t="shared" ref="T70:T133" si="48">(L70*$E70)/(L71*$E71)-1</f>
        <v>1.6890995801976061E-2</v>
      </c>
      <c r="U70" s="12">
        <f t="shared" ref="U70:U133" si="49">(M70*$E70)/(M71*$E71)-1</f>
        <v>3.3832914916144707E-2</v>
      </c>
      <c r="V70" s="19">
        <f t="shared" ref="V70:V133" si="50">F$5*(1+N70)</f>
        <v>48.58750885930818</v>
      </c>
      <c r="W70" s="19">
        <f t="shared" ref="W70:W133" si="51">G$5*(1+O70)</f>
        <v>32.749900336680966</v>
      </c>
      <c r="X70" s="19">
        <f t="shared" ref="X70:X133" si="52">H$5*(1+P70)</f>
        <v>11.66746890454637</v>
      </c>
      <c r="Y70" s="19">
        <f t="shared" ref="Y70:Y133" si="53">I$5*(1+Q70)</f>
        <v>285.74285106469603</v>
      </c>
      <c r="Z70" s="19">
        <f t="shared" ref="Z70:Z133" si="54">J$5*(1+R70)</f>
        <v>15.282817898033919</v>
      </c>
      <c r="AA70" s="19">
        <f t="shared" ref="AA70:AA133" si="55">K$5*(1+S70)</f>
        <v>493.90285820104003</v>
      </c>
      <c r="AB70" s="19">
        <f t="shared" ref="AB70:AB133" si="56">L$5*$E$5*(1+T70)</f>
        <v>4644.7858565098404</v>
      </c>
      <c r="AC70" s="19">
        <f t="shared" ref="AC70:AC133" si="57">M$5*$E$5*(1+U70)</f>
        <v>8692.2888866208177</v>
      </c>
      <c r="AD70" s="21">
        <f t="shared" ref="AD70:AD133" si="58">(V70-F$5)*AD$2</f>
        <v>22535.47076526516</v>
      </c>
      <c r="AE70" s="21">
        <f t="shared" ref="AE70:AE133" si="59">(W70-G$5)*AE$2</f>
        <v>10928.842182077251</v>
      </c>
      <c r="AF70" s="21">
        <f t="shared" ref="AF70:AF133" si="60">(X70-H$5)*AF$2</f>
        <v>4118.029037438022</v>
      </c>
      <c r="AG70" s="21">
        <f t="shared" ref="AG70:AG133" si="61">(Y70-I$5)*AG$2</f>
        <v>77302.85723920427</v>
      </c>
      <c r="AH70" s="21">
        <f t="shared" ref="AH70:AH133" si="62">(Z70-J$5)*AH$2</f>
        <v>-12390.058714750281</v>
      </c>
      <c r="AI70" s="21">
        <f t="shared" ref="AI70:AI133" si="63">(AA70-K$5)*AI$2</f>
        <v>23435.928386257303</v>
      </c>
      <c r="AJ70" s="21">
        <f t="shared" ref="AJ70:AJ133" si="64">(AB70-L$5*$E$5)*AJ$2</f>
        <v>23145.565865153094</v>
      </c>
      <c r="AK70" s="21">
        <f t="shared" ref="AK70:AK133" si="65">(AC70-M$5*$E$5)*AK$2</f>
        <v>56892.262972967001</v>
      </c>
      <c r="AL70" s="23">
        <f t="shared" ref="AL70:AL133" si="66">SUM(AD70:AK70)</f>
        <v>205968.89773361181</v>
      </c>
      <c r="AM70" s="23"/>
    </row>
    <row r="71" spans="1:39" x14ac:dyDescent="0.3">
      <c r="A71" s="13">
        <f t="shared" si="41"/>
        <v>66</v>
      </c>
      <c r="B71" s="1">
        <v>45559</v>
      </c>
      <c r="C71" s="7">
        <v>2024</v>
      </c>
      <c r="D71" s="7">
        <v>3</v>
      </c>
      <c r="E71" s="77">
        <v>19.306000000000001</v>
      </c>
      <c r="F71" s="2">
        <v>49.326065063476563</v>
      </c>
      <c r="G71" s="2">
        <v>38.979248046875</v>
      </c>
      <c r="H71" s="2">
        <v>12.43486881256104</v>
      </c>
      <c r="I71" s="2">
        <v>275.79998779296881</v>
      </c>
      <c r="J71" s="2">
        <v>12.35000038146973</v>
      </c>
      <c r="K71" s="2">
        <v>395.6651611328125</v>
      </c>
      <c r="L71" s="2">
        <v>193.8800048828125</v>
      </c>
      <c r="M71" s="2">
        <v>250</v>
      </c>
      <c r="N71" s="12">
        <f t="shared" si="42"/>
        <v>1.3420373970762789E-3</v>
      </c>
      <c r="O71" s="12">
        <f t="shared" si="43"/>
        <v>-1.0072856384608642E-3</v>
      </c>
      <c r="P71" s="12">
        <f t="shared" si="44"/>
        <v>-9.486181741580002E-3</v>
      </c>
      <c r="Q71" s="12">
        <f t="shared" si="45"/>
        <v>-2.1347618372509203E-3</v>
      </c>
      <c r="R71" s="12">
        <f t="shared" si="46"/>
        <v>-9.6230860456647527E-3</v>
      </c>
      <c r="S71" s="12">
        <f t="shared" si="47"/>
        <v>8.0071266373697991E-3</v>
      </c>
      <c r="T71" s="12">
        <f t="shared" si="48"/>
        <v>6.2187607108392662E-3</v>
      </c>
      <c r="U71" s="12">
        <f t="shared" si="49"/>
        <v>4.3426845946992643E-2</v>
      </c>
      <c r="V71" s="19">
        <f t="shared" si="50"/>
        <v>47.524429402738505</v>
      </c>
      <c r="W71" s="19">
        <f t="shared" si="51"/>
        <v>32.333829947628267</v>
      </c>
      <c r="X71" s="19">
        <f t="shared" si="52"/>
        <v>11.510854887279153</v>
      </c>
      <c r="Y71" s="19">
        <f t="shared" si="53"/>
        <v>264.83342811790754</v>
      </c>
      <c r="Z71" s="19">
        <f t="shared" si="54"/>
        <v>15.410265196708147</v>
      </c>
      <c r="AA71" s="19">
        <f t="shared" si="55"/>
        <v>491.10800583815455</v>
      </c>
      <c r="AB71" s="19">
        <f t="shared" si="56"/>
        <v>4596.0389929686144</v>
      </c>
      <c r="AC71" s="19">
        <f t="shared" si="57"/>
        <v>8772.9530044635067</v>
      </c>
      <c r="AD71" s="21">
        <f t="shared" si="58"/>
        <v>1273.8816338716674</v>
      </c>
      <c r="AE71" s="21">
        <f t="shared" si="59"/>
        <v>-929.16390592466769</v>
      </c>
      <c r="AF71" s="21">
        <f t="shared" si="60"/>
        <v>-9789.2956958907907</v>
      </c>
      <c r="AG71" s="21">
        <f t="shared" si="61"/>
        <v>-2152.9499585919552</v>
      </c>
      <c r="AH71" s="21">
        <f t="shared" si="62"/>
        <v>-6693.1644640122649</v>
      </c>
      <c r="AI71" s="21">
        <f t="shared" si="63"/>
        <v>13653.945116158127</v>
      </c>
      <c r="AJ71" s="21">
        <f t="shared" si="64"/>
        <v>8521.5068027852794</v>
      </c>
      <c r="AK71" s="21">
        <f t="shared" si="65"/>
        <v>73025.086541504788</v>
      </c>
      <c r="AL71" s="23">
        <f t="shared" si="66"/>
        <v>76909.846069900188</v>
      </c>
      <c r="AM71" s="23"/>
    </row>
    <row r="72" spans="1:39" x14ac:dyDescent="0.3">
      <c r="A72" s="13">
        <f t="shared" si="41"/>
        <v>67</v>
      </c>
      <c r="B72" s="1">
        <v>45558</v>
      </c>
      <c r="C72" s="7">
        <v>2024</v>
      </c>
      <c r="D72" s="7">
        <v>3</v>
      </c>
      <c r="E72" s="77">
        <v>19.414999999999999</v>
      </c>
      <c r="F72" s="2">
        <v>49.259956359863281</v>
      </c>
      <c r="G72" s="2">
        <v>39.018550872802727</v>
      </c>
      <c r="H72" s="2">
        <v>12.553957939147949</v>
      </c>
      <c r="I72" s="2">
        <v>276.3900146484375</v>
      </c>
      <c r="J72" s="2">
        <v>12.47000026702881</v>
      </c>
      <c r="K72" s="2">
        <v>392.52218627929688</v>
      </c>
      <c r="L72" s="2">
        <v>191.6000061035156</v>
      </c>
      <c r="M72" s="2">
        <v>238.25</v>
      </c>
      <c r="N72" s="12">
        <f t="shared" si="42"/>
        <v>-1.0997492952711241E-2</v>
      </c>
      <c r="O72" s="12">
        <f t="shared" si="43"/>
        <v>1.1461973708164486E-2</v>
      </c>
      <c r="P72" s="12">
        <f t="shared" si="44"/>
        <v>2.5952897808341424E-2</v>
      </c>
      <c r="Q72" s="12">
        <f t="shared" si="45"/>
        <v>5.1432342155379063E-2</v>
      </c>
      <c r="R72" s="12">
        <f t="shared" si="46"/>
        <v>-1.500786592996195E-2</v>
      </c>
      <c r="S72" s="12">
        <f t="shared" si="47"/>
        <v>0</v>
      </c>
      <c r="T72" s="12">
        <f t="shared" si="48"/>
        <v>9.6836141418694677E-3</v>
      </c>
      <c r="U72" s="12">
        <f t="shared" si="49"/>
        <v>-2.2691603198664589E-2</v>
      </c>
      <c r="V72" s="19">
        <f t="shared" si="50"/>
        <v>46.938786218821235</v>
      </c>
      <c r="W72" s="19">
        <f t="shared" si="51"/>
        <v>32.737415384729609</v>
      </c>
      <c r="X72" s="19">
        <f t="shared" si="52"/>
        <v>11.922695786939837</v>
      </c>
      <c r="Y72" s="19">
        <f t="shared" si="53"/>
        <v>279.05013719060389</v>
      </c>
      <c r="Z72" s="19">
        <f t="shared" si="54"/>
        <v>15.32647801944894</v>
      </c>
      <c r="AA72" s="19">
        <f t="shared" si="55"/>
        <v>487.20687866210938</v>
      </c>
      <c r="AB72" s="19">
        <f t="shared" si="56"/>
        <v>4611.8651752022724</v>
      </c>
      <c r="AC72" s="19">
        <f t="shared" si="57"/>
        <v>8217.0404847349037</v>
      </c>
      <c r="AD72" s="21">
        <f t="shared" si="58"/>
        <v>-10438.982044473732</v>
      </c>
      <c r="AE72" s="21">
        <f t="shared" si="59"/>
        <v>10573.021051463564</v>
      </c>
      <c r="AF72" s="21">
        <f t="shared" si="60"/>
        <v>26782.176193977903</v>
      </c>
      <c r="AG72" s="21">
        <f t="shared" si="61"/>
        <v>51870.544517654162</v>
      </c>
      <c r="AH72" s="21">
        <f t="shared" si="62"/>
        <v>-10438.451287498834</v>
      </c>
      <c r="AI72" s="21">
        <f t="shared" si="63"/>
        <v>0</v>
      </c>
      <c r="AJ72" s="21">
        <f t="shared" si="64"/>
        <v>13269.361472882701</v>
      </c>
      <c r="AK72" s="21">
        <f t="shared" si="65"/>
        <v>-38157.417404215812</v>
      </c>
      <c r="AL72" s="23">
        <f t="shared" si="66"/>
        <v>43460.25249978996</v>
      </c>
      <c r="AM72" s="23"/>
    </row>
    <row r="73" spans="1:39" x14ac:dyDescent="0.3">
      <c r="A73" s="13">
        <f t="shared" si="41"/>
        <v>68</v>
      </c>
      <c r="B73" s="1">
        <v>45555</v>
      </c>
      <c r="C73" s="7">
        <v>2024</v>
      </c>
      <c r="D73" s="7">
        <v>3</v>
      </c>
      <c r="E73" s="77">
        <v>19.404</v>
      </c>
      <c r="F73" s="2">
        <v>49.807716369628913</v>
      </c>
      <c r="G73" s="2">
        <v>38.576389312744141</v>
      </c>
      <c r="H73" s="2">
        <v>12.23638820648193</v>
      </c>
      <c r="I73" s="2">
        <v>262.8699951171875</v>
      </c>
      <c r="J73" s="2">
        <v>12.659999847412109</v>
      </c>
      <c r="K73" s="2">
        <v>392.52218627929688</v>
      </c>
      <c r="L73" s="2">
        <v>189.8699951171875</v>
      </c>
      <c r="M73" s="2">
        <v>243.91999816894531</v>
      </c>
      <c r="N73" s="12">
        <f t="shared" si="42"/>
        <v>4.3802809739896809E-3</v>
      </c>
      <c r="O73" s="12">
        <f t="shared" si="43"/>
        <v>-1.2078497435622171E-2</v>
      </c>
      <c r="P73" s="12">
        <f t="shared" si="44"/>
        <v>2.921542073290917E-2</v>
      </c>
      <c r="Q73" s="12">
        <f t="shared" si="45"/>
        <v>2.5593997975416727E-2</v>
      </c>
      <c r="R73" s="12">
        <f t="shared" si="46"/>
        <v>-2.1638310823105744E-2</v>
      </c>
      <c r="S73" s="12">
        <f t="shared" si="47"/>
        <v>2.0492900716184481E-2</v>
      </c>
      <c r="T73" s="12">
        <f t="shared" si="48"/>
        <v>2.3940011099035319E-2</v>
      </c>
      <c r="U73" s="12">
        <f t="shared" si="49"/>
        <v>7.9376712226415735E-2</v>
      </c>
      <c r="V73" s="19">
        <f t="shared" si="50"/>
        <v>47.668626676983259</v>
      </c>
      <c r="W73" s="19">
        <f t="shared" si="51"/>
        <v>31.975494321734967</v>
      </c>
      <c r="X73" s="19">
        <f t="shared" si="52"/>
        <v>11.960609874819149</v>
      </c>
      <c r="Y73" s="19">
        <f t="shared" si="53"/>
        <v>272.19264080294658</v>
      </c>
      <c r="Z73" s="19">
        <f t="shared" si="54"/>
        <v>15.223308294129378</v>
      </c>
      <c r="AA73" s="19">
        <f t="shared" si="55"/>
        <v>497.19116085477413</v>
      </c>
      <c r="AB73" s="19">
        <f t="shared" si="56"/>
        <v>4676.9831782378005</v>
      </c>
      <c r="AC73" s="19">
        <f t="shared" si="57"/>
        <v>9075.2132813685803</v>
      </c>
      <c r="AD73" s="21">
        <f t="shared" si="58"/>
        <v>4157.8271187667324</v>
      </c>
      <c r="AE73" s="21">
        <f t="shared" si="59"/>
        <v>-11141.729243883721</v>
      </c>
      <c r="AF73" s="21">
        <f t="shared" si="60"/>
        <v>30148.947197660775</v>
      </c>
      <c r="AG73" s="21">
        <f t="shared" si="61"/>
        <v>25812.058244556396</v>
      </c>
      <c r="AH73" s="21">
        <f t="shared" si="62"/>
        <v>-15050.138009283257</v>
      </c>
      <c r="AI73" s="21">
        <f t="shared" si="63"/>
        <v>34944.987674326629</v>
      </c>
      <c r="AJ73" s="21">
        <f t="shared" si="64"/>
        <v>32804.762383541129</v>
      </c>
      <c r="AK73" s="21">
        <f t="shared" si="65"/>
        <v>133477.14192251951</v>
      </c>
      <c r="AL73" s="23">
        <f t="shared" si="66"/>
        <v>235153.85728820419</v>
      </c>
      <c r="AM73" s="23"/>
    </row>
    <row r="74" spans="1:39" x14ac:dyDescent="0.3">
      <c r="A74" s="13">
        <f t="shared" si="41"/>
        <v>69</v>
      </c>
      <c r="B74" s="1">
        <v>45554</v>
      </c>
      <c r="C74" s="7">
        <v>2024</v>
      </c>
      <c r="D74" s="7">
        <v>3</v>
      </c>
      <c r="E74" s="77">
        <v>19.3</v>
      </c>
      <c r="F74" s="2">
        <v>49.590496063232422</v>
      </c>
      <c r="G74" s="2">
        <v>39.048030853271477</v>
      </c>
      <c r="H74" s="2">
        <v>11.88904476165771</v>
      </c>
      <c r="I74" s="2">
        <v>256.30999755859381</v>
      </c>
      <c r="J74" s="2">
        <v>12.939999580383301</v>
      </c>
      <c r="K74" s="2">
        <v>384.63980102539063</v>
      </c>
      <c r="L74" s="2">
        <v>186.42999267578119</v>
      </c>
      <c r="M74" s="2">
        <v>227.19999694824219</v>
      </c>
      <c r="N74" s="12">
        <f t="shared" si="42"/>
        <v>6.5171961175554127E-3</v>
      </c>
      <c r="O74" s="12">
        <f t="shared" si="43"/>
        <v>-6.2515763641779465E-3</v>
      </c>
      <c r="P74" s="12">
        <f t="shared" si="44"/>
        <v>1.9574348296633293E-2</v>
      </c>
      <c r="Q74" s="12">
        <f t="shared" si="45"/>
        <v>-6.2037380512457441E-3</v>
      </c>
      <c r="R74" s="12">
        <f t="shared" si="46"/>
        <v>0</v>
      </c>
      <c r="S74" s="12">
        <f t="shared" si="47"/>
        <v>-1.1563967469126579E-2</v>
      </c>
      <c r="T74" s="12">
        <f t="shared" si="48"/>
        <v>-1.5285449572149945E-3</v>
      </c>
      <c r="U74" s="12">
        <f t="shared" si="49"/>
        <v>-2.0612515847953095E-3</v>
      </c>
      <c r="V74" s="19">
        <f t="shared" si="50"/>
        <v>47.770046241015564</v>
      </c>
      <c r="W74" s="19">
        <f t="shared" si="51"/>
        <v>32.16409096747001</v>
      </c>
      <c r="X74" s="19">
        <f t="shared" si="52"/>
        <v>11.848570058992202</v>
      </c>
      <c r="Y74" s="19">
        <f t="shared" si="53"/>
        <v>263.75352185554834</v>
      </c>
      <c r="Z74" s="19">
        <f t="shared" si="54"/>
        <v>15.560000419616699</v>
      </c>
      <c r="AA74" s="19">
        <f t="shared" si="55"/>
        <v>481.57283416652604</v>
      </c>
      <c r="AB74" s="19">
        <f t="shared" si="56"/>
        <v>4560.6521364209684</v>
      </c>
      <c r="AC74" s="19">
        <f t="shared" si="57"/>
        <v>8390.4969238490157</v>
      </c>
      <c r="AD74" s="21">
        <f t="shared" si="58"/>
        <v>6186.2183994128372</v>
      </c>
      <c r="AE74" s="21">
        <f t="shared" si="59"/>
        <v>-5766.724840435003</v>
      </c>
      <c r="AF74" s="21">
        <f t="shared" si="60"/>
        <v>20199.811552227911</v>
      </c>
      <c r="AG74" s="21">
        <f t="shared" si="61"/>
        <v>-6256.5937555569235</v>
      </c>
      <c r="AH74" s="21">
        <f t="shared" si="62"/>
        <v>0</v>
      </c>
      <c r="AI74" s="21">
        <f t="shared" si="63"/>
        <v>-19719.155734541688</v>
      </c>
      <c r="AJ74" s="21">
        <f t="shared" si="64"/>
        <v>-2094.550161508505</v>
      </c>
      <c r="AK74" s="21">
        <f t="shared" si="65"/>
        <v>-3466.1295813933975</v>
      </c>
      <c r="AL74" s="23">
        <f t="shared" si="66"/>
        <v>-10917.12412179477</v>
      </c>
      <c r="AM74" s="23"/>
    </row>
    <row r="75" spans="1:39" x14ac:dyDescent="0.3">
      <c r="A75" s="13">
        <f t="shared" si="41"/>
        <v>70</v>
      </c>
      <c r="B75" s="1">
        <v>45553</v>
      </c>
      <c r="C75" s="7">
        <v>2024</v>
      </c>
      <c r="D75" s="7">
        <v>3</v>
      </c>
      <c r="E75" s="77">
        <v>19.283000000000001</v>
      </c>
      <c r="F75" s="2">
        <v>49.269397735595703</v>
      </c>
      <c r="G75" s="2">
        <v>39.293678283691413</v>
      </c>
      <c r="H75" s="2">
        <v>11.660792350769039</v>
      </c>
      <c r="I75" s="2">
        <v>257.91000366210938</v>
      </c>
      <c r="J75" s="2">
        <v>12.939999580383301</v>
      </c>
      <c r="K75" s="2">
        <v>389.13980102539063</v>
      </c>
      <c r="L75" s="2">
        <v>186.8800048828125</v>
      </c>
      <c r="M75" s="2">
        <v>227.8699951171875</v>
      </c>
      <c r="N75" s="12">
        <f t="shared" si="42"/>
        <v>5.3959258027898027E-3</v>
      </c>
      <c r="O75" s="12">
        <f t="shared" si="43"/>
        <v>4.0593398558226079E-2</v>
      </c>
      <c r="P75" s="12">
        <f t="shared" si="44"/>
        <v>1.3805137948980972E-2</v>
      </c>
      <c r="Q75" s="12">
        <f t="shared" si="45"/>
        <v>3.5159582501392839E-2</v>
      </c>
      <c r="R75" s="12">
        <f t="shared" si="46"/>
        <v>3.7690401226148085E-2</v>
      </c>
      <c r="S75" s="12">
        <f t="shared" si="47"/>
        <v>-4.8756040979931026E-2</v>
      </c>
      <c r="T75" s="12">
        <f t="shared" si="48"/>
        <v>1.2116373228501898E-2</v>
      </c>
      <c r="U75" s="12">
        <f t="shared" si="49"/>
        <v>-6.0942026417820649E-4</v>
      </c>
      <c r="V75" s="19">
        <f t="shared" si="50"/>
        <v>47.716829927383124</v>
      </c>
      <c r="W75" s="19">
        <f t="shared" si="51"/>
        <v>33.6802956717355</v>
      </c>
      <c r="X75" s="19">
        <f t="shared" si="52"/>
        <v>11.781525519176716</v>
      </c>
      <c r="Y75" s="19">
        <f t="shared" si="53"/>
        <v>274.73134687775695</v>
      </c>
      <c r="Z75" s="19">
        <f t="shared" si="54"/>
        <v>16.146463078511086</v>
      </c>
      <c r="AA75" s="19">
        <f t="shared" si="55"/>
        <v>463.45260012035527</v>
      </c>
      <c r="AB75" s="19">
        <f t="shared" si="56"/>
        <v>4622.9771282479132</v>
      </c>
      <c r="AC75" s="19">
        <f t="shared" si="57"/>
        <v>8402.7036712560384</v>
      </c>
      <c r="AD75" s="21">
        <f t="shared" si="58"/>
        <v>5121.892126764038</v>
      </c>
      <c r="AE75" s="21">
        <f t="shared" si="59"/>
        <v>37445.109231131479</v>
      </c>
      <c r="AF75" s="21">
        <f t="shared" si="60"/>
        <v>14246.256416612776</v>
      </c>
      <c r="AG75" s="21">
        <f t="shared" si="61"/>
        <v>35459.14132883578</v>
      </c>
      <c r="AH75" s="21">
        <f t="shared" si="62"/>
        <v>26214.880852579103</v>
      </c>
      <c r="AI75" s="21">
        <f t="shared" si="63"/>
        <v>-83139.974896139363</v>
      </c>
      <c r="AJ75" s="21">
        <f t="shared" si="64"/>
        <v>16602.947386574942</v>
      </c>
      <c r="AK75" s="21">
        <f t="shared" si="65"/>
        <v>-1024.7800999888568</v>
      </c>
      <c r="AL75" s="23">
        <f t="shared" si="66"/>
        <v>50925.472346369905</v>
      </c>
      <c r="AM75" s="23"/>
    </row>
    <row r="76" spans="1:39" x14ac:dyDescent="0.3">
      <c r="A76" s="13">
        <f t="shared" si="41"/>
        <v>71</v>
      </c>
      <c r="B76" s="1">
        <v>45552</v>
      </c>
      <c r="C76" s="7">
        <v>2024</v>
      </c>
      <c r="D76" s="7">
        <v>3</v>
      </c>
      <c r="E76" s="77">
        <v>19.091999999999999</v>
      </c>
      <c r="F76" s="2">
        <v>49.004970550537109</v>
      </c>
      <c r="G76" s="2">
        <v>37.760837554931641</v>
      </c>
      <c r="H76" s="2">
        <v>11.502005577087401</v>
      </c>
      <c r="I76" s="2">
        <v>249.1499938964844</v>
      </c>
      <c r="J76" s="2">
        <v>12.47000026702881</v>
      </c>
      <c r="K76" s="2">
        <v>409.08517456054688</v>
      </c>
      <c r="L76" s="2">
        <v>186.49000549316409</v>
      </c>
      <c r="M76" s="2">
        <v>230.28999328613281</v>
      </c>
      <c r="N76" s="12">
        <f t="shared" si="42"/>
        <v>-1.5392312377824346E-3</v>
      </c>
      <c r="O76" s="12">
        <f t="shared" si="43"/>
        <v>-2.1639559110155471E-2</v>
      </c>
      <c r="P76" s="12">
        <f t="shared" si="44"/>
        <v>-6.0035087774243934E-3</v>
      </c>
      <c r="Q76" s="12">
        <f t="shared" si="45"/>
        <v>3.4332401386720557E-2</v>
      </c>
      <c r="R76" s="12">
        <f t="shared" si="46"/>
        <v>-2.1960763370289405E-2</v>
      </c>
      <c r="S76" s="12">
        <f t="shared" si="47"/>
        <v>2.7543107105874265E-2</v>
      </c>
      <c r="T76" s="12">
        <f t="shared" si="48"/>
        <v>-7.6650091248032792E-3</v>
      </c>
      <c r="U76" s="12">
        <f t="shared" si="49"/>
        <v>-2.8729472373306697E-3</v>
      </c>
      <c r="V76" s="19">
        <f t="shared" si="50"/>
        <v>47.387682274670645</v>
      </c>
      <c r="W76" s="19">
        <f t="shared" si="51"/>
        <v>31.666036867382338</v>
      </c>
      <c r="X76" s="19">
        <f t="shared" si="52"/>
        <v>11.551327359617531</v>
      </c>
      <c r="Y76" s="19">
        <f t="shared" si="53"/>
        <v>274.51181301497166</v>
      </c>
      <c r="Z76" s="19">
        <f t="shared" si="54"/>
        <v>15.218290932359894</v>
      </c>
      <c r="AA76" s="19">
        <f t="shared" si="55"/>
        <v>500.62606990381852</v>
      </c>
      <c r="AB76" s="19">
        <f t="shared" si="56"/>
        <v>4532.623014231609</v>
      </c>
      <c r="AC76" s="19">
        <f t="shared" si="57"/>
        <v>8383.6723267617544</v>
      </c>
      <c r="AD76" s="21">
        <f t="shared" si="58"/>
        <v>-1461.0609274855335</v>
      </c>
      <c r="AE76" s="21">
        <f t="shared" si="59"/>
        <v>-19961.266692933634</v>
      </c>
      <c r="AF76" s="21">
        <f t="shared" si="60"/>
        <v>-6195.3401522428603</v>
      </c>
      <c r="AG76" s="21">
        <f t="shared" si="61"/>
        <v>34624.912650251703</v>
      </c>
      <c r="AH76" s="21">
        <f t="shared" si="62"/>
        <v>-15274.414080379202</v>
      </c>
      <c r="AI76" s="21">
        <f t="shared" si="63"/>
        <v>46967.169345982002</v>
      </c>
      <c r="AJ76" s="21">
        <f t="shared" si="64"/>
        <v>-10503.286818316337</v>
      </c>
      <c r="AK76" s="21">
        <f t="shared" si="65"/>
        <v>-4831.0489988456538</v>
      </c>
      <c r="AL76" s="23">
        <f t="shared" si="66"/>
        <v>23365.664326030485</v>
      </c>
      <c r="AM76" s="23"/>
    </row>
    <row r="77" spans="1:39" x14ac:dyDescent="0.3">
      <c r="A77" s="13">
        <f t="shared" si="41"/>
        <v>72</v>
      </c>
      <c r="B77" s="1">
        <v>45548</v>
      </c>
      <c r="C77" s="7">
        <v>2024</v>
      </c>
      <c r="D77" s="7">
        <v>3</v>
      </c>
      <c r="E77" s="77">
        <v>19.187000000000001</v>
      </c>
      <c r="F77" s="2">
        <v>49.080516815185547</v>
      </c>
      <c r="G77" s="2">
        <v>38.596038818359382</v>
      </c>
      <c r="H77" s="2">
        <v>11.571475028991699</v>
      </c>
      <c r="I77" s="2">
        <v>240.8800048828125</v>
      </c>
      <c r="J77" s="2">
        <v>12.75</v>
      </c>
      <c r="K77" s="2">
        <v>398.11972045898438</v>
      </c>
      <c r="L77" s="2">
        <v>187</v>
      </c>
      <c r="M77" s="2">
        <v>229.80999755859381</v>
      </c>
      <c r="N77" s="12">
        <f t="shared" si="42"/>
        <v>1.5039209791020136E-2</v>
      </c>
      <c r="O77" s="12">
        <f t="shared" si="43"/>
        <v>2.5052165839753782E-2</v>
      </c>
      <c r="P77" s="12">
        <f t="shared" si="44"/>
        <v>2.2807112191593815E-2</v>
      </c>
      <c r="Q77" s="12">
        <f t="shared" si="45"/>
        <v>2.0461774067402239E-2</v>
      </c>
      <c r="R77" s="12">
        <f t="shared" si="46"/>
        <v>7.1090168777756535E-3</v>
      </c>
      <c r="S77" s="12">
        <f t="shared" si="47"/>
        <v>0</v>
      </c>
      <c r="T77" s="12">
        <f t="shared" si="48"/>
        <v>-3.3378701327666516E-3</v>
      </c>
      <c r="U77" s="12">
        <f t="shared" si="49"/>
        <v>-9.3133412897111745E-3</v>
      </c>
      <c r="V77" s="19">
        <f t="shared" si="50"/>
        <v>48.174507276374193</v>
      </c>
      <c r="W77" s="19">
        <f t="shared" si="51"/>
        <v>33.177281416804973</v>
      </c>
      <c r="X77" s="19">
        <f t="shared" si="52"/>
        <v>11.886138314370157</v>
      </c>
      <c r="Y77" s="19">
        <f t="shared" si="53"/>
        <v>270.83054860908419</v>
      </c>
      <c r="Z77" s="19">
        <f t="shared" si="54"/>
        <v>15.67061672521795</v>
      </c>
      <c r="AA77" s="19">
        <f t="shared" si="55"/>
        <v>487.20687866210938</v>
      </c>
      <c r="AB77" s="19">
        <f t="shared" si="56"/>
        <v>4552.3878012858131</v>
      </c>
      <c r="AC77" s="19">
        <f t="shared" si="57"/>
        <v>8329.522604075175</v>
      </c>
      <c r="AD77" s="21">
        <f t="shared" si="58"/>
        <v>14275.439106585423</v>
      </c>
      <c r="AE77" s="21">
        <f t="shared" si="59"/>
        <v>23109.202965611461</v>
      </c>
      <c r="AF77" s="21">
        <f t="shared" si="60"/>
        <v>23535.872629790359</v>
      </c>
      <c r="AG77" s="21">
        <f t="shared" si="61"/>
        <v>20636.107907879297</v>
      </c>
      <c r="AH77" s="21">
        <f t="shared" si="62"/>
        <v>4944.5488603759304</v>
      </c>
      <c r="AI77" s="21">
        <f t="shared" si="63"/>
        <v>0</v>
      </c>
      <c r="AJ77" s="21">
        <f t="shared" si="64"/>
        <v>-4573.8507020550969</v>
      </c>
      <c r="AK77" s="21">
        <f t="shared" si="65"/>
        <v>-15660.99353616155</v>
      </c>
      <c r="AL77" s="23">
        <f t="shared" si="66"/>
        <v>66266.327232025826</v>
      </c>
      <c r="AM77" s="23"/>
    </row>
    <row r="78" spans="1:39" x14ac:dyDescent="0.3">
      <c r="A78" s="13">
        <f t="shared" si="41"/>
        <v>73</v>
      </c>
      <c r="B78" s="1">
        <v>45547</v>
      </c>
      <c r="C78" s="7">
        <v>2024</v>
      </c>
      <c r="D78" s="7">
        <v>3</v>
      </c>
      <c r="E78" s="77">
        <v>19.510000000000002</v>
      </c>
      <c r="F78" s="2">
        <v>48.353321075439453</v>
      </c>
      <c r="G78" s="2">
        <v>37.652755737304688</v>
      </c>
      <c r="H78" s="2">
        <v>11.31344795227051</v>
      </c>
      <c r="I78" s="2">
        <v>236.05000305175781</v>
      </c>
      <c r="J78" s="2">
        <v>12.659999847412109</v>
      </c>
      <c r="K78" s="2">
        <v>398.11972045898438</v>
      </c>
      <c r="L78" s="2">
        <v>184.52000427246091</v>
      </c>
      <c r="M78" s="2">
        <v>228.1300048828125</v>
      </c>
      <c r="N78" s="12">
        <f t="shared" si="42"/>
        <v>6.0913791000072326E-3</v>
      </c>
      <c r="O78" s="12">
        <f t="shared" si="43"/>
        <v>-5.2158882578723365E-4</v>
      </c>
      <c r="P78" s="12">
        <f t="shared" si="44"/>
        <v>1.4234755264239674E-2</v>
      </c>
      <c r="Q78" s="12">
        <f t="shared" si="45"/>
        <v>-8.1098945727812177E-3</v>
      </c>
      <c r="R78" s="12">
        <f t="shared" si="46"/>
        <v>2.0145044566792114E-2</v>
      </c>
      <c r="S78" s="12">
        <f t="shared" si="47"/>
        <v>0</v>
      </c>
      <c r="T78" s="12">
        <f t="shared" si="48"/>
        <v>1.3344941294529455E-2</v>
      </c>
      <c r="U78" s="12">
        <f t="shared" si="49"/>
        <v>-5.4040649734993229E-3</v>
      </c>
      <c r="V78" s="19">
        <f t="shared" si="50"/>
        <v>47.749836652250508</v>
      </c>
      <c r="W78" s="19">
        <f t="shared" si="51"/>
        <v>32.349550220580539</v>
      </c>
      <c r="X78" s="19">
        <f t="shared" si="52"/>
        <v>11.786518142683676</v>
      </c>
      <c r="Y78" s="19">
        <f t="shared" si="53"/>
        <v>263.2476279263671</v>
      </c>
      <c r="Z78" s="19">
        <f t="shared" si="54"/>
        <v>15.873457321529182</v>
      </c>
      <c r="AA78" s="19">
        <f t="shared" si="55"/>
        <v>487.20687866210938</v>
      </c>
      <c r="AB78" s="19">
        <f t="shared" si="56"/>
        <v>4628.5887774811172</v>
      </c>
      <c r="AC78" s="19">
        <f t="shared" si="57"/>
        <v>8362.3911252722337</v>
      </c>
      <c r="AD78" s="21">
        <f t="shared" si="58"/>
        <v>5782.0266241117224</v>
      </c>
      <c r="AE78" s="21">
        <f t="shared" si="59"/>
        <v>-481.13612678490722</v>
      </c>
      <c r="AF78" s="21">
        <f t="shared" si="60"/>
        <v>14689.601384030781</v>
      </c>
      <c r="AG78" s="21">
        <f t="shared" si="61"/>
        <v>-8178.9906864456389</v>
      </c>
      <c r="AH78" s="21">
        <f t="shared" si="62"/>
        <v>14011.523515487985</v>
      </c>
      <c r="AI78" s="21">
        <f t="shared" si="63"/>
        <v>0</v>
      </c>
      <c r="AJ78" s="21">
        <f t="shared" si="64"/>
        <v>18286.442156536123</v>
      </c>
      <c r="AK78" s="21">
        <f t="shared" si="65"/>
        <v>-9087.2892967498046</v>
      </c>
      <c r="AL78" s="23">
        <f t="shared" si="66"/>
        <v>35022.177570186264</v>
      </c>
      <c r="AM78" s="23"/>
    </row>
    <row r="79" spans="1:39" x14ac:dyDescent="0.3">
      <c r="A79" s="13">
        <f t="shared" si="41"/>
        <v>74</v>
      </c>
      <c r="B79" s="1">
        <v>45546</v>
      </c>
      <c r="C79" s="7">
        <v>2024</v>
      </c>
      <c r="D79" s="7">
        <v>3</v>
      </c>
      <c r="E79" s="77">
        <v>19.786000000000001</v>
      </c>
      <c r="F79" s="2">
        <v>48.060565948486328</v>
      </c>
      <c r="G79" s="2">
        <v>37.672405242919922</v>
      </c>
      <c r="H79" s="2">
        <v>11.15466403961182</v>
      </c>
      <c r="I79" s="2">
        <v>237.97999572753909</v>
      </c>
      <c r="J79" s="2">
        <v>12.409999847412109</v>
      </c>
      <c r="K79" s="2">
        <v>398.11972045898438</v>
      </c>
      <c r="L79" s="2">
        <v>179.55000305175781</v>
      </c>
      <c r="M79" s="2">
        <v>226.16999816894531</v>
      </c>
      <c r="N79" s="12">
        <f t="shared" si="42"/>
        <v>-4.3044263554654627E-3</v>
      </c>
      <c r="O79" s="12">
        <f t="shared" si="43"/>
        <v>7.8480943816548576E-2</v>
      </c>
      <c r="P79" s="12">
        <f t="shared" si="44"/>
        <v>-3.5460482357632106E-3</v>
      </c>
      <c r="Q79" s="12">
        <f t="shared" si="45"/>
        <v>2.1066581923988581E-2</v>
      </c>
      <c r="R79" s="12">
        <f t="shared" si="46"/>
        <v>2.3083242401444437E-2</v>
      </c>
      <c r="S79" s="12">
        <f t="shared" si="47"/>
        <v>0</v>
      </c>
      <c r="T79" s="12">
        <f t="shared" si="48"/>
        <v>7.9445554769537186E-3</v>
      </c>
      <c r="U79" s="12">
        <f t="shared" si="49"/>
        <v>2.9720848954971402E-2</v>
      </c>
      <c r="V79" s="19">
        <f t="shared" si="50"/>
        <v>47.256444081079245</v>
      </c>
      <c r="W79" s="19">
        <f t="shared" si="51"/>
        <v>34.906580336182337</v>
      </c>
      <c r="X79" s="19">
        <f t="shared" si="52"/>
        <v>11.579885741302718</v>
      </c>
      <c r="Y79" s="19">
        <f t="shared" si="53"/>
        <v>270.99106461053071</v>
      </c>
      <c r="Z79" s="19">
        <f t="shared" si="54"/>
        <v>15.919175681069289</v>
      </c>
      <c r="AA79" s="19">
        <f t="shared" si="55"/>
        <v>487.20687866210938</v>
      </c>
      <c r="AB79" s="19">
        <f t="shared" si="56"/>
        <v>4603.9217917680717</v>
      </c>
      <c r="AC79" s="19">
        <f t="shared" si="57"/>
        <v>8657.715345055587</v>
      </c>
      <c r="AD79" s="21">
        <f t="shared" si="58"/>
        <v>-4085.8247993135419</v>
      </c>
      <c r="AE79" s="21">
        <f t="shared" si="59"/>
        <v>72394.222167866319</v>
      </c>
      <c r="AF79" s="21">
        <f t="shared" si="60"/>
        <v>-3659.3558585982664</v>
      </c>
      <c r="AG79" s="21">
        <f t="shared" si="61"/>
        <v>21246.068713376088</v>
      </c>
      <c r="AH79" s="21">
        <f t="shared" si="62"/>
        <v>16055.134186930765</v>
      </c>
      <c r="AI79" s="21">
        <f t="shared" si="63"/>
        <v>0</v>
      </c>
      <c r="AJ79" s="21">
        <f t="shared" si="64"/>
        <v>10886.346442622471</v>
      </c>
      <c r="AK79" s="21">
        <f t="shared" si="65"/>
        <v>49977.554659920861</v>
      </c>
      <c r="AL79" s="23">
        <f t="shared" si="66"/>
        <v>162814.14551280468</v>
      </c>
      <c r="AM79" s="23"/>
    </row>
    <row r="80" spans="1:39" x14ac:dyDescent="0.3">
      <c r="A80" s="13">
        <f t="shared" si="41"/>
        <v>75</v>
      </c>
      <c r="B80" s="1">
        <v>45545</v>
      </c>
      <c r="C80" s="7">
        <v>2024</v>
      </c>
      <c r="D80" s="7">
        <v>3</v>
      </c>
      <c r="E80" s="77">
        <v>20.0945</v>
      </c>
      <c r="F80" s="2">
        <v>48.268333435058587</v>
      </c>
      <c r="G80" s="2">
        <v>34.930988311767578</v>
      </c>
      <c r="H80" s="2">
        <v>11.19435977935791</v>
      </c>
      <c r="I80" s="2">
        <v>233.07000732421881</v>
      </c>
      <c r="J80" s="2">
        <v>12.13000011444092</v>
      </c>
      <c r="K80" s="2">
        <v>398.11972045898438</v>
      </c>
      <c r="L80" s="2">
        <v>175.3999938964844</v>
      </c>
      <c r="M80" s="2">
        <v>216.27000427246091</v>
      </c>
      <c r="N80" s="12">
        <f t="shared" si="42"/>
        <v>3.913568174831461E-4</v>
      </c>
      <c r="O80" s="12">
        <f t="shared" si="43"/>
        <v>4.3133829792008971E-2</v>
      </c>
      <c r="P80" s="12">
        <f t="shared" si="44"/>
        <v>-9.657623788188352E-3</v>
      </c>
      <c r="Q80" s="12">
        <f t="shared" si="45"/>
        <v>1.2951501733052373E-2</v>
      </c>
      <c r="R80" s="12">
        <f t="shared" si="46"/>
        <v>2.6226770526266874E-2</v>
      </c>
      <c r="S80" s="12">
        <f t="shared" si="47"/>
        <v>-4.9625308403878909E-3</v>
      </c>
      <c r="T80" s="12">
        <f t="shared" si="48"/>
        <v>3.4387052317896849E-2</v>
      </c>
      <c r="U80" s="12">
        <f t="shared" si="49"/>
        <v>3.7310823717297881E-2</v>
      </c>
      <c r="V80" s="19">
        <f t="shared" si="50"/>
        <v>47.479309403375574</v>
      </c>
      <c r="W80" s="19">
        <f t="shared" si="51"/>
        <v>33.762520366996945</v>
      </c>
      <c r="X80" s="19">
        <f t="shared" si="52"/>
        <v>11.508862543019324</v>
      </c>
      <c r="Y80" s="19">
        <f t="shared" si="53"/>
        <v>268.83732237738678</v>
      </c>
      <c r="Z80" s="19">
        <f t="shared" si="54"/>
        <v>15.968088980010602</v>
      </c>
      <c r="AA80" s="19">
        <f t="shared" si="55"/>
        <v>484.78909950109954</v>
      </c>
      <c r="AB80" s="19">
        <f t="shared" si="56"/>
        <v>4724.7014385981201</v>
      </c>
      <c r="AC80" s="19">
        <f t="shared" si="57"/>
        <v>8721.5305441312066</v>
      </c>
      <c r="AD80" s="21">
        <f t="shared" si="58"/>
        <v>371.4816466130344</v>
      </c>
      <c r="AE80" s="21">
        <f t="shared" si="59"/>
        <v>39788.513046082655</v>
      </c>
      <c r="AF80" s="21">
        <f t="shared" si="60"/>
        <v>-9966.2158661636131</v>
      </c>
      <c r="AG80" s="21">
        <f t="shared" si="61"/>
        <v>13061.848227429153</v>
      </c>
      <c r="AH80" s="21">
        <f t="shared" si="62"/>
        <v>18241.558649607468</v>
      </c>
      <c r="AI80" s="21">
        <f t="shared" si="63"/>
        <v>-8462.2270635344139</v>
      </c>
      <c r="AJ80" s="21">
        <f t="shared" si="64"/>
        <v>47120.240491637014</v>
      </c>
      <c r="AK80" s="21">
        <f t="shared" si="65"/>
        <v>62740.594475044782</v>
      </c>
      <c r="AL80" s="23">
        <f t="shared" si="66"/>
        <v>162895.79360671609</v>
      </c>
      <c r="AM80" s="23"/>
    </row>
    <row r="81" spans="1:39" x14ac:dyDescent="0.3">
      <c r="A81" s="13">
        <f t="shared" si="41"/>
        <v>76</v>
      </c>
      <c r="B81" s="1">
        <v>45544</v>
      </c>
      <c r="C81" s="7">
        <v>2024</v>
      </c>
      <c r="D81" s="7">
        <v>3</v>
      </c>
      <c r="E81" s="77">
        <v>19.881</v>
      </c>
      <c r="F81" s="2">
        <v>48.24945068359375</v>
      </c>
      <c r="G81" s="2">
        <v>33.486583709716797</v>
      </c>
      <c r="H81" s="2">
        <v>11.303524971008301</v>
      </c>
      <c r="I81" s="2">
        <v>230.0899963378906</v>
      </c>
      <c r="J81" s="2">
        <v>11.819999694824221</v>
      </c>
      <c r="K81" s="2">
        <v>400.10525512695313</v>
      </c>
      <c r="L81" s="2">
        <v>171.38999938964841</v>
      </c>
      <c r="M81" s="2">
        <v>210.72999572753909</v>
      </c>
      <c r="N81" s="12">
        <f t="shared" si="42"/>
        <v>-1.103380763162054E-2</v>
      </c>
      <c r="O81" s="12">
        <f t="shared" si="43"/>
        <v>-6.4139407767357381E-3</v>
      </c>
      <c r="P81" s="12">
        <f t="shared" si="44"/>
        <v>-2.3156084882183459E-2</v>
      </c>
      <c r="Q81" s="12">
        <f t="shared" si="45"/>
        <v>-1.2065253895381156E-2</v>
      </c>
      <c r="R81" s="12">
        <f t="shared" si="46"/>
        <v>1.0256400642336239E-2</v>
      </c>
      <c r="S81" s="12">
        <f t="shared" si="47"/>
        <v>-7.0683529818630686E-2</v>
      </c>
      <c r="T81" s="12">
        <f t="shared" si="48"/>
        <v>-4.0785242096688434E-2</v>
      </c>
      <c r="U81" s="12">
        <f t="shared" si="49"/>
        <v>-8.8493956615981695E-2</v>
      </c>
      <c r="V81" s="19">
        <f t="shared" si="50"/>
        <v>46.937062697457257</v>
      </c>
      <c r="W81" s="19">
        <f t="shared" si="51"/>
        <v>32.158835810720895</v>
      </c>
      <c r="X81" s="19">
        <f t="shared" si="52"/>
        <v>11.351995648292144</v>
      </c>
      <c r="Y81" s="19">
        <f t="shared" si="53"/>
        <v>262.19787558629071</v>
      </c>
      <c r="Z81" s="19">
        <f t="shared" si="54"/>
        <v>15.719590017915207</v>
      </c>
      <c r="AA81" s="19">
        <f t="shared" si="55"/>
        <v>452.76937672635421</v>
      </c>
      <c r="AB81" s="19">
        <f t="shared" si="56"/>
        <v>4381.3419130052189</v>
      </c>
      <c r="AC81" s="19">
        <f t="shared" si="57"/>
        <v>7663.7856433863544</v>
      </c>
      <c r="AD81" s="21">
        <f t="shared" si="58"/>
        <v>-10473.452471753291</v>
      </c>
      <c r="AE81" s="21">
        <f t="shared" si="59"/>
        <v>-5916.4968077847816</v>
      </c>
      <c r="AF81" s="21">
        <f t="shared" si="60"/>
        <v>-23895.996117937222</v>
      </c>
      <c r="AG81" s="21">
        <f t="shared" si="61"/>
        <v>-12168.04957873594</v>
      </c>
      <c r="AH81" s="21">
        <f t="shared" si="62"/>
        <v>7133.6550439433095</v>
      </c>
      <c r="AI81" s="21">
        <f t="shared" si="63"/>
        <v>-120531.25677514308</v>
      </c>
      <c r="AJ81" s="21">
        <f t="shared" si="64"/>
        <v>-55887.617186233365</v>
      </c>
      <c r="AK81" s="21">
        <f t="shared" si="65"/>
        <v>-148808.38567392566</v>
      </c>
      <c r="AL81" s="23">
        <f t="shared" si="66"/>
        <v>-370547.59956757003</v>
      </c>
      <c r="AM81" s="23"/>
    </row>
    <row r="82" spans="1:39" x14ac:dyDescent="0.3">
      <c r="A82" s="13">
        <f t="shared" si="41"/>
        <v>77</v>
      </c>
      <c r="B82" s="1">
        <v>45541</v>
      </c>
      <c r="C82" s="7">
        <v>2024</v>
      </c>
      <c r="D82" s="7">
        <v>3</v>
      </c>
      <c r="E82" s="77">
        <v>19.969000000000001</v>
      </c>
      <c r="F82" s="2">
        <v>48.787765502929688</v>
      </c>
      <c r="G82" s="2">
        <v>33.702751159667969</v>
      </c>
      <c r="H82" s="2">
        <v>11.571475028991699</v>
      </c>
      <c r="I82" s="2">
        <v>232.8999938964844</v>
      </c>
      <c r="J82" s="2">
        <v>11.69999980926514</v>
      </c>
      <c r="K82" s="2">
        <v>430.53713989257813</v>
      </c>
      <c r="L82" s="2">
        <v>177.88999938964841</v>
      </c>
      <c r="M82" s="2">
        <v>230.16999816894531</v>
      </c>
      <c r="N82" s="12">
        <f t="shared" si="42"/>
        <v>-3.8681079152880216E-4</v>
      </c>
      <c r="O82" s="12">
        <f t="shared" si="43"/>
        <v>2.5411001259048271E-2</v>
      </c>
      <c r="P82" s="12">
        <f t="shared" si="44"/>
        <v>1.6564964685392924E-2</v>
      </c>
      <c r="Q82" s="12">
        <f t="shared" si="45"/>
        <v>1.2564668747742536E-2</v>
      </c>
      <c r="R82" s="12">
        <f t="shared" si="46"/>
        <v>4.9327373053970502E-2</v>
      </c>
      <c r="S82" s="12">
        <f t="shared" si="47"/>
        <v>-5.164849857554088E-2</v>
      </c>
      <c r="T82" s="12">
        <f t="shared" si="48"/>
        <v>3.1889034979461828E-2</v>
      </c>
      <c r="U82" s="12">
        <f t="shared" si="49"/>
        <v>5.4745048232596627E-2</v>
      </c>
      <c r="V82" s="19">
        <f t="shared" si="50"/>
        <v>47.44237699644885</v>
      </c>
      <c r="W82" s="19">
        <f t="shared" si="51"/>
        <v>33.188895639070914</v>
      </c>
      <c r="X82" s="19">
        <f t="shared" si="52"/>
        <v>11.813597727046291</v>
      </c>
      <c r="Y82" s="19">
        <f t="shared" si="53"/>
        <v>268.73465690544657</v>
      </c>
      <c r="Z82" s="19">
        <f t="shared" si="54"/>
        <v>16.327534365035071</v>
      </c>
      <c r="AA82" s="19">
        <f t="shared" si="55"/>
        <v>462.04337488353571</v>
      </c>
      <c r="AB82" s="19">
        <f t="shared" si="56"/>
        <v>4713.2914097447047</v>
      </c>
      <c r="AC82" s="19">
        <f t="shared" si="57"/>
        <v>8868.1144977031199</v>
      </c>
      <c r="AD82" s="21">
        <f t="shared" si="58"/>
        <v>-367.16649192143791</v>
      </c>
      <c r="AE82" s="21">
        <f t="shared" si="59"/>
        <v>23440.208300190767</v>
      </c>
      <c r="AF82" s="21">
        <f t="shared" si="60"/>
        <v>17094.268475431054</v>
      </c>
      <c r="AG82" s="21">
        <f t="shared" si="61"/>
        <v>12671.719434056342</v>
      </c>
      <c r="AH82" s="21">
        <f t="shared" si="62"/>
        <v>34308.7673602012</v>
      </c>
      <c r="AI82" s="21">
        <f t="shared" si="63"/>
        <v>-88072.263225007846</v>
      </c>
      <c r="AJ82" s="21">
        <f t="shared" si="64"/>
        <v>43697.231835612365</v>
      </c>
      <c r="AK82" s="21">
        <f t="shared" si="65"/>
        <v>92057.385189427441</v>
      </c>
      <c r="AL82" s="23">
        <f t="shared" si="66"/>
        <v>134830.15087798989</v>
      </c>
      <c r="AM82" s="23"/>
    </row>
    <row r="83" spans="1:39" x14ac:dyDescent="0.3">
      <c r="A83" s="13">
        <f t="shared" si="41"/>
        <v>78</v>
      </c>
      <c r="B83" s="1">
        <v>45540</v>
      </c>
      <c r="C83" s="7">
        <v>2024</v>
      </c>
      <c r="D83" s="7">
        <v>3</v>
      </c>
      <c r="E83" s="77">
        <v>19.861000000000001</v>
      </c>
      <c r="F83" s="2">
        <v>48.806644439697273</v>
      </c>
      <c r="G83" s="2">
        <v>32.8675537109375</v>
      </c>
      <c r="H83" s="2">
        <v>11.382917404174799</v>
      </c>
      <c r="I83" s="2">
        <v>230.00999450683591</v>
      </c>
      <c r="J83" s="2">
        <v>11.14999961853027</v>
      </c>
      <c r="K83" s="2">
        <v>453.98477172851563</v>
      </c>
      <c r="L83" s="2">
        <v>173.33000183105469</v>
      </c>
      <c r="M83" s="2">
        <v>219.4100036621094</v>
      </c>
      <c r="N83" s="12">
        <f t="shared" si="42"/>
        <v>3.3003504784476778E-3</v>
      </c>
      <c r="O83" s="12">
        <f t="shared" si="43"/>
        <v>-1.3856094486335846E-2</v>
      </c>
      <c r="P83" s="12">
        <f t="shared" si="44"/>
        <v>-2.7966105766823346E-2</v>
      </c>
      <c r="Q83" s="12">
        <f t="shared" si="45"/>
        <v>-2.1608753712145545E-2</v>
      </c>
      <c r="R83" s="12">
        <f t="shared" si="46"/>
        <v>-4.4643028202114854E-3</v>
      </c>
      <c r="S83" s="12">
        <f t="shared" si="47"/>
        <v>0</v>
      </c>
      <c r="T83" s="12">
        <f t="shared" si="48"/>
        <v>-1.9726195540631375E-2</v>
      </c>
      <c r="U83" s="12">
        <f t="shared" si="49"/>
        <v>3.8486431535202481E-2</v>
      </c>
      <c r="V83" s="19">
        <f t="shared" si="50"/>
        <v>47.617372381569211</v>
      </c>
      <c r="W83" s="19">
        <f t="shared" si="51"/>
        <v>31.917959847332003</v>
      </c>
      <c r="X83" s="19">
        <f t="shared" si="52"/>
        <v>11.296097940065094</v>
      </c>
      <c r="Y83" s="19">
        <f t="shared" si="53"/>
        <v>259.66503079317033</v>
      </c>
      <c r="Z83" s="19">
        <f t="shared" si="54"/>
        <v>15.490535865860913</v>
      </c>
      <c r="AA83" s="19">
        <f t="shared" si="55"/>
        <v>487.20687866210938</v>
      </c>
      <c r="AB83" s="19">
        <f t="shared" si="56"/>
        <v>4477.53192943664</v>
      </c>
      <c r="AC83" s="19">
        <f t="shared" si="57"/>
        <v>8731.4148519561568</v>
      </c>
      <c r="AD83" s="21">
        <f t="shared" si="58"/>
        <v>3132.7412104857899</v>
      </c>
      <c r="AE83" s="21">
        <f t="shared" si="59"/>
        <v>-12781.461764368183</v>
      </c>
      <c r="AF83" s="21">
        <f t="shared" si="60"/>
        <v>-28859.712608499281</v>
      </c>
      <c r="AG83" s="21">
        <f t="shared" si="61"/>
        <v>-21792.859792593368</v>
      </c>
      <c r="AH83" s="21">
        <f t="shared" si="62"/>
        <v>-3105.0655528836378</v>
      </c>
      <c r="AI83" s="21">
        <f t="shared" si="63"/>
        <v>0</v>
      </c>
      <c r="AJ83" s="21">
        <f t="shared" si="64"/>
        <v>-27030.612256807035</v>
      </c>
      <c r="AK83" s="21">
        <f t="shared" si="65"/>
        <v>64717.456040034813</v>
      </c>
      <c r="AL83" s="23">
        <f t="shared" si="66"/>
        <v>-25719.514724630906</v>
      </c>
      <c r="AM83" s="23"/>
    </row>
    <row r="84" spans="1:39" x14ac:dyDescent="0.3">
      <c r="A84" s="13">
        <f t="shared" si="41"/>
        <v>79</v>
      </c>
      <c r="B84" s="1">
        <v>45539</v>
      </c>
      <c r="C84" s="7">
        <v>2024</v>
      </c>
      <c r="D84" s="7">
        <v>3</v>
      </c>
      <c r="E84" s="77">
        <v>19.925000000000001</v>
      </c>
      <c r="F84" s="2">
        <v>48.646095275878913</v>
      </c>
      <c r="G84" s="2">
        <v>33.329368591308587</v>
      </c>
      <c r="H84" s="2">
        <v>11.71041202545166</v>
      </c>
      <c r="I84" s="2">
        <v>235.0899963378906</v>
      </c>
      <c r="J84" s="2">
        <v>11.19999980926514</v>
      </c>
      <c r="K84" s="2">
        <v>453.98477172851563</v>
      </c>
      <c r="L84" s="2">
        <v>176.25</v>
      </c>
      <c r="M84" s="2">
        <v>210.6000061035156</v>
      </c>
      <c r="N84" s="12">
        <f t="shared" si="42"/>
        <v>-6.3659119983180412E-3</v>
      </c>
      <c r="O84" s="12">
        <f t="shared" si="43"/>
        <v>1.2537271505060232E-2</v>
      </c>
      <c r="P84" s="12">
        <f t="shared" si="44"/>
        <v>-1.5846550613954569E-2</v>
      </c>
      <c r="Q84" s="12">
        <f t="shared" si="45"/>
        <v>-1.210238630095839E-2</v>
      </c>
      <c r="R84" s="12">
        <f t="shared" si="46"/>
        <v>-8.9208107473692788E-4</v>
      </c>
      <c r="S84" s="12">
        <f t="shared" si="47"/>
        <v>0</v>
      </c>
      <c r="T84" s="12">
        <f t="shared" si="48"/>
        <v>-5.5478003085825955E-3</v>
      </c>
      <c r="U84" s="12">
        <f t="shared" si="49"/>
        <v>-9.3632519935343828E-3</v>
      </c>
      <c r="V84" s="19">
        <f t="shared" si="50"/>
        <v>47.158604456615684</v>
      </c>
      <c r="W84" s="19">
        <f t="shared" si="51"/>
        <v>32.772218937956829</v>
      </c>
      <c r="X84" s="19">
        <f t="shared" si="52"/>
        <v>11.436940438262985</v>
      </c>
      <c r="Y84" s="19">
        <f t="shared" si="53"/>
        <v>262.18802064607712</v>
      </c>
      <c r="Z84" s="19">
        <f t="shared" si="54"/>
        <v>15.54611963771946</v>
      </c>
      <c r="AA84" s="19">
        <f t="shared" si="55"/>
        <v>487.20687866210938</v>
      </c>
      <c r="AB84" s="19">
        <f t="shared" si="56"/>
        <v>4542.2936491427818</v>
      </c>
      <c r="AC84" s="19">
        <f t="shared" si="57"/>
        <v>8329.1029634834449</v>
      </c>
      <c r="AD84" s="21">
        <f t="shared" si="58"/>
        <v>-6042.6172885847509</v>
      </c>
      <c r="AE84" s="21">
        <f t="shared" si="59"/>
        <v>11564.92231843935</v>
      </c>
      <c r="AF84" s="21">
        <f t="shared" si="60"/>
        <v>-16352.898768526553</v>
      </c>
      <c r="AG84" s="21">
        <f t="shared" si="61"/>
        <v>-12205.498351547567</v>
      </c>
      <c r="AH84" s="21">
        <f t="shared" si="62"/>
        <v>-620.47095080657652</v>
      </c>
      <c r="AI84" s="21">
        <f t="shared" si="63"/>
        <v>0</v>
      </c>
      <c r="AJ84" s="21">
        <f t="shared" si="64"/>
        <v>-7602.0963449645024</v>
      </c>
      <c r="AK84" s="21">
        <f t="shared" si="65"/>
        <v>-15744.921654507561</v>
      </c>
      <c r="AL84" s="23">
        <f t="shared" si="66"/>
        <v>-47003.58104049816</v>
      </c>
      <c r="AM84" s="23"/>
    </row>
    <row r="85" spans="1:39" x14ac:dyDescent="0.3">
      <c r="A85" s="13">
        <f t="shared" si="41"/>
        <v>80</v>
      </c>
      <c r="B85" s="1">
        <v>45538</v>
      </c>
      <c r="C85" s="7">
        <v>2024</v>
      </c>
      <c r="D85" s="7">
        <v>3</v>
      </c>
      <c r="E85" s="77">
        <v>19.7836</v>
      </c>
      <c r="F85" s="2">
        <v>48.957756042480469</v>
      </c>
      <c r="G85" s="2">
        <v>32.916683197021477</v>
      </c>
      <c r="H85" s="2">
        <v>11.898969650268549</v>
      </c>
      <c r="I85" s="2">
        <v>237.9700012207031</v>
      </c>
      <c r="J85" s="2">
        <v>11.210000038146971</v>
      </c>
      <c r="K85" s="2">
        <v>453.98477172851563</v>
      </c>
      <c r="L85" s="2">
        <v>178.5</v>
      </c>
      <c r="M85" s="2">
        <v>214.11000061035159</v>
      </c>
      <c r="N85" s="12">
        <f t="shared" si="42"/>
        <v>-5.3720370271199691E-3</v>
      </c>
      <c r="O85" s="12">
        <f t="shared" si="43"/>
        <v>-1.383569983587396E-2</v>
      </c>
      <c r="P85" s="12">
        <f t="shared" si="44"/>
        <v>5.0293458386723167E-3</v>
      </c>
      <c r="Q85" s="12">
        <f t="shared" si="45"/>
        <v>3.627011126218882E-3</v>
      </c>
      <c r="R85" s="12">
        <f t="shared" si="46"/>
        <v>-1.6666630415887229E-2</v>
      </c>
      <c r="S85" s="12">
        <f t="shared" si="47"/>
        <v>0</v>
      </c>
      <c r="T85" s="12">
        <f t="shared" si="48"/>
        <v>3.5580582322860543E-2</v>
      </c>
      <c r="U85" s="12">
        <f t="shared" si="49"/>
        <v>3.6470237613227541E-2</v>
      </c>
      <c r="V85" s="19">
        <f t="shared" si="50"/>
        <v>47.205774493565926</v>
      </c>
      <c r="W85" s="19">
        <f t="shared" si="51"/>
        <v>31.918619949403215</v>
      </c>
      <c r="X85" s="19">
        <f t="shared" si="52"/>
        <v>11.679541207963061</v>
      </c>
      <c r="Y85" s="19">
        <f t="shared" si="53"/>
        <v>266.36260262724534</v>
      </c>
      <c r="Z85" s="19">
        <f t="shared" si="54"/>
        <v>15.300667643351897</v>
      </c>
      <c r="AA85" s="19">
        <f t="shared" si="55"/>
        <v>487.20687866210938</v>
      </c>
      <c r="AB85" s="19">
        <f t="shared" si="56"/>
        <v>4730.1530467933562</v>
      </c>
      <c r="AC85" s="19">
        <f t="shared" si="57"/>
        <v>8714.4630411089693</v>
      </c>
      <c r="AD85" s="21">
        <f t="shared" si="58"/>
        <v>-5099.2165495799218</v>
      </c>
      <c r="AE85" s="21">
        <f t="shared" si="59"/>
        <v>-12762.648855338646</v>
      </c>
      <c r="AF85" s="21">
        <f t="shared" si="60"/>
        <v>5190.0495808401602</v>
      </c>
      <c r="AG85" s="21">
        <f t="shared" si="61"/>
        <v>3657.9131768916568</v>
      </c>
      <c r="AH85" s="21">
        <f t="shared" si="62"/>
        <v>-11592.175099036664</v>
      </c>
      <c r="AI85" s="21">
        <f t="shared" si="63"/>
        <v>0</v>
      </c>
      <c r="AJ85" s="21">
        <f t="shared" si="64"/>
        <v>48755.722950207841</v>
      </c>
      <c r="AK85" s="21">
        <f t="shared" si="65"/>
        <v>61327.093870597309</v>
      </c>
      <c r="AL85" s="23">
        <f t="shared" si="66"/>
        <v>89476.739074581739</v>
      </c>
      <c r="AM85" s="23"/>
    </row>
    <row r="86" spans="1:39" x14ac:dyDescent="0.3">
      <c r="A86" s="13">
        <f t="shared" si="41"/>
        <v>81</v>
      </c>
      <c r="B86" s="1">
        <v>45537</v>
      </c>
      <c r="C86" s="7">
        <v>2024</v>
      </c>
      <c r="D86" s="7">
        <v>3</v>
      </c>
      <c r="E86" s="77">
        <v>19.812000000000001</v>
      </c>
      <c r="F86" s="2">
        <v>49.222179412841797</v>
      </c>
      <c r="G86" s="2">
        <v>33.378498077392578</v>
      </c>
      <c r="H86" s="2">
        <v>11.839425086975099</v>
      </c>
      <c r="I86" s="2">
        <v>237.11000061035159</v>
      </c>
      <c r="J86" s="2">
        <v>11.39999961853027</v>
      </c>
      <c r="K86" s="2">
        <v>453.98477172851563</v>
      </c>
      <c r="L86" s="2">
        <v>172.1199951171875</v>
      </c>
      <c r="M86" s="2">
        <v>206.2799987792969</v>
      </c>
      <c r="N86" s="12">
        <f t="shared" si="42"/>
        <v>1.3810460886114262E-2</v>
      </c>
      <c r="O86" s="12">
        <f t="shared" si="43"/>
        <v>-1.3646996810744549E-2</v>
      </c>
      <c r="P86" s="12">
        <f t="shared" si="44"/>
        <v>1.6183998782007603E-2</v>
      </c>
      <c r="Q86" s="12">
        <f t="shared" si="45"/>
        <v>-1.175339537162523E-2</v>
      </c>
      <c r="R86" s="12">
        <f t="shared" si="46"/>
        <v>5.2909581247833071E-3</v>
      </c>
      <c r="S86" s="12">
        <f t="shared" si="47"/>
        <v>3.0643813391197927E-3</v>
      </c>
      <c r="T86" s="12">
        <f t="shared" si="48"/>
        <v>1.2943322893022913E-2</v>
      </c>
      <c r="U86" s="12">
        <f t="shared" si="49"/>
        <v>7.7643043610926554E-3</v>
      </c>
      <c r="V86" s="19">
        <f t="shared" si="50"/>
        <v>48.116189949822434</v>
      </c>
      <c r="W86" s="19">
        <f t="shared" si="51"/>
        <v>31.924727593070102</v>
      </c>
      <c r="X86" s="19">
        <f t="shared" si="52"/>
        <v>11.809170486204181</v>
      </c>
      <c r="Y86" s="19">
        <f t="shared" si="53"/>
        <v>262.28064283659205</v>
      </c>
      <c r="Z86" s="19">
        <f t="shared" si="54"/>
        <v>15.642327730258502</v>
      </c>
      <c r="AA86" s="19">
        <f t="shared" si="55"/>
        <v>488.69986632937236</v>
      </c>
      <c r="AB86" s="19">
        <f t="shared" si="56"/>
        <v>4626.7543316273013</v>
      </c>
      <c r="AC86" s="19">
        <f t="shared" si="57"/>
        <v>8473.1085040386824</v>
      </c>
      <c r="AD86" s="21">
        <f t="shared" si="58"/>
        <v>13109.09257555025</v>
      </c>
      <c r="AE86" s="21">
        <f t="shared" si="59"/>
        <v>-12588.581010832368</v>
      </c>
      <c r="AF86" s="21">
        <f t="shared" si="60"/>
        <v>16701.129488651648</v>
      </c>
      <c r="AG86" s="21">
        <f t="shared" si="61"/>
        <v>-11853.534027590831</v>
      </c>
      <c r="AH86" s="21">
        <f t="shared" si="62"/>
        <v>3680.0307856886034</v>
      </c>
      <c r="AI86" s="21">
        <f t="shared" si="63"/>
        <v>5225.4568354204312</v>
      </c>
      <c r="AJ86" s="21">
        <f t="shared" si="64"/>
        <v>17736.108400391367</v>
      </c>
      <c r="AK86" s="21">
        <f t="shared" si="65"/>
        <v>13056.186456539945</v>
      </c>
      <c r="AL86" s="23">
        <f t="shared" si="66"/>
        <v>45065.889503819046</v>
      </c>
      <c r="AM86" s="23"/>
    </row>
    <row r="87" spans="1:39" x14ac:dyDescent="0.3">
      <c r="A87" s="13">
        <f t="shared" si="41"/>
        <v>82</v>
      </c>
      <c r="B87" s="1">
        <v>45534</v>
      </c>
      <c r="C87" s="7">
        <v>2024</v>
      </c>
      <c r="D87" s="7">
        <v>2</v>
      </c>
      <c r="E87" s="77">
        <v>19.71</v>
      </c>
      <c r="F87" s="2">
        <v>48.551658630371087</v>
      </c>
      <c r="G87" s="2">
        <v>33.840316772460938</v>
      </c>
      <c r="H87" s="2">
        <v>11.6508674621582</v>
      </c>
      <c r="I87" s="2">
        <v>239.92999267578119</v>
      </c>
      <c r="J87" s="2">
        <v>11.340000152587891</v>
      </c>
      <c r="K87" s="2">
        <v>452.59783935546881</v>
      </c>
      <c r="L87" s="2">
        <v>170.80000305175781</v>
      </c>
      <c r="M87" s="2">
        <v>205.75</v>
      </c>
      <c r="N87" s="12">
        <f t="shared" si="42"/>
        <v>-1.9412996042593722E-3</v>
      </c>
      <c r="O87" s="12">
        <f t="shared" si="43"/>
        <v>-6.0605300070240009E-3</v>
      </c>
      <c r="P87" s="12">
        <f t="shared" si="44"/>
        <v>-5.9271763595144522E-3</v>
      </c>
      <c r="Q87" s="12">
        <f t="shared" si="45"/>
        <v>-3.4370380742004603E-2</v>
      </c>
      <c r="R87" s="12">
        <f t="shared" si="46"/>
        <v>1.0695176711511545E-2</v>
      </c>
      <c r="S87" s="12">
        <f t="shared" si="47"/>
        <v>0</v>
      </c>
      <c r="T87" s="12">
        <f t="shared" si="48"/>
        <v>-1.9618601643824007E-2</v>
      </c>
      <c r="U87" s="12">
        <f t="shared" si="49"/>
        <v>-2.2736204281803563E-2</v>
      </c>
      <c r="V87" s="19">
        <f t="shared" si="50"/>
        <v>47.368599814348322</v>
      </c>
      <c r="W87" s="19">
        <f t="shared" si="51"/>
        <v>32.170274456433965</v>
      </c>
      <c r="X87" s="19">
        <f t="shared" si="52"/>
        <v>11.552214425875023</v>
      </c>
      <c r="Y87" s="19">
        <f t="shared" si="53"/>
        <v>256.27809505733649</v>
      </c>
      <c r="Z87" s="19">
        <f t="shared" si="54"/>
        <v>15.726417373735694</v>
      </c>
      <c r="AA87" s="19">
        <f t="shared" si="55"/>
        <v>487.20687866210938</v>
      </c>
      <c r="AB87" s="19">
        <f t="shared" si="56"/>
        <v>4478.0233789746935</v>
      </c>
      <c r="AC87" s="19">
        <f t="shared" si="57"/>
        <v>8216.6654865183591</v>
      </c>
      <c r="AD87" s="21">
        <f t="shared" si="58"/>
        <v>-1842.7101339320018</v>
      </c>
      <c r="AE87" s="21">
        <f t="shared" si="59"/>
        <v>-5590.4954049622684</v>
      </c>
      <c r="AF87" s="21">
        <f t="shared" si="60"/>
        <v>-6116.5686685775299</v>
      </c>
      <c r="AG87" s="21">
        <f t="shared" si="61"/>
        <v>-34663.215588761974</v>
      </c>
      <c r="AH87" s="21">
        <f t="shared" si="62"/>
        <v>7438.8378491190879</v>
      </c>
      <c r="AI87" s="21">
        <f t="shared" si="63"/>
        <v>0</v>
      </c>
      <c r="AJ87" s="21">
        <f t="shared" si="64"/>
        <v>-26883.177395390976</v>
      </c>
      <c r="AK87" s="21">
        <f t="shared" si="65"/>
        <v>-38232.417047524723</v>
      </c>
      <c r="AL87" s="23">
        <f t="shared" si="66"/>
        <v>-105889.74639003038</v>
      </c>
      <c r="AM87" s="23"/>
    </row>
    <row r="88" spans="1:39" x14ac:dyDescent="0.3">
      <c r="A88" s="13">
        <f t="shared" si="41"/>
        <v>83</v>
      </c>
      <c r="B88" s="1">
        <v>45533</v>
      </c>
      <c r="C88" s="7">
        <v>2024</v>
      </c>
      <c r="D88" s="7">
        <v>2</v>
      </c>
      <c r="E88" s="77">
        <v>19.835000000000001</v>
      </c>
      <c r="F88" s="2">
        <v>48.646095275878913</v>
      </c>
      <c r="G88" s="2">
        <v>34.046657562255859</v>
      </c>
      <c r="H88" s="2">
        <v>11.72033596038818</v>
      </c>
      <c r="I88" s="2">
        <v>248.4700012207031</v>
      </c>
      <c r="J88" s="2">
        <v>11.22000026702881</v>
      </c>
      <c r="K88" s="2">
        <v>452.59783935546881</v>
      </c>
      <c r="L88" s="2">
        <v>173.1199951171875</v>
      </c>
      <c r="M88" s="2">
        <v>209.21000671386719</v>
      </c>
      <c r="N88" s="12">
        <f t="shared" si="42"/>
        <v>-1.2082968321349585E-2</v>
      </c>
      <c r="O88" s="12">
        <f t="shared" si="43"/>
        <v>1.941742693565196E-2</v>
      </c>
      <c r="P88" s="12">
        <f t="shared" si="44"/>
        <v>-3.1173039604903807E-2</v>
      </c>
      <c r="Q88" s="12">
        <f t="shared" si="45"/>
        <v>-8.4600149573765826E-3</v>
      </c>
      <c r="R88" s="12">
        <f t="shared" si="46"/>
        <v>1.7857551878817102E-3</v>
      </c>
      <c r="S88" s="12">
        <f t="shared" si="47"/>
        <v>2.531583436021223E-2</v>
      </c>
      <c r="T88" s="12">
        <f t="shared" si="48"/>
        <v>-3.8280765046256882E-3</v>
      </c>
      <c r="U88" s="12">
        <f t="shared" si="49"/>
        <v>-9.0789448178552057E-3</v>
      </c>
      <c r="V88" s="19">
        <f t="shared" si="50"/>
        <v>46.887268759652777</v>
      </c>
      <c r="W88" s="19">
        <f t="shared" si="51"/>
        <v>32.994905022157333</v>
      </c>
      <c r="X88" s="19">
        <f t="shared" si="52"/>
        <v>11.258829858224342</v>
      </c>
      <c r="Y88" s="19">
        <f t="shared" si="53"/>
        <v>263.15470597843245</v>
      </c>
      <c r="Z88" s="19">
        <f t="shared" si="54"/>
        <v>15.587786771089471</v>
      </c>
      <c r="AA88" s="19">
        <f t="shared" si="55"/>
        <v>499.54092730147534</v>
      </c>
      <c r="AB88" s="19">
        <f t="shared" si="56"/>
        <v>4550.1487180092563</v>
      </c>
      <c r="AC88" s="19">
        <f t="shared" si="57"/>
        <v>8331.4933691939677</v>
      </c>
      <c r="AD88" s="21">
        <f t="shared" si="58"/>
        <v>-11469.3312278429</v>
      </c>
      <c r="AE88" s="21">
        <f t="shared" si="59"/>
        <v>17911.47571815371</v>
      </c>
      <c r="AF88" s="21">
        <f t="shared" si="60"/>
        <v>-32169.118275958062</v>
      </c>
      <c r="AG88" s="21">
        <f t="shared" si="61"/>
        <v>-8532.0940885973305</v>
      </c>
      <c r="AH88" s="21">
        <f t="shared" si="62"/>
        <v>1242.0499108328925</v>
      </c>
      <c r="AI88" s="21">
        <f t="shared" si="63"/>
        <v>43169.170237780861</v>
      </c>
      <c r="AJ88" s="21">
        <f t="shared" si="64"/>
        <v>-5245.5756850221405</v>
      </c>
      <c r="AK88" s="21">
        <f t="shared" si="65"/>
        <v>-15266.840512402996</v>
      </c>
      <c r="AL88" s="23">
        <f t="shared" si="66"/>
        <v>-10360.263923055962</v>
      </c>
      <c r="AM88" s="23"/>
    </row>
    <row r="89" spans="1:39" x14ac:dyDescent="0.3">
      <c r="A89" s="13">
        <f t="shared" si="41"/>
        <v>84</v>
      </c>
      <c r="B89" s="1">
        <v>45532</v>
      </c>
      <c r="C89" s="7">
        <v>2024</v>
      </c>
      <c r="D89" s="7">
        <v>2</v>
      </c>
      <c r="E89" s="77">
        <v>19.641200000000001</v>
      </c>
      <c r="F89" s="2">
        <v>49.241073608398438</v>
      </c>
      <c r="G89" s="2">
        <v>33.398151397705078</v>
      </c>
      <c r="H89" s="2">
        <v>12.09745025634766</v>
      </c>
      <c r="I89" s="2">
        <v>250.5899963378906</v>
      </c>
      <c r="J89" s="2">
        <v>11.19999980926514</v>
      </c>
      <c r="K89" s="2">
        <v>441.4228515625</v>
      </c>
      <c r="L89" s="2">
        <v>175.5</v>
      </c>
      <c r="M89" s="2">
        <v>213.21000671386719</v>
      </c>
      <c r="N89" s="12">
        <f t="shared" si="42"/>
        <v>-3.6309486501732158E-3</v>
      </c>
      <c r="O89" s="12">
        <f t="shared" si="43"/>
        <v>1.9802048241131631E-2</v>
      </c>
      <c r="P89" s="12">
        <f t="shared" si="44"/>
        <v>-2.4019254488688357E-2</v>
      </c>
      <c r="Q89" s="12">
        <f t="shared" si="45"/>
        <v>-8.8205479065128767E-3</v>
      </c>
      <c r="R89" s="12">
        <f t="shared" si="46"/>
        <v>-4.4444613986541759E-3</v>
      </c>
      <c r="S89" s="12">
        <f t="shared" si="47"/>
        <v>-6.0700590741521121E-2</v>
      </c>
      <c r="T89" s="12">
        <f t="shared" si="48"/>
        <v>-1.4159503188482692E-2</v>
      </c>
      <c r="U89" s="12">
        <f t="shared" si="49"/>
        <v>-3.760232649991524E-2</v>
      </c>
      <c r="V89" s="19">
        <f t="shared" si="50"/>
        <v>47.288407828194742</v>
      </c>
      <c r="W89" s="19">
        <f t="shared" si="51"/>
        <v>33.007353841559947</v>
      </c>
      <c r="X89" s="19">
        <f t="shared" si="52"/>
        <v>11.341964672549619</v>
      </c>
      <c r="Y89" s="19">
        <f t="shared" si="53"/>
        <v>263.05902053593223</v>
      </c>
      <c r="Z89" s="19">
        <f t="shared" si="54"/>
        <v>15.490844598388669</v>
      </c>
      <c r="AA89" s="19">
        <f t="shared" si="55"/>
        <v>457.63313331398672</v>
      </c>
      <c r="AB89" s="19">
        <f t="shared" si="56"/>
        <v>4502.9585425264822</v>
      </c>
      <c r="AC89" s="19">
        <f t="shared" si="57"/>
        <v>8091.6736942478246</v>
      </c>
      <c r="AD89" s="21">
        <f t="shared" si="58"/>
        <v>-3446.5498570035888</v>
      </c>
      <c r="AE89" s="21">
        <f t="shared" si="59"/>
        <v>18266.267071128215</v>
      </c>
      <c r="AF89" s="21">
        <f t="shared" si="60"/>
        <v>-24786.746763873482</v>
      </c>
      <c r="AG89" s="21">
        <f t="shared" si="61"/>
        <v>-8895.6987700981354</v>
      </c>
      <c r="AH89" s="21">
        <f t="shared" si="62"/>
        <v>-3091.2652088929358</v>
      </c>
      <c r="AI89" s="21">
        <f t="shared" si="63"/>
        <v>-103508.1087184293</v>
      </c>
      <c r="AJ89" s="21">
        <f t="shared" si="64"/>
        <v>-19402.62832985436</v>
      </c>
      <c r="AK89" s="21">
        <f t="shared" si="65"/>
        <v>-63230.775501631615</v>
      </c>
      <c r="AL89" s="23">
        <f t="shared" si="66"/>
        <v>-208095.50607865519</v>
      </c>
      <c r="AM89" s="23"/>
    </row>
    <row r="90" spans="1:39" x14ac:dyDescent="0.3">
      <c r="A90" s="13">
        <f t="shared" si="41"/>
        <v>85</v>
      </c>
      <c r="B90" s="1">
        <v>45531</v>
      </c>
      <c r="C90" s="7">
        <v>2024</v>
      </c>
      <c r="D90" s="7">
        <v>2</v>
      </c>
      <c r="E90" s="77">
        <v>19.75</v>
      </c>
      <c r="F90" s="2">
        <v>49.420516967773438</v>
      </c>
      <c r="G90" s="2">
        <v>32.749641418457031</v>
      </c>
      <c r="H90" s="2">
        <v>12.39517307281494</v>
      </c>
      <c r="I90" s="2">
        <v>252.82000732421881</v>
      </c>
      <c r="J90" s="2">
        <v>11.25</v>
      </c>
      <c r="K90" s="2">
        <v>469.94903564453119</v>
      </c>
      <c r="L90" s="2">
        <v>177.03999328613281</v>
      </c>
      <c r="M90" s="2">
        <v>220.32000732421881</v>
      </c>
      <c r="N90" s="12">
        <f t="shared" si="42"/>
        <v>2.1066584096898211E-3</v>
      </c>
      <c r="O90" s="12">
        <f t="shared" si="43"/>
        <v>-1.4980224475407145E-3</v>
      </c>
      <c r="P90" s="12">
        <f t="shared" si="44"/>
        <v>8.8852482074175398E-3</v>
      </c>
      <c r="Q90" s="12">
        <f t="shared" si="45"/>
        <v>8.0542434126051887E-3</v>
      </c>
      <c r="R90" s="12">
        <f t="shared" si="46"/>
        <v>4.9440272366531035E-2</v>
      </c>
      <c r="S90" s="12">
        <f t="shared" si="47"/>
        <v>0</v>
      </c>
      <c r="T90" s="12">
        <f t="shared" si="48"/>
        <v>2.3564826130495931E-2</v>
      </c>
      <c r="U90" s="12">
        <f t="shared" si="49"/>
        <v>6.4998916603026258E-2</v>
      </c>
      <c r="V90" s="19">
        <f t="shared" si="50"/>
        <v>47.560718878239065</v>
      </c>
      <c r="W90" s="19">
        <f t="shared" si="51"/>
        <v>32.317946547974074</v>
      </c>
      <c r="X90" s="19">
        <f t="shared" si="52"/>
        <v>11.724351014558371</v>
      </c>
      <c r="Y90" s="19">
        <f t="shared" si="53"/>
        <v>267.5375900490306</v>
      </c>
      <c r="Z90" s="19">
        <f t="shared" si="54"/>
        <v>16.329291078385886</v>
      </c>
      <c r="AA90" s="19">
        <f t="shared" si="55"/>
        <v>487.20687866210938</v>
      </c>
      <c r="AB90" s="19">
        <f t="shared" si="56"/>
        <v>4675.2694706303564</v>
      </c>
      <c r="AC90" s="19">
        <f t="shared" si="57"/>
        <v>8954.3272549051744</v>
      </c>
      <c r="AD90" s="21">
        <f t="shared" si="58"/>
        <v>1999.671143882864</v>
      </c>
      <c r="AE90" s="21">
        <f t="shared" si="59"/>
        <v>-1381.8407960691666</v>
      </c>
      <c r="AF90" s="21">
        <f t="shared" si="60"/>
        <v>9169.1604065037245</v>
      </c>
      <c r="AG90" s="21">
        <f t="shared" si="61"/>
        <v>8122.865379675648</v>
      </c>
      <c r="AH90" s="21">
        <f t="shared" si="62"/>
        <v>34387.292446982639</v>
      </c>
      <c r="AI90" s="21">
        <f t="shared" si="63"/>
        <v>0</v>
      </c>
      <c r="AJ90" s="21">
        <f t="shared" si="64"/>
        <v>32290.650101307892</v>
      </c>
      <c r="AK90" s="21">
        <f t="shared" si="65"/>
        <v>109299.93662983834</v>
      </c>
      <c r="AL90" s="23">
        <f t="shared" si="66"/>
        <v>193887.73531212192</v>
      </c>
      <c r="AM90" s="23"/>
    </row>
    <row r="91" spans="1:39" x14ac:dyDescent="0.3">
      <c r="A91" s="13">
        <f t="shared" si="41"/>
        <v>86</v>
      </c>
      <c r="B91" s="1">
        <v>45530</v>
      </c>
      <c r="C91" s="7">
        <v>2024</v>
      </c>
      <c r="D91" s="7">
        <v>2</v>
      </c>
      <c r="E91" s="77">
        <v>19.395</v>
      </c>
      <c r="F91" s="2">
        <v>49.316623687744141</v>
      </c>
      <c r="G91" s="2">
        <v>32.798774719238281</v>
      </c>
      <c r="H91" s="2">
        <v>12.286008834838871</v>
      </c>
      <c r="I91" s="2">
        <v>250.80000305175781</v>
      </c>
      <c r="J91" s="2">
        <v>10.72000026702881</v>
      </c>
      <c r="K91" s="2">
        <v>469.94903564453119</v>
      </c>
      <c r="L91" s="2">
        <v>176.1300048828125</v>
      </c>
      <c r="M91" s="2">
        <v>210.6600036621094</v>
      </c>
      <c r="N91" s="12">
        <f t="shared" si="42"/>
        <v>-1.0610028013969819E-2</v>
      </c>
      <c r="O91" s="12">
        <f t="shared" si="43"/>
        <v>-3.5820279059545213E-3</v>
      </c>
      <c r="P91" s="12">
        <f t="shared" si="44"/>
        <v>-6.4205302719873014E-3</v>
      </c>
      <c r="Q91" s="12">
        <f t="shared" si="45"/>
        <v>-3.1622794283306499E-2</v>
      </c>
      <c r="R91" s="12">
        <f t="shared" si="46"/>
        <v>-9.318989407370859E-4</v>
      </c>
      <c r="S91" s="12">
        <f t="shared" si="47"/>
        <v>0</v>
      </c>
      <c r="T91" s="12">
        <f t="shared" si="48"/>
        <v>-6.6818176696317177E-3</v>
      </c>
      <c r="U91" s="12">
        <f t="shared" si="49"/>
        <v>-4.1604926946134047E-2</v>
      </c>
      <c r="V91" s="19">
        <f t="shared" si="50"/>
        <v>46.957175589725026</v>
      </c>
      <c r="W91" s="19">
        <f t="shared" si="51"/>
        <v>32.250494726620857</v>
      </c>
      <c r="X91" s="19">
        <f t="shared" si="52"/>
        <v>11.546481113335748</v>
      </c>
      <c r="Y91" s="19">
        <f t="shared" si="53"/>
        <v>257.00730448670504</v>
      </c>
      <c r="Z91" s="19">
        <f t="shared" si="54"/>
        <v>15.54550007170779</v>
      </c>
      <c r="AA91" s="19">
        <f t="shared" si="55"/>
        <v>487.20687866210938</v>
      </c>
      <c r="AB91" s="19">
        <f t="shared" si="56"/>
        <v>4537.1138729215518</v>
      </c>
      <c r="AC91" s="19">
        <f t="shared" si="57"/>
        <v>8058.0205198573831</v>
      </c>
      <c r="AD91" s="21">
        <f t="shared" si="58"/>
        <v>-10071.194626397926</v>
      </c>
      <c r="AE91" s="21">
        <f t="shared" si="59"/>
        <v>-3304.2177046358424</v>
      </c>
      <c r="AF91" s="21">
        <f t="shared" si="60"/>
        <v>-6625.6868220651995</v>
      </c>
      <c r="AG91" s="21">
        <f t="shared" si="61"/>
        <v>-31892.219757161478</v>
      </c>
      <c r="AH91" s="21">
        <f t="shared" si="62"/>
        <v>-648.16555152822116</v>
      </c>
      <c r="AI91" s="21">
        <f t="shared" si="63"/>
        <v>0</v>
      </c>
      <c r="AJ91" s="21">
        <f t="shared" si="64"/>
        <v>-9156.0292113334981</v>
      </c>
      <c r="AK91" s="21">
        <f t="shared" si="65"/>
        <v>-69961.41037971992</v>
      </c>
      <c r="AL91" s="23">
        <f t="shared" si="66"/>
        <v>-131658.92405284208</v>
      </c>
      <c r="AM91" s="23"/>
    </row>
    <row r="92" spans="1:39" x14ac:dyDescent="0.3">
      <c r="A92" s="13">
        <f t="shared" si="41"/>
        <v>87</v>
      </c>
      <c r="B92" s="1">
        <v>45527</v>
      </c>
      <c r="C92" s="7">
        <v>2024</v>
      </c>
      <c r="D92" s="7">
        <v>2</v>
      </c>
      <c r="E92" s="77">
        <v>19.094000000000001</v>
      </c>
      <c r="F92" s="2">
        <v>49.845485687255859</v>
      </c>
      <c r="G92" s="2">
        <v>32.916683197021477</v>
      </c>
      <c r="H92" s="2">
        <v>12.365401268005369</v>
      </c>
      <c r="I92" s="2">
        <v>258.989990234375</v>
      </c>
      <c r="J92" s="2">
        <v>10.72999954223633</v>
      </c>
      <c r="K92" s="2">
        <v>469.94903564453119</v>
      </c>
      <c r="L92" s="2">
        <v>180.11000061035159</v>
      </c>
      <c r="M92" s="2">
        <v>223.27000427246091</v>
      </c>
      <c r="N92" s="12">
        <f t="shared" si="42"/>
        <v>5.6879149495903114E-4</v>
      </c>
      <c r="O92" s="12">
        <f t="shared" si="43"/>
        <v>-7.701461450374314E-3</v>
      </c>
      <c r="P92" s="12">
        <f t="shared" si="44"/>
        <v>2.4135582926243515E-3</v>
      </c>
      <c r="Q92" s="12">
        <f t="shared" si="45"/>
        <v>2.387821055150563E-2</v>
      </c>
      <c r="R92" s="12">
        <f t="shared" si="46"/>
        <v>1.3219961060550789E-2</v>
      </c>
      <c r="S92" s="12">
        <f t="shared" si="47"/>
        <v>3.8382616188065821E-2</v>
      </c>
      <c r="T92" s="12">
        <f t="shared" si="48"/>
        <v>-1.4895873193515485E-2</v>
      </c>
      <c r="U92" s="12">
        <f t="shared" si="49"/>
        <v>-1.2020951370973032E-2</v>
      </c>
      <c r="V92" s="19">
        <f t="shared" si="50"/>
        <v>47.487730583640037</v>
      </c>
      <c r="W92" s="19">
        <f t="shared" si="51"/>
        <v>32.117163360144424</v>
      </c>
      <c r="X92" s="19">
        <f t="shared" si="52"/>
        <v>11.649142893165745</v>
      </c>
      <c r="Y92" s="19">
        <f t="shared" si="53"/>
        <v>271.73727083111294</v>
      </c>
      <c r="Z92" s="19">
        <f t="shared" si="54"/>
        <v>15.765703019266185</v>
      </c>
      <c r="AA92" s="19">
        <f t="shared" si="55"/>
        <v>505.90715328998266</v>
      </c>
      <c r="AB92" s="19">
        <f t="shared" si="56"/>
        <v>4499.5950738767906</v>
      </c>
      <c r="AC92" s="19">
        <f t="shared" si="57"/>
        <v>8306.7574853803781</v>
      </c>
      <c r="AD92" s="21">
        <f t="shared" si="58"/>
        <v>539.90525190229732</v>
      </c>
      <c r="AE92" s="21">
        <f t="shared" si="59"/>
        <v>-7104.1616492141911</v>
      </c>
      <c r="AF92" s="21">
        <f t="shared" si="60"/>
        <v>2490.6792268385657</v>
      </c>
      <c r="AG92" s="21">
        <f t="shared" si="61"/>
        <v>24081.652351588535</v>
      </c>
      <c r="AH92" s="21">
        <f t="shared" si="62"/>
        <v>9194.90620433203</v>
      </c>
      <c r="AI92" s="21">
        <f t="shared" si="63"/>
        <v>65450.961197556499</v>
      </c>
      <c r="AJ92" s="21">
        <f t="shared" si="64"/>
        <v>-20411.668924761852</v>
      </c>
      <c r="AK92" s="21">
        <f t="shared" si="65"/>
        <v>-20214.017275120932</v>
      </c>
      <c r="AL92" s="23">
        <f t="shared" si="66"/>
        <v>54028.256383120955</v>
      </c>
      <c r="AM92" s="23"/>
    </row>
    <row r="93" spans="1:39" x14ac:dyDescent="0.3">
      <c r="A93" s="13">
        <f t="shared" si="41"/>
        <v>88</v>
      </c>
      <c r="B93" s="1">
        <v>45526</v>
      </c>
      <c r="C93" s="7">
        <v>2024</v>
      </c>
      <c r="D93" s="7">
        <v>2</v>
      </c>
      <c r="E93" s="77">
        <v>19.515999999999998</v>
      </c>
      <c r="F93" s="2">
        <v>49.817150115966797</v>
      </c>
      <c r="G93" s="2">
        <v>33.172157287597663</v>
      </c>
      <c r="H93" s="2">
        <v>12.335628509521481</v>
      </c>
      <c r="I93" s="2">
        <v>252.94999694824219</v>
      </c>
      <c r="J93" s="2">
        <v>10.590000152587891</v>
      </c>
      <c r="K93" s="2">
        <v>452.57791137695313</v>
      </c>
      <c r="L93" s="2">
        <v>178.8800048828125</v>
      </c>
      <c r="M93" s="2">
        <v>221.1000061035156</v>
      </c>
      <c r="N93" s="12">
        <f t="shared" si="42"/>
        <v>-2.6471048259925078E-3</v>
      </c>
      <c r="O93" s="12">
        <f t="shared" si="43"/>
        <v>-6.1818476468439298E-3</v>
      </c>
      <c r="P93" s="12">
        <f t="shared" si="44"/>
        <v>8.0514139183440747E-4</v>
      </c>
      <c r="Q93" s="12">
        <f t="shared" si="45"/>
        <v>-2.9562475720210646E-3</v>
      </c>
      <c r="R93" s="12">
        <f t="shared" si="46"/>
        <v>1.8921909499640677E-3</v>
      </c>
      <c r="S93" s="12">
        <f t="shared" si="47"/>
        <v>0</v>
      </c>
      <c r="T93" s="12">
        <f t="shared" si="48"/>
        <v>1.6516542320539118E-2</v>
      </c>
      <c r="U93" s="12">
        <f t="shared" si="49"/>
        <v>5.3994169613327259E-3</v>
      </c>
      <c r="V93" s="19">
        <f t="shared" si="50"/>
        <v>47.335101779531428</v>
      </c>
      <c r="W93" s="19">
        <f t="shared" si="51"/>
        <v>32.166347837271289</v>
      </c>
      <c r="X93" s="19">
        <f t="shared" si="52"/>
        <v>11.630451328038676</v>
      </c>
      <c r="Y93" s="19">
        <f t="shared" si="53"/>
        <v>264.61540580891347</v>
      </c>
      <c r="Z93" s="19">
        <f t="shared" si="54"/>
        <v>15.589442911592135</v>
      </c>
      <c r="AA93" s="19">
        <f t="shared" si="55"/>
        <v>487.20687866210938</v>
      </c>
      <c r="AB93" s="19">
        <f t="shared" si="56"/>
        <v>4643.0754900677339</v>
      </c>
      <c r="AC93" s="19">
        <f t="shared" si="57"/>
        <v>8453.2249385548821</v>
      </c>
      <c r="AD93" s="21">
        <f t="shared" si="58"/>
        <v>-2512.670830269883</v>
      </c>
      <c r="AE93" s="21">
        <f t="shared" si="59"/>
        <v>-5702.4040510985506</v>
      </c>
      <c r="AF93" s="21">
        <f t="shared" si="60"/>
        <v>830.86824355482486</v>
      </c>
      <c r="AG93" s="21">
        <f t="shared" si="61"/>
        <v>-2981.4347327694577</v>
      </c>
      <c r="AH93" s="21">
        <f t="shared" si="62"/>
        <v>1316.0793913019854</v>
      </c>
      <c r="AI93" s="21">
        <f t="shared" si="63"/>
        <v>0</v>
      </c>
      <c r="AJ93" s="21">
        <f t="shared" si="64"/>
        <v>22632.455932521134</v>
      </c>
      <c r="AK93" s="21">
        <f t="shared" si="65"/>
        <v>9079.4733597798768</v>
      </c>
      <c r="AL93" s="23">
        <f t="shared" si="66"/>
        <v>22662.367313019931</v>
      </c>
      <c r="AM93" s="23"/>
    </row>
    <row r="94" spans="1:39" x14ac:dyDescent="0.3">
      <c r="A94" s="13">
        <f t="shared" si="41"/>
        <v>89</v>
      </c>
      <c r="B94" s="1">
        <v>45525</v>
      </c>
      <c r="C94" s="7">
        <v>2024</v>
      </c>
      <c r="D94" s="7">
        <v>2</v>
      </c>
      <c r="E94" s="77">
        <v>19.27</v>
      </c>
      <c r="F94" s="2">
        <v>49.949371337890618</v>
      </c>
      <c r="G94" s="2">
        <v>33.378498077392578</v>
      </c>
      <c r="H94" s="2">
        <v>12.325704574584959</v>
      </c>
      <c r="I94" s="2">
        <v>253.69999694824219</v>
      </c>
      <c r="J94" s="2">
        <v>10.569999694824221</v>
      </c>
      <c r="K94" s="2">
        <v>452.57791137695313</v>
      </c>
      <c r="L94" s="2">
        <v>178.2200012207031</v>
      </c>
      <c r="M94" s="2">
        <v>222.7200012207031</v>
      </c>
      <c r="N94" s="12">
        <f t="shared" si="42"/>
        <v>-1.8921221593160009E-4</v>
      </c>
      <c r="O94" s="12">
        <f t="shared" si="43"/>
        <v>-3.2277294471473317E-3</v>
      </c>
      <c r="P94" s="12">
        <f t="shared" si="44"/>
        <v>0</v>
      </c>
      <c r="Q94" s="12">
        <f t="shared" si="45"/>
        <v>1.8752753450736126E-2</v>
      </c>
      <c r="R94" s="12">
        <f t="shared" si="46"/>
        <v>2.8462744857464806E-3</v>
      </c>
      <c r="S94" s="12">
        <f t="shared" si="47"/>
        <v>3.5177081094659446E-3</v>
      </c>
      <c r="T94" s="12">
        <f t="shared" si="48"/>
        <v>2.1823141419388348E-2</v>
      </c>
      <c r="U94" s="12">
        <f t="shared" si="49"/>
        <v>4.6174227188554573E-2</v>
      </c>
      <c r="V94" s="19">
        <f t="shared" si="50"/>
        <v>47.451755170145084</v>
      </c>
      <c r="W94" s="19">
        <f t="shared" si="51"/>
        <v>32.261962103662839</v>
      </c>
      <c r="X94" s="19">
        <f t="shared" si="52"/>
        <v>11.62109470367432</v>
      </c>
      <c r="Y94" s="19">
        <f t="shared" si="53"/>
        <v>270.376974547852</v>
      </c>
      <c r="Z94" s="19">
        <f t="shared" si="54"/>
        <v>15.604288451809259</v>
      </c>
      <c r="AA94" s="19">
        <f t="shared" si="55"/>
        <v>488.92073025016668</v>
      </c>
      <c r="AB94" s="19">
        <f t="shared" si="56"/>
        <v>4667.3140923783621</v>
      </c>
      <c r="AC94" s="19">
        <f t="shared" si="57"/>
        <v>8796.0525122164363</v>
      </c>
      <c r="AD94" s="21">
        <f t="shared" si="58"/>
        <v>-179.60301799675449</v>
      </c>
      <c r="AE94" s="21">
        <f t="shared" si="59"/>
        <v>-2977.3974589393752</v>
      </c>
      <c r="AF94" s="21">
        <f t="shared" si="60"/>
        <v>0</v>
      </c>
      <c r="AG94" s="21">
        <f t="shared" si="61"/>
        <v>18912.526475196977</v>
      </c>
      <c r="AH94" s="21">
        <f t="shared" si="62"/>
        <v>1979.6750390074146</v>
      </c>
      <c r="AI94" s="21">
        <f t="shared" si="63"/>
        <v>5998.4805582005829</v>
      </c>
      <c r="AJ94" s="21">
        <f t="shared" si="64"/>
        <v>29904.036625709614</v>
      </c>
      <c r="AK94" s="21">
        <f t="shared" si="65"/>
        <v>77644.988092090716</v>
      </c>
      <c r="AL94" s="23">
        <f t="shared" si="66"/>
        <v>131282.70631326918</v>
      </c>
      <c r="AM94" s="23"/>
    </row>
    <row r="95" spans="1:39" x14ac:dyDescent="0.3">
      <c r="A95" s="13">
        <f t="shared" si="41"/>
        <v>90</v>
      </c>
      <c r="B95" s="1">
        <v>45524</v>
      </c>
      <c r="C95" s="7">
        <v>2024</v>
      </c>
      <c r="D95" s="7">
        <v>2</v>
      </c>
      <c r="E95" s="77">
        <v>18.981999999999999</v>
      </c>
      <c r="F95" s="2">
        <v>49.958824157714837</v>
      </c>
      <c r="G95" s="2">
        <v>33.486583709716797</v>
      </c>
      <c r="H95" s="2">
        <v>12.325704574584959</v>
      </c>
      <c r="I95" s="2">
        <v>249.0299987792969</v>
      </c>
      <c r="J95" s="2">
        <v>10.539999961853029</v>
      </c>
      <c r="K95" s="2">
        <v>450.991455078125</v>
      </c>
      <c r="L95" s="2">
        <v>177.05999755859381</v>
      </c>
      <c r="M95" s="2">
        <v>216.1199951171875</v>
      </c>
      <c r="N95" s="12">
        <f t="shared" si="42"/>
        <v>-3.3909227068998904E-3</v>
      </c>
      <c r="O95" s="12">
        <f t="shared" si="43"/>
        <v>2.3530150610320266E-3</v>
      </c>
      <c r="P95" s="12">
        <f t="shared" si="44"/>
        <v>-1.9731668602259389E-2</v>
      </c>
      <c r="Q95" s="12">
        <f t="shared" si="45"/>
        <v>-2.3603231524914947E-2</v>
      </c>
      <c r="R95" s="12">
        <f t="shared" si="46"/>
        <v>-2.8381962003160011E-3</v>
      </c>
      <c r="S95" s="12">
        <f t="shared" si="47"/>
        <v>6.6816067191273198E-3</v>
      </c>
      <c r="T95" s="12">
        <f t="shared" si="48"/>
        <v>1.4437725414155667E-2</v>
      </c>
      <c r="U95" s="12">
        <f t="shared" si="49"/>
        <v>2.6882110347146604E-2</v>
      </c>
      <c r="V95" s="19">
        <f t="shared" si="50"/>
        <v>47.299799635958628</v>
      </c>
      <c r="W95" s="19">
        <f t="shared" si="51"/>
        <v>32.442590892356215</v>
      </c>
      <c r="X95" s="19">
        <f t="shared" si="52"/>
        <v>11.391791114185947</v>
      </c>
      <c r="Y95" s="19">
        <f t="shared" si="53"/>
        <v>259.13569639383462</v>
      </c>
      <c r="Z95" s="19">
        <f t="shared" si="54"/>
        <v>15.515838085548827</v>
      </c>
      <c r="AA95" s="19">
        <f t="shared" si="55"/>
        <v>490.46220341618317</v>
      </c>
      <c r="AB95" s="19">
        <f t="shared" si="56"/>
        <v>4633.5802153481181</v>
      </c>
      <c r="AC95" s="19">
        <f t="shared" si="57"/>
        <v>8633.847720319709</v>
      </c>
      <c r="AD95" s="21">
        <f t="shared" si="58"/>
        <v>-3218.7137017258747</v>
      </c>
      <c r="AE95" s="21">
        <f t="shared" si="59"/>
        <v>2170.5230188218393</v>
      </c>
      <c r="AF95" s="21">
        <f t="shared" si="60"/>
        <v>-20362.158746567486</v>
      </c>
      <c r="AG95" s="21">
        <f t="shared" si="61"/>
        <v>-23804.330510069063</v>
      </c>
      <c r="AH95" s="21">
        <f t="shared" si="62"/>
        <v>-1974.0563328338815</v>
      </c>
      <c r="AI95" s="21">
        <f t="shared" si="63"/>
        <v>11393.63663925829</v>
      </c>
      <c r="AJ95" s="21">
        <f t="shared" si="64"/>
        <v>19783.873516636413</v>
      </c>
      <c r="AK95" s="21">
        <f t="shared" si="65"/>
        <v>45204.02971274525</v>
      </c>
      <c r="AL95" s="23">
        <f t="shared" si="66"/>
        <v>29192.80359626549</v>
      </c>
      <c r="AM95" s="23"/>
    </row>
    <row r="96" spans="1:39" x14ac:dyDescent="0.3">
      <c r="A96" s="13">
        <f t="shared" si="41"/>
        <v>91</v>
      </c>
      <c r="B96" s="1">
        <v>45523</v>
      </c>
      <c r="C96" s="7">
        <v>2024</v>
      </c>
      <c r="D96" s="7">
        <v>2</v>
      </c>
      <c r="E96" s="77">
        <v>18.655999999999999</v>
      </c>
      <c r="F96" s="2">
        <v>50.128807067871087</v>
      </c>
      <c r="G96" s="2">
        <v>33.407974243164063</v>
      </c>
      <c r="H96" s="2">
        <v>12.573806762695311</v>
      </c>
      <c r="I96" s="2">
        <v>255.05000305175781</v>
      </c>
      <c r="J96" s="2">
        <v>10.569999694824221</v>
      </c>
      <c r="K96" s="2">
        <v>447.99810791015619</v>
      </c>
      <c r="L96" s="2">
        <v>177.5899963378906</v>
      </c>
      <c r="M96" s="2">
        <v>214.13999938964841</v>
      </c>
      <c r="N96" s="12">
        <f t="shared" si="42"/>
        <v>1.0662396662751705E-2</v>
      </c>
      <c r="O96" s="12">
        <f t="shared" si="43"/>
        <v>-5.8793643895849179E-4</v>
      </c>
      <c r="P96" s="12">
        <f t="shared" si="44"/>
        <v>5.3200366366904284E-2</v>
      </c>
      <c r="Q96" s="12">
        <f t="shared" si="45"/>
        <v>8.3020602049872494E-3</v>
      </c>
      <c r="R96" s="12">
        <f t="shared" si="46"/>
        <v>-1.8886173253531702E-3</v>
      </c>
      <c r="S96" s="12">
        <f t="shared" si="47"/>
        <v>7.5191469016032908E-2</v>
      </c>
      <c r="T96" s="12">
        <f t="shared" si="48"/>
        <v>4.537768831918676E-2</v>
      </c>
      <c r="U96" s="12">
        <f t="shared" si="49"/>
        <v>6.4732492364401484E-2</v>
      </c>
      <c r="V96" s="19">
        <f t="shared" si="50"/>
        <v>47.96678050694377</v>
      </c>
      <c r="W96" s="19">
        <f t="shared" si="51"/>
        <v>32.347402785057866</v>
      </c>
      <c r="X96" s="19">
        <f t="shared" si="52"/>
        <v>12.239341199494286</v>
      </c>
      <c r="Y96" s="19">
        <f t="shared" si="53"/>
        <v>267.60336062421624</v>
      </c>
      <c r="Z96" s="19">
        <f t="shared" si="54"/>
        <v>15.530613533241709</v>
      </c>
      <c r="AA96" s="19">
        <f t="shared" si="55"/>
        <v>523.84067958342951</v>
      </c>
      <c r="AB96" s="19">
        <f t="shared" si="56"/>
        <v>4774.9026409527332</v>
      </c>
      <c r="AC96" s="19">
        <f t="shared" si="57"/>
        <v>8952.0872058458808</v>
      </c>
      <c r="AD96" s="21">
        <f t="shared" si="58"/>
        <v>10120.903717976973</v>
      </c>
      <c r="AE96" s="21">
        <f t="shared" si="59"/>
        <v>-542.33803918108595</v>
      </c>
      <c r="AF96" s="21">
        <f t="shared" si="60"/>
        <v>54900.288828812947</v>
      </c>
      <c r="AG96" s="21">
        <f t="shared" si="61"/>
        <v>8372.7935653810728</v>
      </c>
      <c r="AH96" s="21">
        <f t="shared" si="62"/>
        <v>-1313.5938209620524</v>
      </c>
      <c r="AI96" s="21">
        <f t="shared" si="63"/>
        <v>128218.30322462045</v>
      </c>
      <c r="AJ96" s="21">
        <f t="shared" si="64"/>
        <v>62180.601198020944</v>
      </c>
      <c r="AK96" s="21">
        <f t="shared" si="65"/>
        <v>108851.92681797962</v>
      </c>
      <c r="AL96" s="23">
        <f t="shared" si="66"/>
        <v>370788.88549264887</v>
      </c>
      <c r="AM96" s="23"/>
    </row>
    <row r="97" spans="1:39" x14ac:dyDescent="0.3">
      <c r="A97" s="13">
        <f t="shared" si="41"/>
        <v>92</v>
      </c>
      <c r="B97" s="1">
        <v>45520</v>
      </c>
      <c r="C97" s="7">
        <v>2024</v>
      </c>
      <c r="D97" s="7">
        <v>2</v>
      </c>
      <c r="E97" s="77">
        <v>18.632000000000001</v>
      </c>
      <c r="F97" s="2">
        <v>49.599952697753913</v>
      </c>
      <c r="G97" s="2">
        <v>33.427627563476563</v>
      </c>
      <c r="H97" s="2">
        <v>11.93866539001465</v>
      </c>
      <c r="I97" s="2">
        <v>252.94999694824219</v>
      </c>
      <c r="J97" s="2">
        <v>10.590000152587891</v>
      </c>
      <c r="K97" s="2">
        <v>416.668212890625</v>
      </c>
      <c r="L97" s="2">
        <v>170.1000061035156</v>
      </c>
      <c r="M97" s="2">
        <v>201.3800048828125</v>
      </c>
      <c r="N97" s="12">
        <f t="shared" si="42"/>
        <v>-5.7057193937493089E-4</v>
      </c>
      <c r="O97" s="12">
        <f t="shared" si="43"/>
        <v>1.0995613868606702E-2</v>
      </c>
      <c r="P97" s="12">
        <f t="shared" si="44"/>
        <v>-8.306326001147335E-4</v>
      </c>
      <c r="Q97" s="12">
        <f t="shared" si="45"/>
        <v>9.7804269390906473E-3</v>
      </c>
      <c r="R97" s="12">
        <f t="shared" si="46"/>
        <v>-4.6992658948773469E-3</v>
      </c>
      <c r="S97" s="12">
        <f t="shared" si="47"/>
        <v>5.5382217873742867E-3</v>
      </c>
      <c r="T97" s="12">
        <f t="shared" si="48"/>
        <v>-1.0424105566116948E-3</v>
      </c>
      <c r="U97" s="12">
        <f t="shared" si="49"/>
        <v>-3.1305318300576257E-2</v>
      </c>
      <c r="V97" s="19">
        <f t="shared" si="50"/>
        <v>47.433655557248635</v>
      </c>
      <c r="W97" s="19">
        <f t="shared" si="51"/>
        <v>32.722320980606455</v>
      </c>
      <c r="X97" s="19">
        <f t="shared" si="52"/>
        <v>11.611441843564428</v>
      </c>
      <c r="Y97" s="19">
        <f t="shared" si="53"/>
        <v>267.99571914642405</v>
      </c>
      <c r="Z97" s="19">
        <f t="shared" si="54"/>
        <v>15.486879840320517</v>
      </c>
      <c r="AA97" s="19">
        <f t="shared" si="55"/>
        <v>489.90513841247451</v>
      </c>
      <c r="AB97" s="19">
        <f t="shared" si="56"/>
        <v>4562.8726204232926</v>
      </c>
      <c r="AC97" s="19">
        <f t="shared" si="57"/>
        <v>8144.6178534058008</v>
      </c>
      <c r="AD97" s="21">
        <f t="shared" si="58"/>
        <v>-541.59527592574364</v>
      </c>
      <c r="AE97" s="21">
        <f t="shared" si="59"/>
        <v>10142.830533953675</v>
      </c>
      <c r="AF97" s="21">
        <f t="shared" si="60"/>
        <v>-857.1739777583872</v>
      </c>
      <c r="AG97" s="21">
        <f t="shared" si="61"/>
        <v>9863.755949770768</v>
      </c>
      <c r="AH97" s="21">
        <f t="shared" si="62"/>
        <v>-3268.4898945393347</v>
      </c>
      <c r="AI97" s="21">
        <f t="shared" si="63"/>
        <v>9443.9091262779875</v>
      </c>
      <c r="AJ97" s="21">
        <f t="shared" si="64"/>
        <v>-1428.4049608112582</v>
      </c>
      <c r="AK97" s="21">
        <f t="shared" si="65"/>
        <v>-52641.94367003638</v>
      </c>
      <c r="AL97" s="23">
        <f t="shared" si="66"/>
        <v>-29287.112169068674</v>
      </c>
      <c r="AM97" s="23"/>
    </row>
    <row r="98" spans="1:39" x14ac:dyDescent="0.3">
      <c r="A98" s="13">
        <f t="shared" si="41"/>
        <v>93</v>
      </c>
      <c r="B98" s="1">
        <v>45519</v>
      </c>
      <c r="C98" s="7">
        <v>2024</v>
      </c>
      <c r="D98" s="7">
        <v>2</v>
      </c>
      <c r="E98" s="77">
        <v>18.6372</v>
      </c>
      <c r="F98" s="2">
        <v>49.628269195556641</v>
      </c>
      <c r="G98" s="2">
        <v>33.064067840576172</v>
      </c>
      <c r="H98" s="2">
        <v>11.94859027862549</v>
      </c>
      <c r="I98" s="2">
        <v>250.5</v>
      </c>
      <c r="J98" s="2">
        <v>10.64000034332275</v>
      </c>
      <c r="K98" s="2">
        <v>414.37332153320313</v>
      </c>
      <c r="L98" s="2">
        <v>170.22999572753909</v>
      </c>
      <c r="M98" s="2">
        <v>207.83000183105469</v>
      </c>
      <c r="N98" s="12">
        <f t="shared" si="42"/>
        <v>1.1549376287495194E-2</v>
      </c>
      <c r="O98" s="12">
        <f t="shared" si="43"/>
        <v>1.9696896079479442E-2</v>
      </c>
      <c r="P98" s="12">
        <f t="shared" si="44"/>
        <v>1.0915282605938659E-2</v>
      </c>
      <c r="Q98" s="12">
        <f t="shared" si="45"/>
        <v>3.3927692183088665E-2</v>
      </c>
      <c r="R98" s="12">
        <f t="shared" si="46"/>
        <v>4.5186642864155413E-2</v>
      </c>
      <c r="S98" s="12">
        <f t="shared" si="47"/>
        <v>0</v>
      </c>
      <c r="T98" s="12">
        <f t="shared" si="48"/>
        <v>1.2803309533681695E-2</v>
      </c>
      <c r="U98" s="12">
        <f t="shared" si="49"/>
        <v>4.4355113109450395E-2</v>
      </c>
      <c r="V98" s="19">
        <f t="shared" si="50"/>
        <v>48.008877212148882</v>
      </c>
      <c r="W98" s="19">
        <f t="shared" si="51"/>
        <v>33.003950441250204</v>
      </c>
      <c r="X98" s="19">
        <f t="shared" si="52"/>
        <v>11.747942236555302</v>
      </c>
      <c r="Y98" s="19">
        <f t="shared" si="53"/>
        <v>274.40440319479791</v>
      </c>
      <c r="Z98" s="19">
        <f t="shared" si="54"/>
        <v>16.263104601544029</v>
      </c>
      <c r="AA98" s="19">
        <f t="shared" si="55"/>
        <v>487.20687866210938</v>
      </c>
      <c r="AB98" s="19">
        <f t="shared" si="56"/>
        <v>4626.1148018508802</v>
      </c>
      <c r="AC98" s="19">
        <f t="shared" si="57"/>
        <v>8780.7577147059746</v>
      </c>
      <c r="AD98" s="21">
        <f t="shared" si="58"/>
        <v>10962.837822079195</v>
      </c>
      <c r="AE98" s="21">
        <f t="shared" si="59"/>
        <v>18169.270162300534</v>
      </c>
      <c r="AF98" s="21">
        <f t="shared" si="60"/>
        <v>11264.060919831176</v>
      </c>
      <c r="AG98" s="21">
        <f t="shared" si="61"/>
        <v>34216.755333591427</v>
      </c>
      <c r="AH98" s="21">
        <f t="shared" si="62"/>
        <v>31428.756932151642</v>
      </c>
      <c r="AI98" s="21">
        <f t="shared" si="63"/>
        <v>0</v>
      </c>
      <c r="AJ98" s="21">
        <f t="shared" si="64"/>
        <v>17544.249467465033</v>
      </c>
      <c r="AK98" s="21">
        <f t="shared" si="65"/>
        <v>74586.028589998386</v>
      </c>
      <c r="AL98" s="23">
        <f t="shared" si="66"/>
        <v>198171.95922741742</v>
      </c>
      <c r="AM98" s="23"/>
    </row>
    <row r="99" spans="1:39" x14ac:dyDescent="0.3">
      <c r="A99" s="13">
        <f t="shared" si="41"/>
        <v>94</v>
      </c>
      <c r="B99" s="1">
        <v>45518</v>
      </c>
      <c r="C99" s="7">
        <v>2024</v>
      </c>
      <c r="D99" s="7">
        <v>2</v>
      </c>
      <c r="E99" s="77">
        <v>18.78</v>
      </c>
      <c r="F99" s="2">
        <v>49.061637878417969</v>
      </c>
      <c r="G99" s="2">
        <v>32.425388336181641</v>
      </c>
      <c r="H99" s="2">
        <v>11.819576263427731</v>
      </c>
      <c r="I99" s="2">
        <v>242.2799987792969</v>
      </c>
      <c r="J99" s="2">
        <v>10.180000305175779</v>
      </c>
      <c r="K99" s="2">
        <v>414.37332153320313</v>
      </c>
      <c r="L99" s="2">
        <v>166.80000305175781</v>
      </c>
      <c r="M99" s="2">
        <v>197.49000549316409</v>
      </c>
      <c r="N99" s="12">
        <f t="shared" si="42"/>
        <v>-1.5375336376726167E-3</v>
      </c>
      <c r="O99" s="12">
        <f t="shared" si="43"/>
        <v>-1.7272178319321152E-2</v>
      </c>
      <c r="P99" s="12">
        <f t="shared" si="44"/>
        <v>-5.0126194569407589E-3</v>
      </c>
      <c r="Q99" s="12">
        <f t="shared" si="45"/>
        <v>-3.8238884457760802E-3</v>
      </c>
      <c r="R99" s="12">
        <f t="shared" si="46"/>
        <v>-2.1153780906155495E-2</v>
      </c>
      <c r="S99" s="12">
        <f t="shared" si="47"/>
        <v>0</v>
      </c>
      <c r="T99" s="12">
        <f t="shared" si="48"/>
        <v>-1.225189778066893E-2</v>
      </c>
      <c r="U99" s="12">
        <f t="shared" si="49"/>
        <v>-2.3829472242558936E-2</v>
      </c>
      <c r="V99" s="19">
        <f t="shared" si="50"/>
        <v>47.387762844020138</v>
      </c>
      <c r="W99" s="19">
        <f t="shared" si="51"/>
        <v>31.807393401596528</v>
      </c>
      <c r="X99" s="19">
        <f t="shared" si="52"/>
        <v>11.562842578251731</v>
      </c>
      <c r="Y99" s="19">
        <f t="shared" si="53"/>
        <v>264.38513392631455</v>
      </c>
      <c r="Z99" s="19">
        <f t="shared" si="54"/>
        <v>15.230847579840439</v>
      </c>
      <c r="AA99" s="19">
        <f t="shared" si="55"/>
        <v>487.20687866210938</v>
      </c>
      <c r="AB99" s="19">
        <f t="shared" si="56"/>
        <v>4511.6717857891272</v>
      </c>
      <c r="AC99" s="19">
        <f t="shared" si="57"/>
        <v>8207.4734780146027</v>
      </c>
      <c r="AD99" s="21">
        <f t="shared" si="58"/>
        <v>-1459.4495404956831</v>
      </c>
      <c r="AE99" s="21">
        <f t="shared" si="59"/>
        <v>-15932.605467829237</v>
      </c>
      <c r="AF99" s="21">
        <f t="shared" si="60"/>
        <v>-5172.7887375259188</v>
      </c>
      <c r="AG99" s="21">
        <f t="shared" si="61"/>
        <v>-3856.4678866453278</v>
      </c>
      <c r="AH99" s="21">
        <f t="shared" si="62"/>
        <v>-14713.131937998811</v>
      </c>
      <c r="AI99" s="21">
        <f t="shared" si="63"/>
        <v>0</v>
      </c>
      <c r="AJ99" s="21">
        <f t="shared" si="64"/>
        <v>-16788.655351060879</v>
      </c>
      <c r="AK99" s="21">
        <f t="shared" si="65"/>
        <v>-40070.818748275997</v>
      </c>
      <c r="AL99" s="23">
        <f t="shared" si="66"/>
        <v>-97993.917669831862</v>
      </c>
      <c r="AM99" s="23"/>
    </row>
    <row r="100" spans="1:39" x14ac:dyDescent="0.3">
      <c r="A100" s="13">
        <f t="shared" si="41"/>
        <v>95</v>
      </c>
      <c r="B100" s="1">
        <v>45517</v>
      </c>
      <c r="C100" s="7">
        <v>2024</v>
      </c>
      <c r="D100" s="7">
        <v>2</v>
      </c>
      <c r="E100" s="77">
        <v>18.997</v>
      </c>
      <c r="F100" s="2">
        <v>49.137187957763672</v>
      </c>
      <c r="G100" s="2">
        <v>32.995288848876953</v>
      </c>
      <c r="H100" s="2">
        <v>11.87912178039551</v>
      </c>
      <c r="I100" s="2">
        <v>243.21000671386719</v>
      </c>
      <c r="J100" s="2">
        <v>10.39999961853027</v>
      </c>
      <c r="K100" s="2">
        <v>414.37332153320313</v>
      </c>
      <c r="L100" s="2">
        <v>166.94000244140619</v>
      </c>
      <c r="M100" s="2">
        <v>200</v>
      </c>
      <c r="N100" s="12">
        <f t="shared" si="42"/>
        <v>3.6650355283340819E-3</v>
      </c>
      <c r="O100" s="12">
        <f t="shared" si="43"/>
        <v>2.6873521605643713E-3</v>
      </c>
      <c r="P100" s="12">
        <f t="shared" si="44"/>
        <v>-6.6389088481837444E-3</v>
      </c>
      <c r="Q100" s="12">
        <f t="shared" si="45"/>
        <v>-1.3786926272533639E-2</v>
      </c>
      <c r="R100" s="12">
        <f t="shared" si="46"/>
        <v>-1.9194297137465899E-3</v>
      </c>
      <c r="S100" s="12">
        <f t="shared" si="47"/>
        <v>0</v>
      </c>
      <c r="T100" s="12">
        <f t="shared" si="48"/>
        <v>3.6003266115023358E-3</v>
      </c>
      <c r="U100" s="12">
        <f t="shared" si="49"/>
        <v>2.5618206181794445E-3</v>
      </c>
      <c r="V100" s="19">
        <f t="shared" si="50"/>
        <v>47.634680602197413</v>
      </c>
      <c r="W100" s="19">
        <f t="shared" si="51"/>
        <v>32.45341219141681</v>
      </c>
      <c r="X100" s="19">
        <f t="shared" si="52"/>
        <v>11.543943315220515</v>
      </c>
      <c r="Y100" s="19">
        <f t="shared" si="53"/>
        <v>261.74094374790269</v>
      </c>
      <c r="Z100" s="19">
        <f t="shared" si="54"/>
        <v>15.530134092465378</v>
      </c>
      <c r="AA100" s="19">
        <f t="shared" si="55"/>
        <v>487.20687866210938</v>
      </c>
      <c r="AB100" s="19">
        <f t="shared" si="56"/>
        <v>4584.0789444275106</v>
      </c>
      <c r="AC100" s="19">
        <f t="shared" si="57"/>
        <v>8429.3669177834054</v>
      </c>
      <c r="AD100" s="21">
        <f t="shared" si="58"/>
        <v>3478.9056230498263</v>
      </c>
      <c r="AE100" s="21">
        <f t="shared" si="59"/>
        <v>2478.9300420487948</v>
      </c>
      <c r="AF100" s="21">
        <f t="shared" si="60"/>
        <v>-6851.0432946978726</v>
      </c>
      <c r="AG100" s="21">
        <f t="shared" si="61"/>
        <v>-13904.390564610401</v>
      </c>
      <c r="AH100" s="21">
        <f t="shared" si="62"/>
        <v>-1335.0248236640628</v>
      </c>
      <c r="AI100" s="21">
        <f t="shared" si="63"/>
        <v>0</v>
      </c>
      <c r="AJ100" s="21">
        <f t="shared" si="64"/>
        <v>4933.492240454143</v>
      </c>
      <c r="AK100" s="21">
        <f t="shared" si="65"/>
        <v>4307.8692054845305</v>
      </c>
      <c r="AL100" s="23">
        <f t="shared" si="66"/>
        <v>-6891.2615719350433</v>
      </c>
      <c r="AM100" s="23"/>
    </row>
    <row r="101" spans="1:39" x14ac:dyDescent="0.3">
      <c r="A101" s="13">
        <f t="shared" si="41"/>
        <v>96</v>
      </c>
      <c r="B101" s="1">
        <v>45516</v>
      </c>
      <c r="C101" s="7">
        <v>2024</v>
      </c>
      <c r="D101" s="7">
        <v>2</v>
      </c>
      <c r="E101" s="77">
        <v>19.059000000000001</v>
      </c>
      <c r="F101" s="2">
        <v>48.957756042480469</v>
      </c>
      <c r="G101" s="2">
        <v>32.906856536865227</v>
      </c>
      <c r="H101" s="2">
        <v>11.958513259887701</v>
      </c>
      <c r="I101" s="2">
        <v>246.61000061035159</v>
      </c>
      <c r="J101" s="2">
        <v>10.420000076293951</v>
      </c>
      <c r="K101" s="2">
        <v>414.37332153320313</v>
      </c>
      <c r="L101" s="2">
        <v>165.80000305175781</v>
      </c>
      <c r="M101" s="2">
        <v>198.8399963378906</v>
      </c>
      <c r="N101" s="12">
        <f t="shared" si="42"/>
        <v>4.8459574624011292E-3</v>
      </c>
      <c r="O101" s="12">
        <f t="shared" si="43"/>
        <v>6.0078236053726641E-3</v>
      </c>
      <c r="P101" s="12">
        <f t="shared" si="44"/>
        <v>6.683278525118963E-3</v>
      </c>
      <c r="Q101" s="12">
        <f t="shared" si="45"/>
        <v>-1.9830250144095007E-3</v>
      </c>
      <c r="R101" s="12">
        <f t="shared" si="46"/>
        <v>6.7632552892988862E-3</v>
      </c>
      <c r="S101" s="12">
        <f t="shared" si="47"/>
        <v>7.2293102726517233E-4</v>
      </c>
      <c r="T101" s="12">
        <f t="shared" si="48"/>
        <v>3.1331672372618913E-2</v>
      </c>
      <c r="U101" s="12">
        <f t="shared" si="49"/>
        <v>4.9866151053311158E-2</v>
      </c>
      <c r="V101" s="19">
        <f t="shared" si="50"/>
        <v>47.690728025544985</v>
      </c>
      <c r="W101" s="19">
        <f t="shared" si="51"/>
        <v>32.560884005273834</v>
      </c>
      <c r="X101" s="19">
        <f t="shared" si="52"/>
        <v>11.698761716345761</v>
      </c>
      <c r="Y101" s="19">
        <f t="shared" si="53"/>
        <v>264.87369906976352</v>
      </c>
      <c r="Z101" s="19">
        <f t="shared" si="54"/>
        <v>15.665236674756164</v>
      </c>
      <c r="AA101" s="19">
        <f t="shared" si="55"/>
        <v>487.55909563139124</v>
      </c>
      <c r="AB101" s="19">
        <f t="shared" si="56"/>
        <v>4710.745581367918</v>
      </c>
      <c r="AC101" s="19">
        <f t="shared" si="57"/>
        <v>8827.0935714793613</v>
      </c>
      <c r="AD101" s="21">
        <f t="shared" si="58"/>
        <v>4599.8540900012586</v>
      </c>
      <c r="AE101" s="21">
        <f t="shared" si="59"/>
        <v>5541.8767369739999</v>
      </c>
      <c r="AF101" s="21">
        <f t="shared" si="60"/>
        <v>6896.8307252239356</v>
      </c>
      <c r="AG101" s="21">
        <f t="shared" si="61"/>
        <v>-1999.9203415392572</v>
      </c>
      <c r="AH101" s="21">
        <f t="shared" si="62"/>
        <v>4704.0606047340752</v>
      </c>
      <c r="AI101" s="21">
        <f t="shared" si="63"/>
        <v>1232.7593924865425</v>
      </c>
      <c r="AJ101" s="21">
        <f t="shared" si="64"/>
        <v>42933.483322576372</v>
      </c>
      <c r="AK101" s="21">
        <f t="shared" si="65"/>
        <v>83853.199944675725</v>
      </c>
      <c r="AL101" s="23">
        <f t="shared" si="66"/>
        <v>147762.14447513263</v>
      </c>
      <c r="AM101" s="23"/>
    </row>
    <row r="102" spans="1:39" x14ac:dyDescent="0.3">
      <c r="A102" s="13">
        <f t="shared" si="41"/>
        <v>97</v>
      </c>
      <c r="B102" s="1">
        <v>45513</v>
      </c>
      <c r="C102" s="7">
        <v>2024</v>
      </c>
      <c r="D102" s="7">
        <v>2</v>
      </c>
      <c r="E102" s="77">
        <v>18.824000000000002</v>
      </c>
      <c r="F102" s="2">
        <v>48.721652984619141</v>
      </c>
      <c r="G102" s="2">
        <v>32.710338592529297</v>
      </c>
      <c r="H102" s="2">
        <v>11.87912178039551</v>
      </c>
      <c r="I102" s="2">
        <v>247.1000061035156</v>
      </c>
      <c r="J102" s="2">
        <v>10.35000038146973</v>
      </c>
      <c r="K102" s="2">
        <v>414.073974609375</v>
      </c>
      <c r="L102" s="2">
        <v>162.77000427246091</v>
      </c>
      <c r="M102" s="2">
        <v>191.75999450683591</v>
      </c>
      <c r="N102" s="12">
        <f t="shared" si="42"/>
        <v>-1.9343833475178318E-3</v>
      </c>
      <c r="O102" s="12">
        <f t="shared" si="43"/>
        <v>-3.0032428260562405E-4</v>
      </c>
      <c r="P102" s="12">
        <f t="shared" si="44"/>
        <v>8.3626914046375234E-4</v>
      </c>
      <c r="Q102" s="12">
        <f t="shared" si="45"/>
        <v>-2.2044532812737772E-2</v>
      </c>
      <c r="R102" s="12">
        <f t="shared" si="46"/>
        <v>-2.9080625739186683E-2</v>
      </c>
      <c r="S102" s="12">
        <f t="shared" si="47"/>
        <v>-2.2241163212526116E-2</v>
      </c>
      <c r="T102" s="12">
        <f t="shared" si="48"/>
        <v>3.2687949131842142E-3</v>
      </c>
      <c r="U102" s="12">
        <f t="shared" si="49"/>
        <v>-4.6082718868697081E-2</v>
      </c>
      <c r="V102" s="19">
        <f t="shared" si="50"/>
        <v>47.368928064978938</v>
      </c>
      <c r="W102" s="19">
        <f t="shared" si="51"/>
        <v>32.356711764413468</v>
      </c>
      <c r="X102" s="19">
        <f t="shared" si="52"/>
        <v>11.63081306655341</v>
      </c>
      <c r="Y102" s="19">
        <f t="shared" si="53"/>
        <v>259.5493750225329</v>
      </c>
      <c r="Z102" s="19">
        <f t="shared" si="54"/>
        <v>15.107505870912238</v>
      </c>
      <c r="AA102" s="19">
        <f t="shared" si="55"/>
        <v>476.37083095551998</v>
      </c>
      <c r="AB102" s="19">
        <f t="shared" si="56"/>
        <v>4582.5646289800434</v>
      </c>
      <c r="AC102" s="19">
        <f t="shared" si="57"/>
        <v>8020.3720174702721</v>
      </c>
      <c r="AD102" s="21">
        <f t="shared" si="58"/>
        <v>-1836.1451213196744</v>
      </c>
      <c r="AE102" s="21">
        <f t="shared" si="59"/>
        <v>-277.03212754643403</v>
      </c>
      <c r="AF102" s="21">
        <f t="shared" si="60"/>
        <v>862.99062366317253</v>
      </c>
      <c r="AG102" s="21">
        <f t="shared" si="61"/>
        <v>-22232.351721015606</v>
      </c>
      <c r="AH102" s="21">
        <f t="shared" si="62"/>
        <v>-20226.506327089413</v>
      </c>
      <c r="AI102" s="21">
        <f t="shared" si="63"/>
        <v>-37926.166973062893</v>
      </c>
      <c r="AJ102" s="21">
        <f t="shared" si="64"/>
        <v>4479.1976062139838</v>
      </c>
      <c r="AK102" s="21">
        <f t="shared" si="65"/>
        <v>-77491.110857142121</v>
      </c>
      <c r="AL102" s="23">
        <f t="shared" si="66"/>
        <v>-154647.12489729899</v>
      </c>
      <c r="AM102" s="23"/>
    </row>
    <row r="103" spans="1:39" x14ac:dyDescent="0.3">
      <c r="A103" s="13">
        <f t="shared" si="41"/>
        <v>98</v>
      </c>
      <c r="B103" s="1">
        <v>45512</v>
      </c>
      <c r="C103" s="7">
        <v>2024</v>
      </c>
      <c r="D103" s="7">
        <v>2</v>
      </c>
      <c r="E103" s="77">
        <v>18.86</v>
      </c>
      <c r="F103" s="2">
        <v>48.816082000732422</v>
      </c>
      <c r="G103" s="2">
        <v>32.720165252685547</v>
      </c>
      <c r="H103" s="2">
        <v>11.86919593811035</v>
      </c>
      <c r="I103" s="2">
        <v>252.66999816894531</v>
      </c>
      <c r="J103" s="2">
        <v>10.659999847412109</v>
      </c>
      <c r="K103" s="2">
        <v>423.49295043945313</v>
      </c>
      <c r="L103" s="2">
        <v>161.92999267578119</v>
      </c>
      <c r="M103" s="2">
        <v>200.63999938964841</v>
      </c>
      <c r="N103" s="12">
        <f t="shared" si="42"/>
        <v>6.4249345406806047E-3</v>
      </c>
      <c r="O103" s="12">
        <f t="shared" si="43"/>
        <v>-1.8856824664965743E-2</v>
      </c>
      <c r="P103" s="12">
        <f t="shared" si="44"/>
        <v>2.660930540828188E-2</v>
      </c>
      <c r="Q103" s="12">
        <f t="shared" si="45"/>
        <v>-1.5315696964500081E-2</v>
      </c>
      <c r="R103" s="12">
        <f t="shared" si="46"/>
        <v>1.7175602389136069E-2</v>
      </c>
      <c r="S103" s="12">
        <f t="shared" si="47"/>
        <v>8.8307705941610193E-2</v>
      </c>
      <c r="T103" s="12">
        <f t="shared" si="48"/>
        <v>-1.559218361544612E-2</v>
      </c>
      <c r="U103" s="12">
        <f t="shared" si="49"/>
        <v>-1.2461611571754294E-2</v>
      </c>
      <c r="V103" s="19">
        <f t="shared" si="50"/>
        <v>47.765667438735207</v>
      </c>
      <c r="W103" s="19">
        <f t="shared" si="51"/>
        <v>31.756104053105187</v>
      </c>
      <c r="X103" s="19">
        <f t="shared" si="52"/>
        <v>11.930323961822957</v>
      </c>
      <c r="Y103" s="19">
        <f t="shared" si="53"/>
        <v>261.33520801558564</v>
      </c>
      <c r="Z103" s="19">
        <f t="shared" si="54"/>
        <v>15.827252799998826</v>
      </c>
      <c r="AA103" s="19">
        <f t="shared" si="55"/>
        <v>530.23100043573265</v>
      </c>
      <c r="AB103" s="19">
        <f t="shared" si="56"/>
        <v>4496.4145827397115</v>
      </c>
      <c r="AC103" s="19">
        <f t="shared" si="57"/>
        <v>8303.0524903944734</v>
      </c>
      <c r="AD103" s="21">
        <f t="shared" si="58"/>
        <v>6098.6423538057006</v>
      </c>
      <c r="AE103" s="21">
        <f t="shared" si="59"/>
        <v>-17394.351899832462</v>
      </c>
      <c r="AF103" s="21">
        <f t="shared" si="60"/>
        <v>27459.558123598956</v>
      </c>
      <c r="AG103" s="21">
        <f t="shared" si="61"/>
        <v>-15446.186347415209</v>
      </c>
      <c r="AH103" s="21">
        <f t="shared" si="62"/>
        <v>11946.181403081066</v>
      </c>
      <c r="AI103" s="21">
        <f t="shared" si="63"/>
        <v>150584.42620768148</v>
      </c>
      <c r="AJ103" s="21">
        <f t="shared" si="64"/>
        <v>-21365.816265885587</v>
      </c>
      <c r="AK103" s="21">
        <f t="shared" si="65"/>
        <v>-20955.016272301873</v>
      </c>
      <c r="AL103" s="23">
        <f t="shared" si="66"/>
        <v>120927.43730273205</v>
      </c>
      <c r="AM103" s="23"/>
    </row>
    <row r="104" spans="1:39" x14ac:dyDescent="0.3">
      <c r="A104" s="13">
        <f t="shared" si="41"/>
        <v>99</v>
      </c>
      <c r="B104" s="1">
        <v>45511</v>
      </c>
      <c r="C104" s="7">
        <v>2024</v>
      </c>
      <c r="D104" s="7">
        <v>2</v>
      </c>
      <c r="E104" s="77">
        <v>19.266999999999999</v>
      </c>
      <c r="F104" s="2">
        <v>48.504444122314453</v>
      </c>
      <c r="G104" s="2">
        <v>33.349021911621087</v>
      </c>
      <c r="H104" s="2">
        <v>11.561551094055179</v>
      </c>
      <c r="I104" s="2">
        <v>256.60000610351563</v>
      </c>
      <c r="J104" s="2">
        <v>10.47999954223633</v>
      </c>
      <c r="K104" s="2">
        <v>389.12979125976563</v>
      </c>
      <c r="L104" s="2">
        <v>161.02000427246091</v>
      </c>
      <c r="M104" s="2">
        <v>198.8800048828125</v>
      </c>
      <c r="N104" s="12">
        <f t="shared" si="42"/>
        <v>-4.6510393622827273E-3</v>
      </c>
      <c r="O104" s="12">
        <f t="shared" si="43"/>
        <v>1.2831972057653518E-2</v>
      </c>
      <c r="P104" s="12">
        <f t="shared" si="44"/>
        <v>6.0449841958567507E-3</v>
      </c>
      <c r="Q104" s="12">
        <f t="shared" si="45"/>
        <v>-4.6096631585443748E-2</v>
      </c>
      <c r="R104" s="12">
        <f t="shared" si="46"/>
        <v>-1.596244905005928E-2</v>
      </c>
      <c r="S104" s="12">
        <f t="shared" si="47"/>
        <v>0</v>
      </c>
      <c r="T104" s="12">
        <f t="shared" si="48"/>
        <v>-5.5535590983127214E-2</v>
      </c>
      <c r="U104" s="12">
        <f t="shared" si="49"/>
        <v>-5.6865121225309845E-2</v>
      </c>
      <c r="V104" s="19">
        <f t="shared" si="50"/>
        <v>47.239993572903863</v>
      </c>
      <c r="W104" s="19">
        <f t="shared" si="51"/>
        <v>32.781757343408678</v>
      </c>
      <c r="X104" s="19">
        <f t="shared" si="52"/>
        <v>11.691344037496586</v>
      </c>
      <c r="Y104" s="19">
        <f t="shared" si="53"/>
        <v>253.16594815505911</v>
      </c>
      <c r="Z104" s="19">
        <f t="shared" si="54"/>
        <v>15.311624705699666</v>
      </c>
      <c r="AA104" s="19">
        <f t="shared" si="55"/>
        <v>487.20687866210938</v>
      </c>
      <c r="AB104" s="19">
        <f t="shared" si="56"/>
        <v>4313.9677183578524</v>
      </c>
      <c r="AC104" s="19">
        <f t="shared" si="57"/>
        <v>7929.715437646576</v>
      </c>
      <c r="AD104" s="21">
        <f t="shared" si="58"/>
        <v>-4414.8349628211745</v>
      </c>
      <c r="AE104" s="21">
        <f t="shared" si="59"/>
        <v>11836.766873817049</v>
      </c>
      <c r="AF104" s="21">
        <f t="shared" si="60"/>
        <v>6238.1408434172454</v>
      </c>
      <c r="AG104" s="21">
        <f t="shared" si="61"/>
        <v>-46489.373817415995</v>
      </c>
      <c r="AH104" s="21">
        <f t="shared" si="62"/>
        <v>-11102.394412091387</v>
      </c>
      <c r="AI104" s="21">
        <f t="shared" si="63"/>
        <v>0</v>
      </c>
      <c r="AJ104" s="21">
        <f t="shared" si="64"/>
        <v>-76099.875580443317</v>
      </c>
      <c r="AK104" s="21">
        <f t="shared" si="65"/>
        <v>-95622.426821881352</v>
      </c>
      <c r="AL104" s="23">
        <f t="shared" si="66"/>
        <v>-215653.99787741894</v>
      </c>
      <c r="AM104" s="23"/>
    </row>
    <row r="105" spans="1:39" x14ac:dyDescent="0.3">
      <c r="A105" s="13">
        <f t="shared" si="41"/>
        <v>100</v>
      </c>
      <c r="B105" s="1">
        <v>45510</v>
      </c>
      <c r="C105" s="7">
        <v>2024</v>
      </c>
      <c r="D105" s="7">
        <v>2</v>
      </c>
      <c r="E105" s="77">
        <v>19.564</v>
      </c>
      <c r="F105" s="2">
        <v>48.731094360351563</v>
      </c>
      <c r="G105" s="2">
        <v>32.926509857177727</v>
      </c>
      <c r="H105" s="2">
        <v>11.492081642150881</v>
      </c>
      <c r="I105" s="2">
        <v>269</v>
      </c>
      <c r="J105" s="2">
        <v>10.64999961853027</v>
      </c>
      <c r="K105" s="2">
        <v>389.12979125976563</v>
      </c>
      <c r="L105" s="2">
        <v>167.8999938964844</v>
      </c>
      <c r="M105" s="2">
        <v>207.66999816894531</v>
      </c>
      <c r="N105" s="12">
        <f t="shared" si="42"/>
        <v>-1.1683498922292035E-2</v>
      </c>
      <c r="O105" s="12">
        <f t="shared" si="43"/>
        <v>-1.5280487761748729E-2</v>
      </c>
      <c r="P105" s="12">
        <f t="shared" si="44"/>
        <v>-1.5306227928227778E-2</v>
      </c>
      <c r="Q105" s="12">
        <f t="shared" si="45"/>
        <v>1.3182674199623268E-2</v>
      </c>
      <c r="R105" s="12">
        <f t="shared" si="46"/>
        <v>-3.1818216497248142E-2</v>
      </c>
      <c r="S105" s="12">
        <f t="shared" si="47"/>
        <v>0</v>
      </c>
      <c r="T105" s="12">
        <f t="shared" si="48"/>
        <v>-7.6900494249133144E-2</v>
      </c>
      <c r="U105" s="12">
        <f t="shared" si="49"/>
        <v>-3.0885320335001354E-2</v>
      </c>
      <c r="V105" s="19">
        <f t="shared" si="50"/>
        <v>46.906227871070307</v>
      </c>
      <c r="W105" s="19">
        <f t="shared" si="51"/>
        <v>31.871857318971543</v>
      </c>
      <c r="X105" s="19">
        <f t="shared" si="52"/>
        <v>11.44321957936436</v>
      </c>
      <c r="Y105" s="19">
        <f t="shared" si="53"/>
        <v>268.89867554860371</v>
      </c>
      <c r="Z105" s="19">
        <f t="shared" si="54"/>
        <v>15.064908957568063</v>
      </c>
      <c r="AA105" s="19">
        <f t="shared" si="55"/>
        <v>487.20687866210938</v>
      </c>
      <c r="AB105" s="19">
        <f t="shared" si="56"/>
        <v>4216.3806604280271</v>
      </c>
      <c r="AC105" s="19">
        <f t="shared" si="57"/>
        <v>8148.149123880843</v>
      </c>
      <c r="AD105" s="21">
        <f t="shared" si="58"/>
        <v>-11090.148999492299</v>
      </c>
      <c r="AE105" s="21">
        <f t="shared" si="59"/>
        <v>-14095.38382264131</v>
      </c>
      <c r="AF105" s="21">
        <f t="shared" si="60"/>
        <v>-15795.311038724438</v>
      </c>
      <c r="AG105" s="21">
        <f t="shared" si="61"/>
        <v>13294.990278053456</v>
      </c>
      <c r="AH105" s="21">
        <f t="shared" si="62"/>
        <v>-22130.588353574036</v>
      </c>
      <c r="AI105" s="21">
        <f t="shared" si="63"/>
        <v>0</v>
      </c>
      <c r="AJ105" s="21">
        <f t="shared" si="64"/>
        <v>-105375.99295939089</v>
      </c>
      <c r="AK105" s="21">
        <f t="shared" si="65"/>
        <v>-51935.689575027936</v>
      </c>
      <c r="AL105" s="23">
        <f t="shared" si="66"/>
        <v>-207128.12447079745</v>
      </c>
      <c r="AM105" s="23"/>
    </row>
    <row r="106" spans="1:39" x14ac:dyDescent="0.3">
      <c r="A106" s="13">
        <f t="shared" si="41"/>
        <v>101</v>
      </c>
      <c r="B106" s="1">
        <v>45509</v>
      </c>
      <c r="C106" s="7">
        <v>2024</v>
      </c>
      <c r="D106" s="7">
        <v>2</v>
      </c>
      <c r="E106" s="77">
        <v>19.332000000000001</v>
      </c>
      <c r="F106" s="2">
        <v>49.307174682617188</v>
      </c>
      <c r="G106" s="2">
        <v>33.437450408935547</v>
      </c>
      <c r="H106" s="2">
        <v>11.67071628570557</v>
      </c>
      <c r="I106" s="2">
        <v>265.5</v>
      </c>
      <c r="J106" s="2">
        <v>11</v>
      </c>
      <c r="K106" s="2">
        <v>389.12979125976563</v>
      </c>
      <c r="L106" s="2">
        <v>184.07000732421881</v>
      </c>
      <c r="M106" s="2">
        <v>216.86000061035159</v>
      </c>
      <c r="N106" s="12">
        <f t="shared" si="42"/>
        <v>-1.1361527756892698E-2</v>
      </c>
      <c r="O106" s="12">
        <f t="shared" si="43"/>
        <v>-2.2126530774348785E-2</v>
      </c>
      <c r="P106" s="12">
        <f t="shared" si="44"/>
        <v>-1.6722249210453177E-2</v>
      </c>
      <c r="Q106" s="12">
        <f t="shared" si="45"/>
        <v>-2.4972413139213501E-2</v>
      </c>
      <c r="R106" s="12">
        <f t="shared" si="46"/>
        <v>-3.9301294040285373E-2</v>
      </c>
      <c r="S106" s="12">
        <f t="shared" si="47"/>
        <v>0</v>
      </c>
      <c r="T106" s="12">
        <f t="shared" si="48"/>
        <v>-6.8294464298700452E-3</v>
      </c>
      <c r="U106" s="12">
        <f t="shared" si="49"/>
        <v>-5.7250329395561628E-2</v>
      </c>
      <c r="V106" s="19">
        <f t="shared" si="50"/>
        <v>46.921508859332334</v>
      </c>
      <c r="W106" s="19">
        <f t="shared" si="51"/>
        <v>31.650275332034802</v>
      </c>
      <c r="X106" s="19">
        <f t="shared" si="52"/>
        <v>11.4267638619412</v>
      </c>
      <c r="Y106" s="19">
        <f t="shared" si="53"/>
        <v>258.77231560175665</v>
      </c>
      <c r="Z106" s="19">
        <f t="shared" si="54"/>
        <v>14.94847226785838</v>
      </c>
      <c r="AA106" s="19">
        <f t="shared" si="55"/>
        <v>487.20687866210938</v>
      </c>
      <c r="AB106" s="19">
        <f t="shared" si="56"/>
        <v>4536.4395587812951</v>
      </c>
      <c r="AC106" s="19">
        <f t="shared" si="57"/>
        <v>7926.4766737718674</v>
      </c>
      <c r="AD106" s="21">
        <f t="shared" si="58"/>
        <v>-10784.52923425175</v>
      </c>
      <c r="AE106" s="21">
        <f t="shared" si="59"/>
        <v>-20410.470450338424</v>
      </c>
      <c r="AF106" s="21">
        <f t="shared" si="60"/>
        <v>-17256.578745901017</v>
      </c>
      <c r="AG106" s="21">
        <f t="shared" si="61"/>
        <v>-25185.177519965371</v>
      </c>
      <c r="AH106" s="21">
        <f t="shared" si="62"/>
        <v>-27335.308383596883</v>
      </c>
      <c r="AI106" s="21">
        <f t="shared" si="63"/>
        <v>0</v>
      </c>
      <c r="AJ106" s="21">
        <f t="shared" si="64"/>
        <v>-9358.3234534105031</v>
      </c>
      <c r="AK106" s="21">
        <f t="shared" si="65"/>
        <v>-96270.179596823073</v>
      </c>
      <c r="AL106" s="23">
        <f t="shared" si="66"/>
        <v>-206600.56738428702</v>
      </c>
      <c r="AM106" s="23"/>
    </row>
    <row r="107" spans="1:39" x14ac:dyDescent="0.3">
      <c r="A107" s="13">
        <f t="shared" si="41"/>
        <v>102</v>
      </c>
      <c r="B107" s="1">
        <v>45506</v>
      </c>
      <c r="C107" s="7">
        <v>2024</v>
      </c>
      <c r="D107" s="7">
        <v>1</v>
      </c>
      <c r="E107" s="77">
        <v>19.161999999999999</v>
      </c>
      <c r="F107" s="2">
        <v>49.873817443847663</v>
      </c>
      <c r="G107" s="2">
        <v>34.194046020507813</v>
      </c>
      <c r="H107" s="2">
        <v>11.86919593811035</v>
      </c>
      <c r="I107" s="2">
        <v>272.29998779296881</v>
      </c>
      <c r="J107" s="2">
        <v>11.44999980926514</v>
      </c>
      <c r="K107" s="2">
        <v>389.12979125976563</v>
      </c>
      <c r="L107" s="2">
        <v>186.97999572753909</v>
      </c>
      <c r="M107" s="2">
        <v>232.07000732421881</v>
      </c>
      <c r="N107" s="12">
        <f t="shared" si="42"/>
        <v>1.6358761188860038E-2</v>
      </c>
      <c r="O107" s="12">
        <f t="shared" si="43"/>
        <v>1.7270300201939204E-3</v>
      </c>
      <c r="P107" s="12">
        <f t="shared" si="44"/>
        <v>1.7872163492180348E-2</v>
      </c>
      <c r="Q107" s="12">
        <f t="shared" si="45"/>
        <v>7.8757585643898897E-2</v>
      </c>
      <c r="R107" s="12">
        <f t="shared" si="46"/>
        <v>-5.2128947370601031E-3</v>
      </c>
      <c r="S107" s="12">
        <f t="shared" si="47"/>
        <v>0</v>
      </c>
      <c r="T107" s="12">
        <f t="shared" si="48"/>
        <v>4.6311491480624856E-2</v>
      </c>
      <c r="U107" s="12">
        <f t="shared" si="49"/>
        <v>5.9984564507899796E-2</v>
      </c>
      <c r="V107" s="19">
        <f t="shared" si="50"/>
        <v>48.237134156009589</v>
      </c>
      <c r="W107" s="19">
        <f t="shared" si="51"/>
        <v>32.422329989980014</v>
      </c>
      <c r="X107" s="19">
        <f t="shared" si="52"/>
        <v>11.828788808176499</v>
      </c>
      <c r="Y107" s="19">
        <f t="shared" si="53"/>
        <v>286.30225664567701</v>
      </c>
      <c r="Z107" s="19">
        <f t="shared" si="54"/>
        <v>15.478887775320626</v>
      </c>
      <c r="AA107" s="19">
        <f t="shared" si="55"/>
        <v>487.20687866210938</v>
      </c>
      <c r="AB107" s="19">
        <f t="shared" si="56"/>
        <v>4779.1679119944847</v>
      </c>
      <c r="AC107" s="19">
        <f t="shared" si="57"/>
        <v>8912.1674471052775</v>
      </c>
      <c r="AD107" s="21">
        <f t="shared" si="58"/>
        <v>15527.976699293333</v>
      </c>
      <c r="AE107" s="21">
        <f t="shared" si="59"/>
        <v>1593.0873011001161</v>
      </c>
      <c r="AF107" s="21">
        <f t="shared" si="60"/>
        <v>18443.23647979353</v>
      </c>
      <c r="AG107" s="21">
        <f t="shared" si="61"/>
        <v>79428.598446931996</v>
      </c>
      <c r="AH107" s="21">
        <f t="shared" si="62"/>
        <v>-3625.7352000344836</v>
      </c>
      <c r="AI107" s="21">
        <f t="shared" si="63"/>
        <v>0</v>
      </c>
      <c r="AJ107" s="21">
        <f t="shared" si="64"/>
        <v>63460.182510546379</v>
      </c>
      <c r="AK107" s="21">
        <f t="shared" si="65"/>
        <v>100867.97506985895</v>
      </c>
      <c r="AL107" s="23">
        <f t="shared" si="66"/>
        <v>275695.32130748982</v>
      </c>
      <c r="AM107" s="23"/>
    </row>
    <row r="108" spans="1:39" x14ac:dyDescent="0.3">
      <c r="A108" s="13">
        <f t="shared" si="41"/>
        <v>103</v>
      </c>
      <c r="B108" s="1">
        <v>45505</v>
      </c>
      <c r="C108" s="7">
        <v>2024</v>
      </c>
      <c r="D108" s="7">
        <v>1</v>
      </c>
      <c r="E108" s="77">
        <v>18.844999999999999</v>
      </c>
      <c r="F108" s="2">
        <v>49.071075439453118</v>
      </c>
      <c r="G108" s="2">
        <v>34.135093688964837</v>
      </c>
      <c r="H108" s="2">
        <v>11.660792350769039</v>
      </c>
      <c r="I108" s="2">
        <v>252.41999816894531</v>
      </c>
      <c r="J108" s="2">
        <v>11.510000228881839</v>
      </c>
      <c r="K108" s="2">
        <v>389.12979125976563</v>
      </c>
      <c r="L108" s="2">
        <v>181.71000671386719</v>
      </c>
      <c r="M108" s="2">
        <v>222.6199951171875</v>
      </c>
      <c r="N108" s="12">
        <f t="shared" si="42"/>
        <v>-4.2281078915289427E-3</v>
      </c>
      <c r="O108" s="12">
        <f t="shared" si="43"/>
        <v>-2.877927391768953E-4</v>
      </c>
      <c r="P108" s="12">
        <f t="shared" si="44"/>
        <v>-1.5087956965290417E-2</v>
      </c>
      <c r="Q108" s="12">
        <f t="shared" si="45"/>
        <v>-5.0061266121600445E-3</v>
      </c>
      <c r="R108" s="12">
        <f t="shared" si="46"/>
        <v>-1.8755270412614822E-2</v>
      </c>
      <c r="S108" s="12">
        <f t="shared" si="47"/>
        <v>0</v>
      </c>
      <c r="T108" s="12">
        <f t="shared" si="48"/>
        <v>4.9317784093600991E-3</v>
      </c>
      <c r="U108" s="12">
        <f t="shared" si="49"/>
        <v>-2.8210472483446436E-2</v>
      </c>
      <c r="V108" s="19">
        <f t="shared" si="50"/>
        <v>47.260066211496245</v>
      </c>
      <c r="W108" s="19">
        <f t="shared" si="51"/>
        <v>32.35711736576409</v>
      </c>
      <c r="X108" s="19">
        <f t="shared" si="52"/>
        <v>11.445756126895718</v>
      </c>
      <c r="Y108" s="19">
        <f t="shared" si="53"/>
        <v>264.07136792417208</v>
      </c>
      <c r="Z108" s="19">
        <f t="shared" si="54"/>
        <v>15.268168404126389</v>
      </c>
      <c r="AA108" s="19">
        <f t="shared" si="55"/>
        <v>487.20687866210938</v>
      </c>
      <c r="AB108" s="19">
        <f t="shared" si="56"/>
        <v>4590.1605288892124</v>
      </c>
      <c r="AC108" s="19">
        <f t="shared" si="57"/>
        <v>8170.6387833973986</v>
      </c>
      <c r="AD108" s="21">
        <f t="shared" si="58"/>
        <v>-4013.3821909735443</v>
      </c>
      <c r="AE108" s="21">
        <f t="shared" si="59"/>
        <v>-265.47248905372101</v>
      </c>
      <c r="AF108" s="21">
        <f t="shared" si="60"/>
        <v>-15570.065617939836</v>
      </c>
      <c r="AG108" s="21">
        <f t="shared" si="61"/>
        <v>-5048.7786947867226</v>
      </c>
      <c r="AH108" s="21">
        <f t="shared" si="62"/>
        <v>-13044.891092416887</v>
      </c>
      <c r="AI108" s="21">
        <f t="shared" si="63"/>
        <v>0</v>
      </c>
      <c r="AJ108" s="21">
        <f t="shared" si="64"/>
        <v>6757.9675789646899</v>
      </c>
      <c r="AK108" s="21">
        <f t="shared" si="65"/>
        <v>-47437.757671716827</v>
      </c>
      <c r="AL108" s="23">
        <f t="shared" si="66"/>
        <v>-78622.380177922852</v>
      </c>
      <c r="AM108" s="23"/>
    </row>
    <row r="109" spans="1:39" x14ac:dyDescent="0.3">
      <c r="A109" s="13">
        <f t="shared" si="41"/>
        <v>104</v>
      </c>
      <c r="B109" s="1">
        <v>45504</v>
      </c>
      <c r="C109" s="7">
        <v>2024</v>
      </c>
      <c r="D109" s="7">
        <v>1</v>
      </c>
      <c r="E109" s="77">
        <v>18.600000000000001</v>
      </c>
      <c r="F109" s="2">
        <v>49.279434204101563</v>
      </c>
      <c r="G109" s="2">
        <v>34.144920349121087</v>
      </c>
      <c r="H109" s="2">
        <v>11.839425086975099</v>
      </c>
      <c r="I109" s="2">
        <v>253.69000244140619</v>
      </c>
      <c r="J109" s="2">
        <v>11.72999954223633</v>
      </c>
      <c r="K109" s="2">
        <v>389.12979125976563</v>
      </c>
      <c r="L109" s="2">
        <v>183.19999694824219</v>
      </c>
      <c r="M109" s="2">
        <v>232.1000061035156</v>
      </c>
      <c r="N109" s="12">
        <f t="shared" si="42"/>
        <v>-7.5301603993692678E-3</v>
      </c>
      <c r="O109" s="12">
        <f t="shared" si="43"/>
        <v>-1.558066083522891E-2</v>
      </c>
      <c r="P109" s="12">
        <f t="shared" si="44"/>
        <v>1.1016953224450177E-2</v>
      </c>
      <c r="Q109" s="12">
        <f t="shared" si="45"/>
        <v>3.2393305059480904E-2</v>
      </c>
      <c r="R109" s="12">
        <f t="shared" si="46"/>
        <v>-1.0961224131885161E-2</v>
      </c>
      <c r="S109" s="12">
        <f t="shared" si="47"/>
        <v>0</v>
      </c>
      <c r="T109" s="12">
        <f t="shared" si="48"/>
        <v>-4.2481918444372546E-3</v>
      </c>
      <c r="U109" s="12">
        <f t="shared" si="49"/>
        <v>4.7456432553807604E-2</v>
      </c>
      <c r="V109" s="19">
        <f t="shared" si="50"/>
        <v>47.103348371405446</v>
      </c>
      <c r="W109" s="19">
        <f t="shared" si="51"/>
        <v>31.8621417875435</v>
      </c>
      <c r="X109" s="19">
        <f t="shared" si="52"/>
        <v>11.749123760441606</v>
      </c>
      <c r="Y109" s="19">
        <f t="shared" si="53"/>
        <v>273.99717686155759</v>
      </c>
      <c r="Z109" s="19">
        <f t="shared" si="54"/>
        <v>15.389443767525053</v>
      </c>
      <c r="AA109" s="19">
        <f t="shared" si="55"/>
        <v>487.20687866210938</v>
      </c>
      <c r="AB109" s="19">
        <f t="shared" si="56"/>
        <v>4548.2297849116912</v>
      </c>
      <c r="AC109" s="19">
        <f t="shared" si="57"/>
        <v>8806.833073839065</v>
      </c>
      <c r="AD109" s="21">
        <f t="shared" si="58"/>
        <v>-7147.7389927895274</v>
      </c>
      <c r="AE109" s="21">
        <f t="shared" si="59"/>
        <v>-14372.276468340529</v>
      </c>
      <c r="AF109" s="21">
        <f t="shared" si="60"/>
        <v>11368.98024093497</v>
      </c>
      <c r="AG109" s="21">
        <f t="shared" si="61"/>
        <v>32669.295267278219</v>
      </c>
      <c r="AH109" s="21">
        <f t="shared" si="62"/>
        <v>-7623.8823484965733</v>
      </c>
      <c r="AI109" s="21">
        <f t="shared" si="63"/>
        <v>0</v>
      </c>
      <c r="AJ109" s="21">
        <f t="shared" si="64"/>
        <v>-5821.2556142916583</v>
      </c>
      <c r="AK109" s="21">
        <f t="shared" si="65"/>
        <v>79801.100416616464</v>
      </c>
      <c r="AL109" s="23">
        <f t="shared" si="66"/>
        <v>88874.222500911361</v>
      </c>
      <c r="AM109" s="23"/>
    </row>
    <row r="110" spans="1:39" x14ac:dyDescent="0.3">
      <c r="A110" s="13">
        <f t="shared" si="41"/>
        <v>105</v>
      </c>
      <c r="B110" s="1">
        <v>45503</v>
      </c>
      <c r="C110" s="7">
        <v>2024</v>
      </c>
      <c r="D110" s="7">
        <v>1</v>
      </c>
      <c r="E110" s="77">
        <v>18.751000000000001</v>
      </c>
      <c r="F110" s="2">
        <v>49.653331756591797</v>
      </c>
      <c r="G110" s="2">
        <v>34.685340881347663</v>
      </c>
      <c r="H110" s="2">
        <v>11.71041202545166</v>
      </c>
      <c r="I110" s="2">
        <v>245.72999572753909</v>
      </c>
      <c r="J110" s="2">
        <v>11.85999965667725</v>
      </c>
      <c r="K110" s="2">
        <v>389.12979125976563</v>
      </c>
      <c r="L110" s="2">
        <v>182.5</v>
      </c>
      <c r="M110" s="2">
        <v>219.80000305175781</v>
      </c>
      <c r="N110" s="12">
        <f t="shared" si="42"/>
        <v>3.7674593728076466E-4</v>
      </c>
      <c r="O110" s="12">
        <f t="shared" si="43"/>
        <v>2.0821261966721849E-2</v>
      </c>
      <c r="P110" s="12">
        <f t="shared" si="44"/>
        <v>5.9676003124258248E-3</v>
      </c>
      <c r="Q110" s="12">
        <f t="shared" si="45"/>
        <v>4.2092308628625119E-3</v>
      </c>
      <c r="R110" s="12">
        <f t="shared" si="46"/>
        <v>1.4542350932092551E-2</v>
      </c>
      <c r="S110" s="12">
        <f t="shared" si="47"/>
        <v>0</v>
      </c>
      <c r="T110" s="12">
        <f t="shared" si="48"/>
        <v>2.1484073313722485E-2</v>
      </c>
      <c r="U110" s="12">
        <f t="shared" si="49"/>
        <v>4.5948900586092467E-3</v>
      </c>
      <c r="V110" s="19">
        <f t="shared" si="50"/>
        <v>47.478615960257486</v>
      </c>
      <c r="W110" s="19">
        <f t="shared" si="51"/>
        <v>33.040342153496326</v>
      </c>
      <c r="X110" s="19">
        <f t="shared" si="52"/>
        <v>11.690444752058697</v>
      </c>
      <c r="Y110" s="19">
        <f t="shared" si="53"/>
        <v>266.51712374179698</v>
      </c>
      <c r="Z110" s="19">
        <f t="shared" si="54"/>
        <v>15.786279406222272</v>
      </c>
      <c r="AA110" s="19">
        <f t="shared" si="55"/>
        <v>487.20687866210938</v>
      </c>
      <c r="AB110" s="19">
        <f t="shared" si="56"/>
        <v>4665.7653533806806</v>
      </c>
      <c r="AC110" s="19">
        <f t="shared" si="57"/>
        <v>8446.4606150799445</v>
      </c>
      <c r="AD110" s="21">
        <f t="shared" si="58"/>
        <v>357.6127842512733</v>
      </c>
      <c r="AE110" s="21">
        <f t="shared" si="59"/>
        <v>19206.433961315004</v>
      </c>
      <c r="AF110" s="21">
        <f t="shared" si="60"/>
        <v>6158.2842965327145</v>
      </c>
      <c r="AG110" s="21">
        <f t="shared" si="61"/>
        <v>4245.0934121878963</v>
      </c>
      <c r="AH110" s="21">
        <f t="shared" si="62"/>
        <v>10114.670701269113</v>
      </c>
      <c r="AI110" s="21">
        <f t="shared" si="63"/>
        <v>0</v>
      </c>
      <c r="AJ110" s="21">
        <f t="shared" si="64"/>
        <v>29439.414926405152</v>
      </c>
      <c r="AK110" s="21">
        <f t="shared" si="65"/>
        <v>7726.6086647923657</v>
      </c>
      <c r="AL110" s="23">
        <f t="shared" si="66"/>
        <v>77248.11874675352</v>
      </c>
      <c r="AM110" s="23"/>
    </row>
    <row r="111" spans="1:39" x14ac:dyDescent="0.3">
      <c r="A111" s="13">
        <f t="shared" si="41"/>
        <v>106</v>
      </c>
      <c r="B111" s="1">
        <v>45502</v>
      </c>
      <c r="C111" s="7">
        <v>2024</v>
      </c>
      <c r="D111" s="7">
        <v>1</v>
      </c>
      <c r="E111" s="77">
        <v>18.627099999999999</v>
      </c>
      <c r="F111" s="2">
        <v>49.634632110595703</v>
      </c>
      <c r="G111" s="2">
        <v>33.977878570556641</v>
      </c>
      <c r="H111" s="2">
        <v>11.64094352722168</v>
      </c>
      <c r="I111" s="2">
        <v>244.69999694824219</v>
      </c>
      <c r="J111" s="2">
        <v>11.689999580383301</v>
      </c>
      <c r="K111" s="2">
        <v>389.12979125976563</v>
      </c>
      <c r="L111" s="2">
        <v>179.8500061035156</v>
      </c>
      <c r="M111" s="2">
        <v>220.25</v>
      </c>
      <c r="N111" s="12">
        <f t="shared" si="42"/>
        <v>-4.4993855884238876E-3</v>
      </c>
      <c r="O111" s="12">
        <f t="shared" si="43"/>
        <v>-8.3166004122784409E-3</v>
      </c>
      <c r="P111" s="12">
        <f t="shared" si="44"/>
        <v>3.0755689884961246E-2</v>
      </c>
      <c r="Q111" s="12">
        <f t="shared" si="45"/>
        <v>-1.394264451486027E-2</v>
      </c>
      <c r="R111" s="12">
        <f t="shared" si="46"/>
        <v>5.4102742970242312E-2</v>
      </c>
      <c r="S111" s="12">
        <f t="shared" si="47"/>
        <v>0</v>
      </c>
      <c r="T111" s="12">
        <f t="shared" si="48"/>
        <v>4.1274642710877885E-3</v>
      </c>
      <c r="U111" s="12">
        <f t="shared" si="49"/>
        <v>2.9511345855538273E-2</v>
      </c>
      <c r="V111" s="19">
        <f t="shared" si="50"/>
        <v>47.247191172525412</v>
      </c>
      <c r="W111" s="19">
        <f t="shared" si="51"/>
        <v>32.097253506646567</v>
      </c>
      <c r="X111" s="19">
        <f t="shared" si="52"/>
        <v>11.978509488504294</v>
      </c>
      <c r="Y111" s="19">
        <f t="shared" si="53"/>
        <v>261.6996161273396</v>
      </c>
      <c r="Z111" s="19">
        <f t="shared" si="54"/>
        <v>16.401839122936085</v>
      </c>
      <c r="AA111" s="19">
        <f t="shared" si="55"/>
        <v>487.20687866210938</v>
      </c>
      <c r="AB111" s="19">
        <f t="shared" si="56"/>
        <v>4586.4867163084537</v>
      </c>
      <c r="AC111" s="19">
        <f t="shared" si="57"/>
        <v>8655.9538791198047</v>
      </c>
      <c r="AD111" s="21">
        <f t="shared" si="58"/>
        <v>-4270.8829703902038</v>
      </c>
      <c r="AE111" s="21">
        <f t="shared" si="59"/>
        <v>-7671.5924739031288</v>
      </c>
      <c r="AF111" s="21">
        <f t="shared" si="60"/>
        <v>31738.432892901674</v>
      </c>
      <c r="AG111" s="21">
        <f t="shared" si="61"/>
        <v>-14061.435522750162</v>
      </c>
      <c r="AH111" s="21">
        <f t="shared" si="62"/>
        <v>37630.190038376553</v>
      </c>
      <c r="AI111" s="21">
        <f t="shared" si="63"/>
        <v>0</v>
      </c>
      <c r="AJ111" s="21">
        <f t="shared" si="64"/>
        <v>5655.8238047370651</v>
      </c>
      <c r="AK111" s="21">
        <f t="shared" si="65"/>
        <v>49625.261472764396</v>
      </c>
      <c r="AL111" s="23">
        <f t="shared" si="66"/>
        <v>98645.797241736189</v>
      </c>
      <c r="AM111" s="23"/>
    </row>
    <row r="112" spans="1:39" x14ac:dyDescent="0.3">
      <c r="A112" s="13">
        <f t="shared" si="41"/>
        <v>107</v>
      </c>
      <c r="B112" s="1">
        <v>45499</v>
      </c>
      <c r="C112" s="7">
        <v>2024</v>
      </c>
      <c r="D112" s="7">
        <v>1</v>
      </c>
      <c r="E112" s="77">
        <v>18.45</v>
      </c>
      <c r="F112" s="2">
        <v>49.858966827392578</v>
      </c>
      <c r="G112" s="2">
        <v>34.262828826904297</v>
      </c>
      <c r="H112" s="2">
        <v>11.293601036071779</v>
      </c>
      <c r="I112" s="2">
        <v>248.1600036621094</v>
      </c>
      <c r="J112" s="2">
        <v>11.090000152587891</v>
      </c>
      <c r="K112" s="2">
        <v>389.12979125976563</v>
      </c>
      <c r="L112" s="2">
        <v>180.83000183105469</v>
      </c>
      <c r="M112" s="2">
        <v>215.99000549316409</v>
      </c>
      <c r="N112" s="12">
        <f t="shared" si="42"/>
        <v>-1.0022382039833078E-2</v>
      </c>
      <c r="O112" s="12">
        <f t="shared" si="43"/>
        <v>8.6114801683567777E-4</v>
      </c>
      <c r="P112" s="12">
        <f t="shared" si="44"/>
        <v>-3.3135100239311654E-2</v>
      </c>
      <c r="Q112" s="12">
        <f t="shared" si="45"/>
        <v>6.6117912257475098E-3</v>
      </c>
      <c r="R112" s="12">
        <f t="shared" si="46"/>
        <v>-5.0513710374343157E-2</v>
      </c>
      <c r="S112" s="12">
        <f t="shared" si="47"/>
        <v>0</v>
      </c>
      <c r="T112" s="12">
        <f t="shared" si="48"/>
        <v>-2.9802562582688097E-2</v>
      </c>
      <c r="U112" s="12">
        <f t="shared" si="49"/>
        <v>-0.12322724199728863</v>
      </c>
      <c r="V112" s="19">
        <f t="shared" si="50"/>
        <v>46.985065699766011</v>
      </c>
      <c r="W112" s="19">
        <f t="shared" si="51"/>
        <v>32.394304478833831</v>
      </c>
      <c r="X112" s="19">
        <f t="shared" si="52"/>
        <v>11.236028565777538</v>
      </c>
      <c r="Y112" s="19">
        <f t="shared" si="53"/>
        <v>267.15476324744259</v>
      </c>
      <c r="Z112" s="19">
        <f t="shared" si="54"/>
        <v>14.774007064995523</v>
      </c>
      <c r="AA112" s="19">
        <f t="shared" si="55"/>
        <v>487.20687866210938</v>
      </c>
      <c r="AB112" s="19">
        <f t="shared" si="56"/>
        <v>4431.5067730382043</v>
      </c>
      <c r="AC112" s="19">
        <f t="shared" si="57"/>
        <v>7371.7541688997326</v>
      </c>
      <c r="AD112" s="21">
        <f t="shared" si="58"/>
        <v>-9513.3924255782185</v>
      </c>
      <c r="AE112" s="21">
        <f t="shared" si="59"/>
        <v>794.36023343390968</v>
      </c>
      <c r="AF112" s="21">
        <f t="shared" si="60"/>
        <v>-34193.87304523425</v>
      </c>
      <c r="AG112" s="21">
        <f t="shared" si="61"/>
        <v>6668.1235336412101</v>
      </c>
      <c r="AH112" s="21">
        <f t="shared" si="62"/>
        <v>-35133.902951566582</v>
      </c>
      <c r="AI112" s="21">
        <f t="shared" si="63"/>
        <v>0</v>
      </c>
      <c r="AJ112" s="21">
        <f t="shared" si="64"/>
        <v>-40838.159176337736</v>
      </c>
      <c r="AK112" s="21">
        <f t="shared" si="65"/>
        <v>-207214.68057125004</v>
      </c>
      <c r="AL112" s="23">
        <f t="shared" si="66"/>
        <v>-319431.52440289169</v>
      </c>
      <c r="AM112" s="23"/>
    </row>
    <row r="113" spans="1:39" x14ac:dyDescent="0.3">
      <c r="A113" s="13">
        <f t="shared" si="41"/>
        <v>108</v>
      </c>
      <c r="B113" s="1">
        <v>45498</v>
      </c>
      <c r="C113" s="7">
        <v>2024</v>
      </c>
      <c r="D113" s="7">
        <v>1</v>
      </c>
      <c r="E113" s="77">
        <v>18.447500000000002</v>
      </c>
      <c r="F113" s="2">
        <v>50.363731384277337</v>
      </c>
      <c r="G113" s="2">
        <v>34.233348846435547</v>
      </c>
      <c r="H113" s="2">
        <v>11.68064022064209</v>
      </c>
      <c r="I113" s="2">
        <v>246.5299987792969</v>
      </c>
      <c r="J113" s="2">
        <v>11.680000305175779</v>
      </c>
      <c r="K113" s="2">
        <v>389.12979125976563</v>
      </c>
      <c r="L113" s="2">
        <v>186.4100036621094</v>
      </c>
      <c r="M113" s="2">
        <v>246.3800048828125</v>
      </c>
      <c r="N113" s="12">
        <f t="shared" si="42"/>
        <v>-5.1698570433936775E-3</v>
      </c>
      <c r="O113" s="12">
        <f t="shared" si="43"/>
        <v>-2.3542631392598046E-2</v>
      </c>
      <c r="P113" s="12">
        <f t="shared" si="44"/>
        <v>2.081529777865887E-2</v>
      </c>
      <c r="Q113" s="12">
        <f t="shared" si="45"/>
        <v>-3.5485160827990803E-2</v>
      </c>
      <c r="R113" s="12">
        <f t="shared" si="46"/>
        <v>3.0891472535442333E-2</v>
      </c>
      <c r="S113" s="12">
        <f t="shared" si="47"/>
        <v>0</v>
      </c>
      <c r="T113" s="12">
        <f t="shared" si="48"/>
        <v>2.6346869719480193E-2</v>
      </c>
      <c r="U113" s="12">
        <f t="shared" si="49"/>
        <v>-1.5406411474125248E-2</v>
      </c>
      <c r="V113" s="19">
        <f t="shared" si="50"/>
        <v>47.215370104260778</v>
      </c>
      <c r="W113" s="19">
        <f t="shared" si="51"/>
        <v>31.604441207400104</v>
      </c>
      <c r="X113" s="19">
        <f t="shared" si="52"/>
        <v>11.862991250445296</v>
      </c>
      <c r="Y113" s="19">
        <f t="shared" si="53"/>
        <v>255.98223242931985</v>
      </c>
      <c r="Z113" s="19">
        <f t="shared" si="54"/>
        <v>16.04067174523076</v>
      </c>
      <c r="AA113" s="19">
        <f t="shared" si="55"/>
        <v>487.20687866210938</v>
      </c>
      <c r="AB113" s="19">
        <f t="shared" si="56"/>
        <v>4687.9768274342359</v>
      </c>
      <c r="AC113" s="19">
        <f t="shared" si="57"/>
        <v>8278.293120582015</v>
      </c>
      <c r="AD113" s="21">
        <f t="shared" si="58"/>
        <v>-4907.3043356828803</v>
      </c>
      <c r="AE113" s="21">
        <f t="shared" si="59"/>
        <v>-21716.743002427324</v>
      </c>
      <c r="AF113" s="21">
        <f t="shared" si="60"/>
        <v>21480.413353262644</v>
      </c>
      <c r="AG113" s="21">
        <f t="shared" si="61"/>
        <v>-35787.493575225191</v>
      </c>
      <c r="AH113" s="21">
        <f t="shared" si="62"/>
        <v>21486.008254948531</v>
      </c>
      <c r="AI113" s="21">
        <f t="shared" si="63"/>
        <v>0</v>
      </c>
      <c r="AJ113" s="21">
        <f t="shared" si="64"/>
        <v>36102.857142471752</v>
      </c>
      <c r="AK113" s="21">
        <f t="shared" si="65"/>
        <v>-25906.890234793536</v>
      </c>
      <c r="AL113" s="23">
        <f t="shared" si="66"/>
        <v>-9249.1523974460069</v>
      </c>
      <c r="AM113" s="23"/>
    </row>
    <row r="114" spans="1:39" x14ac:dyDescent="0.3">
      <c r="A114" s="13">
        <f t="shared" si="41"/>
        <v>109</v>
      </c>
      <c r="B114" s="1">
        <v>45497</v>
      </c>
      <c r="C114" s="7">
        <v>2024</v>
      </c>
      <c r="D114" s="7">
        <v>1</v>
      </c>
      <c r="E114" s="77">
        <v>18.353999999999999</v>
      </c>
      <c r="F114" s="2">
        <v>50.625457763671882</v>
      </c>
      <c r="G114" s="2">
        <v>35.058723449707031</v>
      </c>
      <c r="H114" s="2">
        <v>11.44246196746826</v>
      </c>
      <c r="I114" s="2">
        <v>255.6000061035156</v>
      </c>
      <c r="J114" s="2">
        <v>11.329999923706049</v>
      </c>
      <c r="K114" s="2">
        <v>389.12979125976563</v>
      </c>
      <c r="L114" s="2">
        <v>182.55000305175781</v>
      </c>
      <c r="M114" s="2">
        <v>251.50999450683591</v>
      </c>
      <c r="N114" s="12">
        <f t="shared" si="42"/>
        <v>6.130491223965695E-3</v>
      </c>
      <c r="O114" s="12">
        <f t="shared" si="43"/>
        <v>2.5287839801937384E-3</v>
      </c>
      <c r="P114" s="12">
        <f t="shared" si="44"/>
        <v>3.3154161754538336E-2</v>
      </c>
      <c r="Q114" s="12">
        <f t="shared" si="45"/>
        <v>-3.1283860511932549E-4</v>
      </c>
      <c r="R114" s="12">
        <f t="shared" si="46"/>
        <v>1.1607153272749748E-2</v>
      </c>
      <c r="S114" s="12">
        <f t="shared" si="47"/>
        <v>-4.4117580913004883E-2</v>
      </c>
      <c r="T114" s="12">
        <f t="shared" si="48"/>
        <v>8.6092914946056531E-3</v>
      </c>
      <c r="U114" s="12">
        <f t="shared" si="49"/>
        <v>6.3885047379537818E-2</v>
      </c>
      <c r="V114" s="19">
        <f t="shared" si="50"/>
        <v>47.751692942413548</v>
      </c>
      <c r="W114" s="19">
        <f t="shared" si="51"/>
        <v>32.448279905159367</v>
      </c>
      <c r="X114" s="19">
        <f t="shared" si="52"/>
        <v>12.006382357244748</v>
      </c>
      <c r="Y114" s="19">
        <f t="shared" si="53"/>
        <v>265.31696653259513</v>
      </c>
      <c r="Z114" s="19">
        <f t="shared" si="54"/>
        <v>15.740607729411241</v>
      </c>
      <c r="AA114" s="19">
        <f t="shared" si="55"/>
        <v>465.71248977136122</v>
      </c>
      <c r="AB114" s="19">
        <f t="shared" si="56"/>
        <v>4606.9580625835761</v>
      </c>
      <c r="AC114" s="19">
        <f t="shared" si="57"/>
        <v>8944.9620345365984</v>
      </c>
      <c r="AD114" s="21">
        <f t="shared" si="58"/>
        <v>5819.152427372529</v>
      </c>
      <c r="AE114" s="21">
        <f t="shared" si="59"/>
        <v>2332.6598837116885</v>
      </c>
      <c r="AF114" s="21">
        <f t="shared" si="60"/>
        <v>34213.543637053997</v>
      </c>
      <c r="AG114" s="21">
        <f t="shared" si="61"/>
        <v>-315.50398277912564</v>
      </c>
      <c r="AH114" s="21">
        <f t="shared" si="62"/>
        <v>8073.1467478160366</v>
      </c>
      <c r="AI114" s="21">
        <f t="shared" si="63"/>
        <v>-75230.361117618537</v>
      </c>
      <c r="AJ114" s="21">
        <f t="shared" si="64"/>
        <v>11797.227687273789</v>
      </c>
      <c r="AK114" s="21">
        <f t="shared" si="65"/>
        <v>107426.89255612313</v>
      </c>
      <c r="AL114" s="23">
        <f t="shared" si="66"/>
        <v>94116.757838953505</v>
      </c>
      <c r="AM114" s="23"/>
    </row>
    <row r="115" spans="1:39" x14ac:dyDescent="0.3">
      <c r="A115" s="13">
        <f t="shared" si="41"/>
        <v>110</v>
      </c>
      <c r="B115" s="1">
        <v>45496</v>
      </c>
      <c r="C115" s="7">
        <v>2024</v>
      </c>
      <c r="D115" s="7">
        <v>1</v>
      </c>
      <c r="E115" s="77">
        <v>18.139700000000001</v>
      </c>
      <c r="F115" s="2">
        <v>50.316989898681641</v>
      </c>
      <c r="G115" s="2">
        <v>34.970291137695313</v>
      </c>
      <c r="H115" s="2">
        <v>11.075270652771</v>
      </c>
      <c r="I115" s="2">
        <v>255.67999267578119</v>
      </c>
      <c r="J115" s="2">
        <v>11.19999980926514</v>
      </c>
      <c r="K115" s="2">
        <v>407.089599609375</v>
      </c>
      <c r="L115" s="2">
        <v>183.1300048828125</v>
      </c>
      <c r="M115" s="2">
        <v>239.19999694824219</v>
      </c>
      <c r="N115" s="12">
        <f t="shared" si="42"/>
        <v>1.1651912143959553E-2</v>
      </c>
      <c r="O115" s="12">
        <f t="shared" si="43"/>
        <v>2.2701177764162361E-2</v>
      </c>
      <c r="P115" s="12">
        <f t="shared" si="44"/>
        <v>-1.9332220308069359E-2</v>
      </c>
      <c r="Q115" s="12">
        <f t="shared" si="45"/>
        <v>1.4482378741272672E-2</v>
      </c>
      <c r="R115" s="12">
        <f t="shared" si="46"/>
        <v>-2.097900174137235E-2</v>
      </c>
      <c r="S115" s="12">
        <f t="shared" si="47"/>
        <v>0</v>
      </c>
      <c r="T115" s="12">
        <f t="shared" si="48"/>
        <v>8.5631475282319514E-3</v>
      </c>
      <c r="U115" s="12">
        <f t="shared" si="49"/>
        <v>-2.8748291678568516E-2</v>
      </c>
      <c r="V115" s="19">
        <f t="shared" si="50"/>
        <v>48.013743639293452</v>
      </c>
      <c r="W115" s="19">
        <f t="shared" si="51"/>
        <v>33.101188320676982</v>
      </c>
      <c r="X115" s="19">
        <f t="shared" si="52"/>
        <v>11.39643314064195</v>
      </c>
      <c r="Y115" s="19">
        <f t="shared" si="53"/>
        <v>269.24361712602473</v>
      </c>
      <c r="Z115" s="19">
        <f t="shared" si="54"/>
        <v>15.233567143717806</v>
      </c>
      <c r="AA115" s="19">
        <f t="shared" si="55"/>
        <v>487.20687866210938</v>
      </c>
      <c r="AB115" s="19">
        <f t="shared" si="56"/>
        <v>4606.747293835243</v>
      </c>
      <c r="AC115" s="19">
        <f t="shared" si="57"/>
        <v>8166.116892340031</v>
      </c>
      <c r="AD115" s="21">
        <f t="shared" si="58"/>
        <v>11060.166364970599</v>
      </c>
      <c r="AE115" s="21">
        <f t="shared" si="59"/>
        <v>20940.549725963716</v>
      </c>
      <c r="AF115" s="21">
        <f t="shared" si="60"/>
        <v>-19949.946797274482</v>
      </c>
      <c r="AG115" s="21">
        <f t="shared" si="61"/>
        <v>14605.768272253352</v>
      </c>
      <c r="AH115" s="21">
        <f t="shared" si="62"/>
        <v>-14591.567432680509</v>
      </c>
      <c r="AI115" s="21">
        <f t="shared" si="63"/>
        <v>0</v>
      </c>
      <c r="AJ115" s="21">
        <f t="shared" si="64"/>
        <v>11733.997062773869</v>
      </c>
      <c r="AK115" s="21">
        <f t="shared" si="65"/>
        <v>-48342.135883190349</v>
      </c>
      <c r="AL115" s="23">
        <f t="shared" si="66"/>
        <v>-24543.168687183806</v>
      </c>
      <c r="AM115" s="23"/>
    </row>
    <row r="116" spans="1:39" x14ac:dyDescent="0.3">
      <c r="A116" s="13">
        <f t="shared" si="41"/>
        <v>111</v>
      </c>
      <c r="B116" s="1">
        <v>45495</v>
      </c>
      <c r="C116" s="7">
        <v>2024</v>
      </c>
      <c r="D116" s="7">
        <v>1</v>
      </c>
      <c r="E116" s="77">
        <v>17.925000000000001</v>
      </c>
      <c r="F116" s="2">
        <v>49.737453460693359</v>
      </c>
      <c r="G116" s="2">
        <v>34.194046020507813</v>
      </c>
      <c r="H116" s="2">
        <v>11.293601036071779</v>
      </c>
      <c r="I116" s="2">
        <v>252.0299987792969</v>
      </c>
      <c r="J116" s="2">
        <v>11.439999580383301</v>
      </c>
      <c r="K116" s="2">
        <v>407.089599609375</v>
      </c>
      <c r="L116" s="2">
        <v>183.75</v>
      </c>
      <c r="M116" s="2">
        <v>249.22999572753909</v>
      </c>
      <c r="N116" s="12">
        <f t="shared" si="42"/>
        <v>-1.2251726293870946E-2</v>
      </c>
      <c r="O116" s="12">
        <f t="shared" si="43"/>
        <v>-2.356905364422357E-2</v>
      </c>
      <c r="P116" s="12">
        <f t="shared" si="44"/>
        <v>-7.8465269431070572E-3</v>
      </c>
      <c r="Q116" s="12">
        <f t="shared" si="45"/>
        <v>-3.6729916416085917E-2</v>
      </c>
      <c r="R116" s="12">
        <f t="shared" si="46"/>
        <v>-2.0548006722750367E-2</v>
      </c>
      <c r="S116" s="12">
        <f t="shared" si="47"/>
        <v>0</v>
      </c>
      <c r="T116" s="12">
        <f t="shared" si="48"/>
        <v>-2.8205876322651591E-2</v>
      </c>
      <c r="U116" s="12">
        <f t="shared" si="49"/>
        <v>-3.1795601072723834E-3</v>
      </c>
      <c r="V116" s="19">
        <f t="shared" si="50"/>
        <v>46.879259382185623</v>
      </c>
      <c r="W116" s="19">
        <f t="shared" si="51"/>
        <v>31.603586013384561</v>
      </c>
      <c r="X116" s="19">
        <f t="shared" si="52"/>
        <v>11.529909470973541</v>
      </c>
      <c r="Y116" s="19">
        <f t="shared" si="53"/>
        <v>255.65187430383679</v>
      </c>
      <c r="Z116" s="19">
        <f t="shared" si="54"/>
        <v>15.240273426388416</v>
      </c>
      <c r="AA116" s="19">
        <f t="shared" si="55"/>
        <v>487.20687866210938</v>
      </c>
      <c r="AB116" s="19">
        <f t="shared" si="56"/>
        <v>4438.7998514394467</v>
      </c>
      <c r="AC116" s="19">
        <f t="shared" si="57"/>
        <v>8381.0943786200023</v>
      </c>
      <c r="AD116" s="21">
        <f t="shared" si="58"/>
        <v>-11629.518777185978</v>
      </c>
      <c r="AE116" s="21">
        <f t="shared" si="59"/>
        <v>-21741.116031870293</v>
      </c>
      <c r="AF116" s="21">
        <f t="shared" si="60"/>
        <v>-8097.2486638291703</v>
      </c>
      <c r="AG116" s="21">
        <f t="shared" si="61"/>
        <v>-37042.854452060819</v>
      </c>
      <c r="AH116" s="21">
        <f t="shared" si="62"/>
        <v>-14291.796597304246</v>
      </c>
      <c r="AI116" s="21">
        <f t="shared" si="63"/>
        <v>0</v>
      </c>
      <c r="AJ116" s="21">
        <f t="shared" si="64"/>
        <v>-38650.235655965022</v>
      </c>
      <c r="AK116" s="21">
        <f t="shared" si="65"/>
        <v>-5346.6386271960801</v>
      </c>
      <c r="AL116" s="23">
        <f t="shared" si="66"/>
        <v>-136799.4088054116</v>
      </c>
      <c r="AM116" s="23"/>
    </row>
    <row r="117" spans="1:39" x14ac:dyDescent="0.3">
      <c r="A117" s="13">
        <f t="shared" si="41"/>
        <v>112</v>
      </c>
      <c r="B117" s="1">
        <v>45492</v>
      </c>
      <c r="C117" s="7">
        <v>2024</v>
      </c>
      <c r="D117" s="7">
        <v>1</v>
      </c>
      <c r="E117" s="77">
        <v>18.035</v>
      </c>
      <c r="F117" s="2">
        <v>50.354381561279297</v>
      </c>
      <c r="G117" s="2">
        <v>35.019420623779297</v>
      </c>
      <c r="H117" s="2">
        <v>11.382917404174799</v>
      </c>
      <c r="I117" s="2">
        <v>261.6400146484375</v>
      </c>
      <c r="J117" s="2">
        <v>11.680000305175779</v>
      </c>
      <c r="K117" s="2">
        <v>407.089599609375</v>
      </c>
      <c r="L117" s="2">
        <v>187.92999267578119</v>
      </c>
      <c r="M117" s="2">
        <v>248.5</v>
      </c>
      <c r="N117" s="12">
        <f t="shared" si="42"/>
        <v>-1.1378202595696885E-2</v>
      </c>
      <c r="O117" s="12">
        <f t="shared" si="43"/>
        <v>-1.7640590425963221E-2</v>
      </c>
      <c r="P117" s="12">
        <f t="shared" si="44"/>
        <v>-4.8922067947286485E-2</v>
      </c>
      <c r="Q117" s="12">
        <f t="shared" si="45"/>
        <v>-1.6390922374295069E-2</v>
      </c>
      <c r="R117" s="12">
        <f t="shared" si="46"/>
        <v>-2.3411348835963186E-2</v>
      </c>
      <c r="S117" s="12">
        <f t="shared" si="47"/>
        <v>0</v>
      </c>
      <c r="T117" s="12">
        <f t="shared" si="48"/>
        <v>-2.1650873195199982E-2</v>
      </c>
      <c r="U117" s="12">
        <f t="shared" si="49"/>
        <v>-2.6720589496812885E-2</v>
      </c>
      <c r="V117" s="19">
        <f t="shared" si="50"/>
        <v>46.920717459221329</v>
      </c>
      <c r="W117" s="19">
        <f t="shared" si="51"/>
        <v>31.795469216128946</v>
      </c>
      <c r="X117" s="19">
        <f t="shared" si="52"/>
        <v>11.052566718959314</v>
      </c>
      <c r="Y117" s="19">
        <f t="shared" si="53"/>
        <v>261.04984319838871</v>
      </c>
      <c r="Z117" s="19">
        <f t="shared" si="54"/>
        <v>15.195719821905319</v>
      </c>
      <c r="AA117" s="19">
        <f t="shared" si="55"/>
        <v>487.20687866210938</v>
      </c>
      <c r="AB117" s="19">
        <f t="shared" si="56"/>
        <v>4468.7407063997689</v>
      </c>
      <c r="AC117" s="19">
        <f t="shared" si="57"/>
        <v>8183.1654626511063</v>
      </c>
      <c r="AD117" s="21">
        <f t="shared" si="58"/>
        <v>-10800.357236471853</v>
      </c>
      <c r="AE117" s="21">
        <f t="shared" si="59"/>
        <v>-16272.444753655305</v>
      </c>
      <c r="AF117" s="21">
        <f t="shared" si="60"/>
        <v>-50485.285042692529</v>
      </c>
      <c r="AG117" s="21">
        <f t="shared" si="61"/>
        <v>-16530.572652763509</v>
      </c>
      <c r="AH117" s="21">
        <f t="shared" si="62"/>
        <v>-16283.342717698681</v>
      </c>
      <c r="AI117" s="21">
        <f t="shared" si="63"/>
        <v>0</v>
      </c>
      <c r="AJ117" s="21">
        <f t="shared" si="64"/>
        <v>-29667.979167868361</v>
      </c>
      <c r="AK117" s="21">
        <f t="shared" si="65"/>
        <v>-44932.421820975287</v>
      </c>
      <c r="AL117" s="23">
        <f t="shared" si="66"/>
        <v>-184972.40339212553</v>
      </c>
      <c r="AM117" s="23"/>
    </row>
    <row r="118" spans="1:39" x14ac:dyDescent="0.3">
      <c r="A118" s="13">
        <f t="shared" si="41"/>
        <v>113</v>
      </c>
      <c r="B118" s="1">
        <v>45491</v>
      </c>
      <c r="C118" s="7">
        <v>2024</v>
      </c>
      <c r="D118" s="7">
        <v>1</v>
      </c>
      <c r="E118" s="77">
        <v>17.948</v>
      </c>
      <c r="F118" s="2">
        <v>50.933917999267578</v>
      </c>
      <c r="G118" s="2">
        <v>35.648277282714837</v>
      </c>
      <c r="H118" s="2">
        <v>11.96843814849854</v>
      </c>
      <c r="I118" s="2">
        <v>266</v>
      </c>
      <c r="J118" s="2">
        <v>11.960000038146971</v>
      </c>
      <c r="K118" s="2">
        <v>407.089599609375</v>
      </c>
      <c r="L118" s="2">
        <v>193.02000427246091</v>
      </c>
      <c r="M118" s="2">
        <v>256.55999755859381</v>
      </c>
      <c r="N118" s="12">
        <f t="shared" si="42"/>
        <v>9.1838165125768256E-4</v>
      </c>
      <c r="O118" s="12">
        <f t="shared" si="43"/>
        <v>-5.4824680428816608E-3</v>
      </c>
      <c r="P118" s="12">
        <f t="shared" si="44"/>
        <v>1.0050267433822979E-2</v>
      </c>
      <c r="Q118" s="12">
        <f t="shared" si="45"/>
        <v>1.6469859445848778E-2</v>
      </c>
      <c r="R118" s="12">
        <f t="shared" si="46"/>
        <v>1.1844360993008562E-2</v>
      </c>
      <c r="S118" s="12">
        <f t="shared" si="47"/>
        <v>0</v>
      </c>
      <c r="T118" s="12">
        <f t="shared" si="48"/>
        <v>1.6049020057789409E-2</v>
      </c>
      <c r="U118" s="12">
        <f t="shared" si="49"/>
        <v>3.0210474854719171E-2</v>
      </c>
      <c r="V118" s="19">
        <f t="shared" si="50"/>
        <v>47.504322389518968</v>
      </c>
      <c r="W118" s="19">
        <f t="shared" si="51"/>
        <v>32.188984259797962</v>
      </c>
      <c r="X118" s="19">
        <f t="shared" si="52"/>
        <v>11.737889813320031</v>
      </c>
      <c r="Y118" s="19">
        <f t="shared" si="53"/>
        <v>269.77109449288861</v>
      </c>
      <c r="Z118" s="19">
        <f t="shared" si="54"/>
        <v>15.744298681638004</v>
      </c>
      <c r="AA118" s="19">
        <f t="shared" si="55"/>
        <v>487.20687866210938</v>
      </c>
      <c r="AB118" s="19">
        <f t="shared" si="56"/>
        <v>4640.940019498531</v>
      </c>
      <c r="AC118" s="19">
        <f t="shared" si="57"/>
        <v>8661.8320351953316</v>
      </c>
      <c r="AD118" s="21">
        <f t="shared" si="58"/>
        <v>871.74136948092951</v>
      </c>
      <c r="AE118" s="21">
        <f t="shared" si="59"/>
        <v>-5057.2660090883555</v>
      </c>
      <c r="AF118" s="21">
        <f t="shared" si="60"/>
        <v>10371.405736539131</v>
      </c>
      <c r="AG118" s="21">
        <f t="shared" si="61"/>
        <v>16610.182266336084</v>
      </c>
      <c r="AH118" s="21">
        <f t="shared" si="62"/>
        <v>8238.1323123523016</v>
      </c>
      <c r="AI118" s="21">
        <f t="shared" si="63"/>
        <v>0</v>
      </c>
      <c r="AJ118" s="21">
        <f t="shared" si="64"/>
        <v>21991.81476176027</v>
      </c>
      <c r="AK118" s="21">
        <f t="shared" si="65"/>
        <v>50800.892687869782</v>
      </c>
      <c r="AL118" s="23">
        <f t="shared" si="66"/>
        <v>103826.90312525014</v>
      </c>
      <c r="AM118" s="23"/>
    </row>
    <row r="119" spans="1:39" x14ac:dyDescent="0.3">
      <c r="A119" s="13">
        <f t="shared" si="41"/>
        <v>114</v>
      </c>
      <c r="B119" s="1">
        <v>45490</v>
      </c>
      <c r="C119" s="7">
        <v>2024</v>
      </c>
      <c r="D119" s="7">
        <v>1</v>
      </c>
      <c r="E119" s="77">
        <v>17.692</v>
      </c>
      <c r="F119" s="2">
        <v>50.887184143066413</v>
      </c>
      <c r="G119" s="2">
        <v>35.844795227050781</v>
      </c>
      <c r="H119" s="2">
        <v>11.849349021911619</v>
      </c>
      <c r="I119" s="2">
        <v>261.69000244140619</v>
      </c>
      <c r="J119" s="2">
        <v>11.819999694824221</v>
      </c>
      <c r="K119" s="2">
        <v>407.089599609375</v>
      </c>
      <c r="L119" s="2">
        <v>192.7200012207031</v>
      </c>
      <c r="M119" s="2">
        <v>252.63999938964841</v>
      </c>
      <c r="N119" s="12">
        <f t="shared" si="42"/>
        <v>-1.1080830190458468E-2</v>
      </c>
      <c r="O119" s="12">
        <f t="shared" si="43"/>
        <v>-1.1382075842419126E-2</v>
      </c>
      <c r="P119" s="12">
        <f t="shared" si="44"/>
        <v>-1.8092082126918374E-2</v>
      </c>
      <c r="Q119" s="12">
        <f t="shared" si="45"/>
        <v>-9.0502281595861156E-3</v>
      </c>
      <c r="R119" s="12">
        <f t="shared" si="46"/>
        <v>1.1120626099856201E-2</v>
      </c>
      <c r="S119" s="12">
        <f t="shared" si="47"/>
        <v>-4.8951013053945669E-2</v>
      </c>
      <c r="T119" s="12">
        <f t="shared" si="48"/>
        <v>-7.41764298063885E-3</v>
      </c>
      <c r="U119" s="12">
        <f t="shared" si="49"/>
        <v>1.9494534982897216E-2</v>
      </c>
      <c r="V119" s="19">
        <f t="shared" si="50"/>
        <v>46.934830972238132</v>
      </c>
      <c r="W119" s="19">
        <f t="shared" si="51"/>
        <v>31.998035004006983</v>
      </c>
      <c r="X119" s="19">
        <f t="shared" si="52"/>
        <v>11.410844903890748</v>
      </c>
      <c r="Y119" s="19">
        <f t="shared" si="53"/>
        <v>262.99806339816843</v>
      </c>
      <c r="Z119" s="19">
        <f t="shared" si="54"/>
        <v>15.733037366396863</v>
      </c>
      <c r="AA119" s="19">
        <f t="shared" si="55"/>
        <v>463.35760838474835</v>
      </c>
      <c r="AB119" s="19">
        <f t="shared" si="56"/>
        <v>4533.7528922347947</v>
      </c>
      <c r="AC119" s="19">
        <f t="shared" si="57"/>
        <v>8571.7342604837468</v>
      </c>
      <c r="AD119" s="21">
        <f t="shared" si="58"/>
        <v>-10518.086976135804</v>
      </c>
      <c r="AE119" s="21">
        <f t="shared" si="59"/>
        <v>-10499.319799131266</v>
      </c>
      <c r="AF119" s="21">
        <f t="shared" si="60"/>
        <v>-18670.182220781189</v>
      </c>
      <c r="AG119" s="21">
        <f t="shared" si="61"/>
        <v>-9127.3358936006043</v>
      </c>
      <c r="AH119" s="21">
        <f t="shared" si="62"/>
        <v>7734.7515210733018</v>
      </c>
      <c r="AI119" s="21">
        <f t="shared" si="63"/>
        <v>-83472.445970763598</v>
      </c>
      <c r="AJ119" s="21">
        <f t="shared" si="64"/>
        <v>-10164.323417360629</v>
      </c>
      <c r="AK119" s="21">
        <f t="shared" si="65"/>
        <v>32781.33774555281</v>
      </c>
      <c r="AL119" s="23">
        <f t="shared" si="66"/>
        <v>-101935.60501114697</v>
      </c>
      <c r="AM119" s="23"/>
    </row>
    <row r="120" spans="1:39" x14ac:dyDescent="0.3">
      <c r="A120" s="13">
        <f t="shared" si="41"/>
        <v>115</v>
      </c>
      <c r="B120" s="1">
        <v>45489</v>
      </c>
      <c r="C120" s="7">
        <v>2024</v>
      </c>
      <c r="D120" s="7">
        <v>1</v>
      </c>
      <c r="E120" s="77">
        <v>17.661999999999999</v>
      </c>
      <c r="F120" s="2">
        <v>51.457374572753913</v>
      </c>
      <c r="G120" s="2">
        <v>36.257480621337891</v>
      </c>
      <c r="H120" s="2">
        <v>12.067678451538089</v>
      </c>
      <c r="I120" s="2">
        <v>264.07998657226563</v>
      </c>
      <c r="J120" s="2">
        <v>11.689999580383301</v>
      </c>
      <c r="K120" s="2">
        <v>428.042724609375</v>
      </c>
      <c r="L120" s="2">
        <v>194.49000549316409</v>
      </c>
      <c r="M120" s="2">
        <v>248.22999572753909</v>
      </c>
      <c r="N120" s="12">
        <f t="shared" si="42"/>
        <v>1.1390744167494304E-2</v>
      </c>
      <c r="O120" s="12">
        <f t="shared" si="43"/>
        <v>1.628583655971072E-3</v>
      </c>
      <c r="P120" s="12">
        <f t="shared" si="44"/>
        <v>1.6473434360790851E-3</v>
      </c>
      <c r="Q120" s="12">
        <f t="shared" si="45"/>
        <v>8.1312245313087672E-3</v>
      </c>
      <c r="R120" s="12">
        <f t="shared" si="46"/>
        <v>2.6338825989274062E-2</v>
      </c>
      <c r="S120" s="12">
        <f t="shared" si="47"/>
        <v>0</v>
      </c>
      <c r="T120" s="12">
        <f t="shared" si="48"/>
        <v>-6.4151434101582527E-3</v>
      </c>
      <c r="U120" s="12">
        <f t="shared" si="49"/>
        <v>2.6211312497520289E-2</v>
      </c>
      <c r="V120" s="19">
        <f t="shared" si="50"/>
        <v>48.001348415088103</v>
      </c>
      <c r="W120" s="19">
        <f t="shared" si="51"/>
        <v>32.419143632408051</v>
      </c>
      <c r="X120" s="19">
        <f t="shared" si="52"/>
        <v>11.640238637754472</v>
      </c>
      <c r="Y120" s="19">
        <f t="shared" si="53"/>
        <v>267.55802083746465</v>
      </c>
      <c r="Z120" s="19">
        <f t="shared" si="54"/>
        <v>15.969832563062015</v>
      </c>
      <c r="AA120" s="19">
        <f t="shared" si="55"/>
        <v>487.20687866210938</v>
      </c>
      <c r="AB120" s="19">
        <f t="shared" si="56"/>
        <v>4538.3319433281258</v>
      </c>
      <c r="AC120" s="19">
        <f t="shared" si="57"/>
        <v>8628.2077676645458</v>
      </c>
      <c r="AD120" s="21">
        <f t="shared" si="58"/>
        <v>10812.261880863616</v>
      </c>
      <c r="AE120" s="21">
        <f t="shared" si="59"/>
        <v>1502.2761102991815</v>
      </c>
      <c r="AF120" s="21">
        <f t="shared" si="60"/>
        <v>1699.9813463174605</v>
      </c>
      <c r="AG120" s="21">
        <f t="shared" si="61"/>
        <v>8200.5023757250565</v>
      </c>
      <c r="AH120" s="21">
        <f t="shared" si="62"/>
        <v>18319.496812005618</v>
      </c>
      <c r="AI120" s="21">
        <f t="shared" si="63"/>
        <v>0</v>
      </c>
      <c r="AJ120" s="21">
        <f t="shared" si="64"/>
        <v>-8790.6080893612852</v>
      </c>
      <c r="AK120" s="21">
        <f t="shared" si="65"/>
        <v>44076.039181712622</v>
      </c>
      <c r="AL120" s="23">
        <f t="shared" si="66"/>
        <v>75819.949617562277</v>
      </c>
      <c r="AM120" s="23"/>
    </row>
    <row r="121" spans="1:39" x14ac:dyDescent="0.3">
      <c r="A121" s="13">
        <f t="shared" si="41"/>
        <v>116</v>
      </c>
      <c r="B121" s="1">
        <v>45488</v>
      </c>
      <c r="C121" s="7">
        <v>2024</v>
      </c>
      <c r="D121" s="7">
        <v>1</v>
      </c>
      <c r="E121" s="77">
        <v>17.725000000000001</v>
      </c>
      <c r="F121" s="2">
        <v>50.877838134765618</v>
      </c>
      <c r="G121" s="2">
        <v>36.198528289794922</v>
      </c>
      <c r="H121" s="2">
        <v>12.047831535339361</v>
      </c>
      <c r="I121" s="2">
        <v>261.95001220703119</v>
      </c>
      <c r="J121" s="2">
        <v>11.39000034332275</v>
      </c>
      <c r="K121" s="2">
        <v>428.042724609375</v>
      </c>
      <c r="L121" s="2">
        <v>195.05000305175781</v>
      </c>
      <c r="M121" s="2">
        <v>241.0299987792969</v>
      </c>
      <c r="N121" s="12">
        <f t="shared" si="42"/>
        <v>2.5788894591021183E-3</v>
      </c>
      <c r="O121" s="12">
        <f t="shared" si="43"/>
        <v>-4.3242499112580157E-3</v>
      </c>
      <c r="P121" s="12">
        <f t="shared" si="44"/>
        <v>2.1026173951613325E-2</v>
      </c>
      <c r="Q121" s="12">
        <f t="shared" si="45"/>
        <v>1.2367196935386238E-2</v>
      </c>
      <c r="R121" s="12">
        <f t="shared" si="46"/>
        <v>7.0733793755917151E-3</v>
      </c>
      <c r="S121" s="12">
        <f t="shared" si="47"/>
        <v>0</v>
      </c>
      <c r="T121" s="12">
        <f t="shared" si="48"/>
        <v>-1.7126161422018948E-2</v>
      </c>
      <c r="U121" s="12">
        <f t="shared" si="49"/>
        <v>-7.8252959585279003E-2</v>
      </c>
      <c r="V121" s="19">
        <f t="shared" si="50"/>
        <v>47.583131311085602</v>
      </c>
      <c r="W121" s="19">
        <f t="shared" si="51"/>
        <v>32.226471648416322</v>
      </c>
      <c r="X121" s="19">
        <f t="shared" si="52"/>
        <v>11.865441862421948</v>
      </c>
      <c r="Y121" s="19">
        <f t="shared" si="53"/>
        <v>268.68224788765252</v>
      </c>
      <c r="Z121" s="19">
        <f t="shared" si="54"/>
        <v>15.670062205669014</v>
      </c>
      <c r="AA121" s="19">
        <f t="shared" si="55"/>
        <v>487.20687866210938</v>
      </c>
      <c r="AB121" s="19">
        <f t="shared" si="56"/>
        <v>4489.4079336007344</v>
      </c>
      <c r="AC121" s="19">
        <f t="shared" si="57"/>
        <v>7749.8901805833675</v>
      </c>
      <c r="AD121" s="21">
        <f t="shared" si="58"/>
        <v>2447.9198008135936</v>
      </c>
      <c r="AE121" s="21">
        <f t="shared" si="59"/>
        <v>-3988.8754334651148</v>
      </c>
      <c r="AF121" s="21">
        <f t="shared" si="60"/>
        <v>21698.027696789348</v>
      </c>
      <c r="AG121" s="21">
        <f t="shared" si="61"/>
        <v>12472.565166438961</v>
      </c>
      <c r="AH121" s="21">
        <f t="shared" si="62"/>
        <v>4919.7618365384697</v>
      </c>
      <c r="AI121" s="21">
        <f t="shared" si="63"/>
        <v>0</v>
      </c>
      <c r="AJ121" s="21">
        <f t="shared" si="64"/>
        <v>-23467.811007578712</v>
      </c>
      <c r="AK121" s="21">
        <f t="shared" si="65"/>
        <v>-131587.47823452303</v>
      </c>
      <c r="AL121" s="23">
        <f t="shared" si="66"/>
        <v>-117505.89017498649</v>
      </c>
      <c r="AM121" s="23"/>
    </row>
    <row r="122" spans="1:39" x14ac:dyDescent="0.3">
      <c r="A122" s="13">
        <f t="shared" si="41"/>
        <v>117</v>
      </c>
      <c r="B122" s="1">
        <v>45485</v>
      </c>
      <c r="C122" s="7">
        <v>2024</v>
      </c>
      <c r="D122" s="7">
        <v>1</v>
      </c>
      <c r="E122" s="77">
        <v>17.606000000000002</v>
      </c>
      <c r="F122" s="2">
        <v>50.746967315673828</v>
      </c>
      <c r="G122" s="2">
        <v>36.355739593505859</v>
      </c>
      <c r="H122" s="2">
        <v>11.799728393554689</v>
      </c>
      <c r="I122" s="2">
        <v>258.75</v>
      </c>
      <c r="J122" s="2">
        <v>11.310000419616699</v>
      </c>
      <c r="K122" s="2">
        <v>428.042724609375</v>
      </c>
      <c r="L122" s="2">
        <v>199.78999328613281</v>
      </c>
      <c r="M122" s="2">
        <v>263.260009765625</v>
      </c>
      <c r="N122" s="12">
        <f t="shared" si="42"/>
        <v>1.685689176894023E-2</v>
      </c>
      <c r="O122" s="12">
        <f t="shared" si="43"/>
        <v>-1.3495306349424752E-3</v>
      </c>
      <c r="P122" s="12">
        <f t="shared" si="44"/>
        <v>6.0660199448055563E-2</v>
      </c>
      <c r="Q122" s="12">
        <f t="shared" si="45"/>
        <v>3.6036036036036112E-2</v>
      </c>
      <c r="R122" s="12">
        <f t="shared" si="46"/>
        <v>8.9206406003061733E-3</v>
      </c>
      <c r="S122" s="12">
        <f t="shared" si="47"/>
        <v>3.4975608364473665E-4</v>
      </c>
      <c r="T122" s="12">
        <f t="shared" si="48"/>
        <v>-6.7688625147040993E-3</v>
      </c>
      <c r="U122" s="12">
        <f t="shared" si="49"/>
        <v>-5.4926531342236462E-3</v>
      </c>
      <c r="V122" s="19">
        <f t="shared" si="50"/>
        <v>48.260775799626096</v>
      </c>
      <c r="W122" s="19">
        <f t="shared" si="51"/>
        <v>32.322752698157302</v>
      </c>
      <c r="X122" s="19">
        <f t="shared" si="52"/>
        <v>12.326032626203947</v>
      </c>
      <c r="Y122" s="19">
        <f t="shared" si="53"/>
        <v>274.96395764050186</v>
      </c>
      <c r="Z122" s="19">
        <f t="shared" si="54"/>
        <v>15.698805591100713</v>
      </c>
      <c r="AA122" s="19">
        <f t="shared" si="55"/>
        <v>487.37728223191499</v>
      </c>
      <c r="AB122" s="19">
        <f t="shared" si="56"/>
        <v>4536.71628393026</v>
      </c>
      <c r="AC122" s="19">
        <f t="shared" si="57"/>
        <v>8361.6462912919651</v>
      </c>
      <c r="AD122" s="21">
        <f t="shared" si="58"/>
        <v>16000.809571623478</v>
      </c>
      <c r="AE122" s="21">
        <f t="shared" si="59"/>
        <v>-1244.8655158471702</v>
      </c>
      <c r="AF122" s="21">
        <f t="shared" si="60"/>
        <v>62598.487520630886</v>
      </c>
      <c r="AG122" s="21">
        <f t="shared" si="61"/>
        <v>36343.06222726644</v>
      </c>
      <c r="AH122" s="21">
        <f t="shared" si="62"/>
        <v>6204.5911653354333</v>
      </c>
      <c r="AI122" s="21">
        <f t="shared" si="63"/>
        <v>596.41249431965093</v>
      </c>
      <c r="AJ122" s="21">
        <f t="shared" si="64"/>
        <v>-9275.3059087210204</v>
      </c>
      <c r="AK122" s="21">
        <f t="shared" si="65"/>
        <v>-9236.2560928035236</v>
      </c>
      <c r="AL122" s="23">
        <f t="shared" si="66"/>
        <v>101986.93546180415</v>
      </c>
      <c r="AM122" s="23"/>
    </row>
    <row r="123" spans="1:39" x14ac:dyDescent="0.3">
      <c r="A123" s="13">
        <f t="shared" si="41"/>
        <v>118</v>
      </c>
      <c r="B123" s="1">
        <v>45484</v>
      </c>
      <c r="C123" s="7">
        <v>2024</v>
      </c>
      <c r="D123" s="7">
        <v>1</v>
      </c>
      <c r="E123" s="77">
        <v>17.765999999999998</v>
      </c>
      <c r="F123" s="2">
        <v>49.905712127685547</v>
      </c>
      <c r="G123" s="2">
        <v>36.404869079589837</v>
      </c>
      <c r="H123" s="2">
        <v>11.12489032745361</v>
      </c>
      <c r="I123" s="2">
        <v>249.75</v>
      </c>
      <c r="J123" s="2">
        <v>11.210000038146971</v>
      </c>
      <c r="K123" s="2">
        <v>427.89306640625</v>
      </c>
      <c r="L123" s="2">
        <v>199.3399963378906</v>
      </c>
      <c r="M123" s="2">
        <v>262.32998657226563</v>
      </c>
      <c r="N123" s="12">
        <f t="shared" si="42"/>
        <v>8.1195242548131041E-3</v>
      </c>
      <c r="O123" s="12">
        <f t="shared" si="43"/>
        <v>-1.7241315392518164E-2</v>
      </c>
      <c r="P123" s="12">
        <f t="shared" si="44"/>
        <v>-1.2334878223483892E-2</v>
      </c>
      <c r="Q123" s="12">
        <f t="shared" si="45"/>
        <v>-4.1071807333541432E-3</v>
      </c>
      <c r="R123" s="12">
        <f t="shared" si="46"/>
        <v>-6.2056468511795249E-3</v>
      </c>
      <c r="S123" s="12">
        <f t="shared" si="47"/>
        <v>0</v>
      </c>
      <c r="T123" s="12">
        <f t="shared" si="48"/>
        <v>-2.5338694345391488E-3</v>
      </c>
      <c r="U123" s="12">
        <f t="shared" si="49"/>
        <v>3.4235934204402296E-2</v>
      </c>
      <c r="V123" s="19">
        <f t="shared" si="50"/>
        <v>47.846093912635411</v>
      </c>
      <c r="W123" s="19">
        <f t="shared" si="51"/>
        <v>31.80839232442408</v>
      </c>
      <c r="X123" s="19">
        <f t="shared" si="52"/>
        <v>11.477749915680924</v>
      </c>
      <c r="Y123" s="19">
        <f t="shared" si="53"/>
        <v>264.30994815492045</v>
      </c>
      <c r="Z123" s="19">
        <f t="shared" si="54"/>
        <v>15.463440552008352</v>
      </c>
      <c r="AA123" s="19">
        <f t="shared" si="55"/>
        <v>487.20687866210938</v>
      </c>
      <c r="AB123" s="19">
        <f t="shared" si="56"/>
        <v>4556.060182187176</v>
      </c>
      <c r="AC123" s="19">
        <f t="shared" si="57"/>
        <v>8695.6774033045804</v>
      </c>
      <c r="AD123" s="21">
        <f t="shared" si="58"/>
        <v>7707.1718318097737</v>
      </c>
      <c r="AE123" s="21">
        <f t="shared" si="59"/>
        <v>-15904.136167244</v>
      </c>
      <c r="AF123" s="21">
        <f t="shared" si="60"/>
        <v>-12729.017173813545</v>
      </c>
      <c r="AG123" s="21">
        <f t="shared" si="61"/>
        <v>-4142.1738179429212</v>
      </c>
      <c r="AH123" s="21">
        <f t="shared" si="62"/>
        <v>-4316.2260820931115</v>
      </c>
      <c r="AI123" s="21">
        <f t="shared" si="63"/>
        <v>0</v>
      </c>
      <c r="AJ123" s="21">
        <f t="shared" si="64"/>
        <v>-3472.1364316462314</v>
      </c>
      <c r="AK123" s="21">
        <f t="shared" si="65"/>
        <v>57569.96630971953</v>
      </c>
      <c r="AL123" s="23">
        <f t="shared" si="66"/>
        <v>24713.448468789487</v>
      </c>
      <c r="AM123" s="23"/>
    </row>
    <row r="124" spans="1:39" x14ac:dyDescent="0.3">
      <c r="A124" s="13">
        <f t="shared" si="41"/>
        <v>119</v>
      </c>
      <c r="B124" s="1">
        <v>45483</v>
      </c>
      <c r="C124" s="7">
        <v>2024</v>
      </c>
      <c r="D124" s="7">
        <v>1</v>
      </c>
      <c r="E124" s="77">
        <v>17.8156</v>
      </c>
      <c r="F124" s="2">
        <v>49.503765106201172</v>
      </c>
      <c r="G124" s="2">
        <v>37.043548583984382</v>
      </c>
      <c r="H124" s="2">
        <v>11.263828277587891</v>
      </c>
      <c r="I124" s="2">
        <v>250.7799987792969</v>
      </c>
      <c r="J124" s="2">
        <v>11.27999973297119</v>
      </c>
      <c r="K124" s="2">
        <v>427.89306640625</v>
      </c>
      <c r="L124" s="2">
        <v>199.28999328613281</v>
      </c>
      <c r="M124" s="2">
        <v>252.94000244140619</v>
      </c>
      <c r="N124" s="12">
        <f t="shared" si="42"/>
        <v>1.1652256641983438E-2</v>
      </c>
      <c r="O124" s="12">
        <f t="shared" si="43"/>
        <v>3.8567472783542334E-2</v>
      </c>
      <c r="P124" s="12">
        <f t="shared" si="44"/>
        <v>1.7937220117424602E-2</v>
      </c>
      <c r="Q124" s="12">
        <f t="shared" si="45"/>
        <v>6.5826418626724337E-3</v>
      </c>
      <c r="R124" s="12">
        <f t="shared" si="46"/>
        <v>7.1428504525392622E-3</v>
      </c>
      <c r="S124" s="12">
        <f t="shared" si="47"/>
        <v>0</v>
      </c>
      <c r="T124" s="12">
        <f t="shared" si="48"/>
        <v>-9.2446689394944936E-3</v>
      </c>
      <c r="U124" s="12">
        <f t="shared" si="49"/>
        <v>-1.0152117098494173E-4</v>
      </c>
      <c r="V124" s="19">
        <f t="shared" si="50"/>
        <v>48.013759989422987</v>
      </c>
      <c r="W124" s="19">
        <f t="shared" si="51"/>
        <v>33.614723682527348</v>
      </c>
      <c r="X124" s="19">
        <f t="shared" si="52"/>
        <v>11.829544837379563</v>
      </c>
      <c r="Y124" s="19">
        <f t="shared" si="53"/>
        <v>267.14702700666038</v>
      </c>
      <c r="Z124" s="19">
        <f t="shared" si="54"/>
        <v>15.67114317565547</v>
      </c>
      <c r="AA124" s="19">
        <f t="shared" si="55"/>
        <v>487.20687866210938</v>
      </c>
      <c r="AB124" s="19">
        <f t="shared" si="56"/>
        <v>4525.4077064005187</v>
      </c>
      <c r="AC124" s="19">
        <f t="shared" si="57"/>
        <v>8406.9739992554587</v>
      </c>
      <c r="AD124" s="21">
        <f t="shared" si="58"/>
        <v>11060.493367561292</v>
      </c>
      <c r="AE124" s="21">
        <f t="shared" si="59"/>
        <v>35576.30753869914</v>
      </c>
      <c r="AF124" s="21">
        <f t="shared" si="60"/>
        <v>18510.371873025608</v>
      </c>
      <c r="AG124" s="21">
        <f t="shared" si="61"/>
        <v>6638.7258186688196</v>
      </c>
      <c r="AH124" s="21">
        <f t="shared" si="62"/>
        <v>4968.0811949330337</v>
      </c>
      <c r="AI124" s="21">
        <f t="shared" si="63"/>
        <v>0</v>
      </c>
      <c r="AJ124" s="21">
        <f t="shared" si="64"/>
        <v>-12667.879167643423</v>
      </c>
      <c r="AK124" s="21">
        <f t="shared" si="65"/>
        <v>-170.71450010480476</v>
      </c>
      <c r="AL124" s="23">
        <f t="shared" si="66"/>
        <v>63915.386125139674</v>
      </c>
      <c r="AM124" s="23"/>
    </row>
    <row r="125" spans="1:39" x14ac:dyDescent="0.3">
      <c r="A125" s="13">
        <f t="shared" si="41"/>
        <v>120</v>
      </c>
      <c r="B125" s="1">
        <v>45482</v>
      </c>
      <c r="C125" s="7">
        <v>2024</v>
      </c>
      <c r="D125" s="7">
        <v>1</v>
      </c>
      <c r="E125" s="77">
        <v>17.917999999999999</v>
      </c>
      <c r="F125" s="2">
        <v>48.933578491210938</v>
      </c>
      <c r="G125" s="2">
        <v>35.667926788330078</v>
      </c>
      <c r="H125" s="2">
        <v>11.065346717834471</v>
      </c>
      <c r="I125" s="2">
        <v>249.13999938964841</v>
      </c>
      <c r="J125" s="2">
        <v>11.19999980926514</v>
      </c>
      <c r="K125" s="2">
        <v>427.89306640625</v>
      </c>
      <c r="L125" s="2">
        <v>200</v>
      </c>
      <c r="M125" s="2">
        <v>251.52000427246091</v>
      </c>
      <c r="N125" s="12">
        <f t="shared" si="42"/>
        <v>-9.4608075589472929E-3</v>
      </c>
      <c r="O125" s="12">
        <f t="shared" si="43"/>
        <v>-2.8892478531298948E-2</v>
      </c>
      <c r="P125" s="12">
        <f t="shared" si="44"/>
        <v>3.6003948368132921E-3</v>
      </c>
      <c r="Q125" s="12">
        <f t="shared" si="45"/>
        <v>2.0312912042933284E-2</v>
      </c>
      <c r="R125" s="12">
        <f t="shared" si="46"/>
        <v>-3.6973370674506678E-2</v>
      </c>
      <c r="S125" s="12">
        <f t="shared" si="47"/>
        <v>0</v>
      </c>
      <c r="T125" s="12">
        <f t="shared" si="48"/>
        <v>7.8098303995279839E-3</v>
      </c>
      <c r="U125" s="12">
        <f t="shared" si="49"/>
        <v>1.6396130589805269E-2</v>
      </c>
      <c r="V125" s="19">
        <f t="shared" si="50"/>
        <v>47.011718437566387</v>
      </c>
      <c r="W125" s="19">
        <f t="shared" si="51"/>
        <v>31.431285742758789</v>
      </c>
      <c r="X125" s="19">
        <f t="shared" si="52"/>
        <v>11.662935233043548</v>
      </c>
      <c r="Y125" s="19">
        <f t="shared" si="53"/>
        <v>270.79104062869868</v>
      </c>
      <c r="Z125" s="19">
        <f t="shared" si="54"/>
        <v>14.984694756406732</v>
      </c>
      <c r="AA125" s="19">
        <f t="shared" si="55"/>
        <v>487.20687866210938</v>
      </c>
      <c r="AB125" s="19">
        <f t="shared" si="56"/>
        <v>4603.3064169277714</v>
      </c>
      <c r="AC125" s="19">
        <f t="shared" si="57"/>
        <v>8545.6834105990583</v>
      </c>
      <c r="AD125" s="21">
        <f t="shared" si="58"/>
        <v>-8980.3376695707011</v>
      </c>
      <c r="AE125" s="21">
        <f t="shared" si="59"/>
        <v>-26651.673744704804</v>
      </c>
      <c r="AF125" s="21">
        <f t="shared" si="60"/>
        <v>3715.4390079874561</v>
      </c>
      <c r="AG125" s="21">
        <f t="shared" si="61"/>
        <v>20485.977582414365</v>
      </c>
      <c r="AH125" s="21">
        <f t="shared" si="62"/>
        <v>-25716.163145485531</v>
      </c>
      <c r="AI125" s="21">
        <f t="shared" si="63"/>
        <v>0</v>
      </c>
      <c r="AJ125" s="21">
        <f t="shared" si="64"/>
        <v>10701.733990532375</v>
      </c>
      <c r="AK125" s="21">
        <f t="shared" si="65"/>
        <v>27571.167768615123</v>
      </c>
      <c r="AL125" s="23">
        <f t="shared" si="66"/>
        <v>1126.1437897882861</v>
      </c>
      <c r="AM125" s="23"/>
    </row>
    <row r="126" spans="1:39" x14ac:dyDescent="0.3">
      <c r="A126" s="13">
        <f t="shared" si="41"/>
        <v>121</v>
      </c>
      <c r="B126" s="1">
        <v>45481</v>
      </c>
      <c r="C126" s="7">
        <v>2024</v>
      </c>
      <c r="D126" s="7">
        <v>1</v>
      </c>
      <c r="E126" s="77">
        <v>17.995999999999999</v>
      </c>
      <c r="F126" s="2">
        <v>49.400951385498047</v>
      </c>
      <c r="G126" s="2">
        <v>36.729122161865227</v>
      </c>
      <c r="H126" s="2">
        <v>11.025650024414061</v>
      </c>
      <c r="I126" s="2">
        <v>244.17999267578119</v>
      </c>
      <c r="J126" s="2">
        <v>11.63000011444092</v>
      </c>
      <c r="K126" s="2">
        <v>427.89306640625</v>
      </c>
      <c r="L126" s="2">
        <v>197.5899963378906</v>
      </c>
      <c r="M126" s="2">
        <v>246.38999938964841</v>
      </c>
      <c r="N126" s="12">
        <f t="shared" si="42"/>
        <v>1.6933097167009192E-2</v>
      </c>
      <c r="O126" s="12">
        <f t="shared" si="43"/>
        <v>3.3167461153417621E-2</v>
      </c>
      <c r="P126" s="12">
        <f t="shared" si="44"/>
        <v>-8.9205646184796761E-3</v>
      </c>
      <c r="Q126" s="12">
        <f t="shared" si="45"/>
        <v>3.8931174505415056E-2</v>
      </c>
      <c r="R126" s="12">
        <f t="shared" si="46"/>
        <v>2.0175482772542663E-2</v>
      </c>
      <c r="S126" s="12">
        <f t="shared" si="47"/>
        <v>-4.0096765300263404E-2</v>
      </c>
      <c r="T126" s="12">
        <f t="shared" si="48"/>
        <v>-1.7319448916214286E-2</v>
      </c>
      <c r="U126" s="12">
        <f t="shared" si="49"/>
        <v>5.974156544684428E-2</v>
      </c>
      <c r="V126" s="19">
        <f t="shared" si="50"/>
        <v>48.264392563853882</v>
      </c>
      <c r="W126" s="19">
        <f t="shared" si="51"/>
        <v>33.439944572276019</v>
      </c>
      <c r="X126" s="19">
        <f t="shared" si="52"/>
        <v>11.517427977432721</v>
      </c>
      <c r="Y126" s="19">
        <f t="shared" si="53"/>
        <v>275.73232737260452</v>
      </c>
      <c r="Z126" s="19">
        <f t="shared" si="54"/>
        <v>15.873930940023433</v>
      </c>
      <c r="AA126" s="19">
        <f t="shared" si="55"/>
        <v>467.67145879572087</v>
      </c>
      <c r="AB126" s="19">
        <f t="shared" si="56"/>
        <v>4488.5250670762143</v>
      </c>
      <c r="AC126" s="19">
        <f t="shared" si="57"/>
        <v>8910.1243528998239</v>
      </c>
      <c r="AD126" s="21">
        <f t="shared" si="58"/>
        <v>16073.144856179199</v>
      </c>
      <c r="AE126" s="21">
        <f t="shared" si="59"/>
        <v>30595.102896536264</v>
      </c>
      <c r="AF126" s="21">
        <f t="shared" si="60"/>
        <v>-9205.6052902539814</v>
      </c>
      <c r="AG126" s="21">
        <f t="shared" si="61"/>
        <v>39262.867209256532</v>
      </c>
      <c r="AH126" s="21">
        <f t="shared" si="62"/>
        <v>14032.694262180999</v>
      </c>
      <c r="AI126" s="21">
        <f t="shared" si="63"/>
        <v>-68373.969532359784</v>
      </c>
      <c r="AJ126" s="21">
        <f t="shared" si="64"/>
        <v>-23732.670964934732</v>
      </c>
      <c r="AK126" s="21">
        <f t="shared" si="65"/>
        <v>100459.35622876823</v>
      </c>
      <c r="AL126" s="23">
        <f t="shared" si="66"/>
        <v>99110.919665372727</v>
      </c>
      <c r="AM126" s="23"/>
    </row>
    <row r="127" spans="1:39" x14ac:dyDescent="0.3">
      <c r="A127" s="13">
        <f t="shared" si="41"/>
        <v>122</v>
      </c>
      <c r="B127" s="1">
        <v>45478</v>
      </c>
      <c r="C127" s="7">
        <v>2024</v>
      </c>
      <c r="D127" s="7">
        <v>1</v>
      </c>
      <c r="E127" s="77">
        <v>18.092500000000001</v>
      </c>
      <c r="F127" s="2">
        <v>48.578369140625</v>
      </c>
      <c r="G127" s="2">
        <v>35.550018310546882</v>
      </c>
      <c r="H127" s="2">
        <v>11.12489032745361</v>
      </c>
      <c r="I127" s="2">
        <v>235.0299987792969</v>
      </c>
      <c r="J127" s="2">
        <v>11.39999961853027</v>
      </c>
      <c r="K127" s="2">
        <v>445.76687622070313</v>
      </c>
      <c r="L127" s="2">
        <v>200</v>
      </c>
      <c r="M127" s="2">
        <v>231.25999450683591</v>
      </c>
      <c r="N127" s="12">
        <f t="shared" si="42"/>
        <v>-1.7209010926015789E-2</v>
      </c>
      <c r="O127" s="12">
        <f t="shared" si="43"/>
        <v>-2.2062500066913904E-3</v>
      </c>
      <c r="P127" s="12">
        <f t="shared" si="44"/>
        <v>-2.9437304930326813E-2</v>
      </c>
      <c r="Q127" s="12">
        <f t="shared" si="45"/>
        <v>-1.268642820308763E-2</v>
      </c>
      <c r="R127" s="12">
        <f t="shared" si="46"/>
        <v>-1.1274945138911918E-2</v>
      </c>
      <c r="S127" s="12">
        <f t="shared" si="47"/>
        <v>0</v>
      </c>
      <c r="T127" s="12">
        <f t="shared" si="48"/>
        <v>1.506841647924051E-2</v>
      </c>
      <c r="U127" s="12">
        <f t="shared" si="49"/>
        <v>0.10291759331982009</v>
      </c>
      <c r="V127" s="19">
        <f t="shared" si="50"/>
        <v>46.643983008348314</v>
      </c>
      <c r="W127" s="19">
        <f t="shared" si="51"/>
        <v>32.295023748705781</v>
      </c>
      <c r="X127" s="19">
        <f t="shared" si="52"/>
        <v>11.279000995258054</v>
      </c>
      <c r="Y127" s="19">
        <f t="shared" si="53"/>
        <v>262.03301592881672</v>
      </c>
      <c r="Z127" s="19">
        <f t="shared" si="54"/>
        <v>15.384562268524075</v>
      </c>
      <c r="AA127" s="19">
        <f t="shared" si="55"/>
        <v>487.20687866210938</v>
      </c>
      <c r="AB127" s="19">
        <f t="shared" si="56"/>
        <v>4636.4609812817598</v>
      </c>
      <c r="AC127" s="19">
        <f t="shared" si="57"/>
        <v>9273.1409504891362</v>
      </c>
      <c r="AD127" s="21">
        <f t="shared" si="58"/>
        <v>-16335.046253932149</v>
      </c>
      <c r="AE127" s="21">
        <f t="shared" si="59"/>
        <v>-2035.1405752155358</v>
      </c>
      <c r="AF127" s="21">
        <f t="shared" si="60"/>
        <v>-30377.921307364446</v>
      </c>
      <c r="AG127" s="21">
        <f t="shared" si="61"/>
        <v>-12794.516277137074</v>
      </c>
      <c r="AH127" s="21">
        <f t="shared" si="62"/>
        <v>-7842.0853538403107</v>
      </c>
      <c r="AI127" s="21">
        <f t="shared" si="63"/>
        <v>0</v>
      </c>
      <c r="AJ127" s="21">
        <f t="shared" si="64"/>
        <v>20648.103296728914</v>
      </c>
      <c r="AK127" s="21">
        <f t="shared" si="65"/>
        <v>173062.6757466307</v>
      </c>
      <c r="AL127" s="23">
        <f t="shared" si="66"/>
        <v>124326.0692758701</v>
      </c>
      <c r="AM127" s="23"/>
    </row>
    <row r="128" spans="1:39" x14ac:dyDescent="0.3">
      <c r="A128" s="13">
        <f t="shared" si="41"/>
        <v>123</v>
      </c>
      <c r="B128" s="1">
        <v>45477</v>
      </c>
      <c r="C128" s="7">
        <v>2024</v>
      </c>
      <c r="D128" s="7">
        <v>1</v>
      </c>
      <c r="E128" s="77">
        <v>18.077000000000002</v>
      </c>
      <c r="F128" s="2">
        <v>49.428993225097663</v>
      </c>
      <c r="G128" s="2">
        <v>35.628623962402337</v>
      </c>
      <c r="H128" s="2">
        <v>11.46230983734131</v>
      </c>
      <c r="I128" s="2">
        <v>238.05000305175781</v>
      </c>
      <c r="J128" s="2">
        <v>11.52999973297119</v>
      </c>
      <c r="K128" s="2">
        <v>445.76687622070313</v>
      </c>
      <c r="L128" s="2">
        <v>197.19999694824219</v>
      </c>
      <c r="M128" s="2">
        <v>209.86000061035159</v>
      </c>
      <c r="N128" s="12">
        <f t="shared" si="42"/>
        <v>8.7753826530216905E-3</v>
      </c>
      <c r="O128" s="12">
        <f t="shared" si="43"/>
        <v>1.8253341027427483E-2</v>
      </c>
      <c r="P128" s="12">
        <f t="shared" si="44"/>
        <v>-1.2820492813461648E-2</v>
      </c>
      <c r="Q128" s="12">
        <f t="shared" si="45"/>
        <v>2.2736245101735442E-3</v>
      </c>
      <c r="R128" s="12">
        <f t="shared" si="46"/>
        <v>-5.1769127546822391E-3</v>
      </c>
      <c r="S128" s="12">
        <f t="shared" si="47"/>
        <v>0</v>
      </c>
      <c r="T128" s="12">
        <f t="shared" si="48"/>
        <v>1.5820674273702595E-2</v>
      </c>
      <c r="U128" s="12">
        <f t="shared" si="49"/>
        <v>5.5741038224404571E-2</v>
      </c>
      <c r="V128" s="19">
        <f t="shared" si="50"/>
        <v>47.877221434480873</v>
      </c>
      <c r="W128" s="19">
        <f t="shared" si="51"/>
        <v>32.957227714545517</v>
      </c>
      <c r="X128" s="19">
        <f t="shared" si="52"/>
        <v>11.472106542541306</v>
      </c>
      <c r="Y128" s="19">
        <f t="shared" si="53"/>
        <v>266.00341382760735</v>
      </c>
      <c r="Z128" s="19">
        <f t="shared" si="54"/>
        <v>15.479447654981525</v>
      </c>
      <c r="AA128" s="19">
        <f t="shared" si="55"/>
        <v>487.20687866210938</v>
      </c>
      <c r="AB128" s="19">
        <f t="shared" si="56"/>
        <v>4639.8970195381626</v>
      </c>
      <c r="AC128" s="19">
        <f t="shared" si="57"/>
        <v>8876.4886098174356</v>
      </c>
      <c r="AD128" s="21">
        <f t="shared" si="58"/>
        <v>8329.7222687190242</v>
      </c>
      <c r="AE128" s="21">
        <f t="shared" si="59"/>
        <v>16837.672451216968</v>
      </c>
      <c r="AF128" s="21">
        <f t="shared" si="60"/>
        <v>-13230.148708611618</v>
      </c>
      <c r="AG128" s="21">
        <f t="shared" si="61"/>
        <v>2292.995738267291</v>
      </c>
      <c r="AH128" s="21">
        <f t="shared" si="62"/>
        <v>-3600.7085791922691</v>
      </c>
      <c r="AI128" s="21">
        <f t="shared" si="63"/>
        <v>0</v>
      </c>
      <c r="AJ128" s="21">
        <f t="shared" si="64"/>
        <v>21678.91477364974</v>
      </c>
      <c r="AK128" s="21">
        <f t="shared" si="65"/>
        <v>93732.207612290586</v>
      </c>
      <c r="AL128" s="23">
        <f t="shared" si="66"/>
        <v>126040.65555633971</v>
      </c>
      <c r="AM128" s="23"/>
    </row>
    <row r="129" spans="1:39" x14ac:dyDescent="0.3">
      <c r="A129" s="13">
        <f t="shared" si="41"/>
        <v>124</v>
      </c>
      <c r="B129" s="1">
        <v>45476</v>
      </c>
      <c r="C129" s="7">
        <v>2023</v>
      </c>
      <c r="D129" s="7">
        <v>12</v>
      </c>
      <c r="E129" s="77">
        <v>18.159199999999998</v>
      </c>
      <c r="F129" s="2">
        <v>48.999008178710938</v>
      </c>
      <c r="G129" s="2">
        <v>34.989940643310547</v>
      </c>
      <c r="H129" s="2">
        <v>11.611170768737789</v>
      </c>
      <c r="I129" s="2">
        <v>237.50999450683591</v>
      </c>
      <c r="J129" s="2">
        <v>11.590000152587891</v>
      </c>
      <c r="K129" s="2">
        <v>445.76687622070313</v>
      </c>
      <c r="L129" s="2">
        <v>193.25</v>
      </c>
      <c r="M129" s="2">
        <v>197.8800048828125</v>
      </c>
      <c r="N129" s="12">
        <f t="shared" si="42"/>
        <v>1.5283198423103883E-3</v>
      </c>
      <c r="O129" s="12">
        <f t="shared" si="43"/>
        <v>-2.8906547266521643E-2</v>
      </c>
      <c r="P129" s="12">
        <f t="shared" si="44"/>
        <v>-1.7065420094843908E-3</v>
      </c>
      <c r="Q129" s="12">
        <f t="shared" si="45"/>
        <v>-2.1427180760873465E-3</v>
      </c>
      <c r="R129" s="12">
        <f t="shared" si="46"/>
        <v>-1.1935157298543997E-2</v>
      </c>
      <c r="S129" s="12">
        <f t="shared" si="47"/>
        <v>0</v>
      </c>
      <c r="T129" s="12">
        <f t="shared" si="48"/>
        <v>-2.8003112663802399E-2</v>
      </c>
      <c r="U129" s="12">
        <f t="shared" si="49"/>
        <v>-2.5475338364425726E-3</v>
      </c>
      <c r="V129" s="19">
        <f t="shared" si="50"/>
        <v>47.533270504566715</v>
      </c>
      <c r="W129" s="19">
        <f t="shared" si="51"/>
        <v>31.430830387994206</v>
      </c>
      <c r="X129" s="19">
        <f t="shared" si="52"/>
        <v>11.601262817366303</v>
      </c>
      <c r="Y129" s="19">
        <f t="shared" si="53"/>
        <v>264.8313165321689</v>
      </c>
      <c r="Z129" s="19">
        <f t="shared" si="54"/>
        <v>15.374289367043163</v>
      </c>
      <c r="AA129" s="19">
        <f t="shared" si="55"/>
        <v>487.20687866210938</v>
      </c>
      <c r="AB129" s="19">
        <f t="shared" si="56"/>
        <v>4439.7260016155469</v>
      </c>
      <c r="AC129" s="19">
        <f t="shared" si="57"/>
        <v>8386.4083465259591</v>
      </c>
      <c r="AD129" s="21">
        <f t="shared" si="58"/>
        <v>1450.7036704358711</v>
      </c>
      <c r="AE129" s="21">
        <f t="shared" si="59"/>
        <v>-26664.651355495411</v>
      </c>
      <c r="AF129" s="21">
        <f t="shared" si="60"/>
        <v>-1761.0715041519213</v>
      </c>
      <c r="AG129" s="21">
        <f t="shared" si="61"/>
        <v>-2160.9739843988109</v>
      </c>
      <c r="AH129" s="21">
        <f t="shared" si="62"/>
        <v>-8301.2840500370658</v>
      </c>
      <c r="AI129" s="21">
        <f t="shared" si="63"/>
        <v>0</v>
      </c>
      <c r="AJ129" s="21">
        <f t="shared" si="64"/>
        <v>-38372.390603134954</v>
      </c>
      <c r="AK129" s="21">
        <f t="shared" si="65"/>
        <v>-4283.845046004717</v>
      </c>
      <c r="AL129" s="23">
        <f t="shared" si="66"/>
        <v>-80093.512872787018</v>
      </c>
      <c r="AM129" s="23"/>
    </row>
    <row r="130" spans="1:39" x14ac:dyDescent="0.3">
      <c r="A130" s="13">
        <f t="shared" si="41"/>
        <v>125</v>
      </c>
      <c r="B130" s="1">
        <v>45475</v>
      </c>
      <c r="C130" s="7">
        <v>2023</v>
      </c>
      <c r="D130" s="7">
        <v>12</v>
      </c>
      <c r="E130" s="77">
        <v>18.248000000000001</v>
      </c>
      <c r="F130" s="2">
        <v>48.924236297607422</v>
      </c>
      <c r="G130" s="2">
        <v>36.031486511230469</v>
      </c>
      <c r="H130" s="2">
        <v>11.63101959228516</v>
      </c>
      <c r="I130" s="2">
        <v>238.02000427246091</v>
      </c>
      <c r="J130" s="2">
        <v>11.72999954223633</v>
      </c>
      <c r="K130" s="2">
        <v>445.76687622070313</v>
      </c>
      <c r="L130" s="2">
        <v>197.8500061035156</v>
      </c>
      <c r="M130" s="2">
        <v>197.41999816894531</v>
      </c>
      <c r="N130" s="12">
        <f t="shared" si="42"/>
        <v>3.5288467316676453E-3</v>
      </c>
      <c r="O130" s="12">
        <f t="shared" si="43"/>
        <v>-2.732087263344618E-2</v>
      </c>
      <c r="P130" s="12">
        <f t="shared" si="44"/>
        <v>1.0344844154658972E-2</v>
      </c>
      <c r="Q130" s="12">
        <f t="shared" si="45"/>
        <v>-4.7250246826793241E-3</v>
      </c>
      <c r="R130" s="12">
        <f t="shared" si="46"/>
        <v>-9.2905919707709783E-3</v>
      </c>
      <c r="S130" s="12">
        <f t="shared" si="47"/>
        <v>0</v>
      </c>
      <c r="T130" s="12">
        <f t="shared" si="48"/>
        <v>1.6939856882245419E-2</v>
      </c>
      <c r="U130" s="12">
        <f t="shared" si="49"/>
        <v>4.6753749471162287E-4</v>
      </c>
      <c r="V130" s="19">
        <f t="shared" si="50"/>
        <v>47.628216981765135</v>
      </c>
      <c r="W130" s="19">
        <f t="shared" si="51"/>
        <v>31.48215301848095</v>
      </c>
      <c r="X130" s="19">
        <f t="shared" si="52"/>
        <v>11.741313117290364</v>
      </c>
      <c r="Y130" s="19">
        <f t="shared" si="53"/>
        <v>264.14597237454052</v>
      </c>
      <c r="Z130" s="19">
        <f t="shared" si="54"/>
        <v>15.415438804653014</v>
      </c>
      <c r="AA130" s="19">
        <f t="shared" si="55"/>
        <v>487.20687866210938</v>
      </c>
      <c r="AB130" s="19">
        <f t="shared" si="56"/>
        <v>4645.0090360399035</v>
      </c>
      <c r="AC130" s="19">
        <f t="shared" si="57"/>
        <v>8411.758546394849</v>
      </c>
      <c r="AD130" s="21">
        <f t="shared" si="58"/>
        <v>3349.633214404264</v>
      </c>
      <c r="AE130" s="21">
        <f t="shared" si="59"/>
        <v>-25201.956386623195</v>
      </c>
      <c r="AF130" s="21">
        <f t="shared" si="60"/>
        <v>10675.395129104709</v>
      </c>
      <c r="AG130" s="21">
        <f t="shared" si="61"/>
        <v>-4765.2817833866493</v>
      </c>
      <c r="AH130" s="21">
        <f t="shared" si="62"/>
        <v>-6461.9041888767106</v>
      </c>
      <c r="AI130" s="21">
        <f t="shared" si="63"/>
        <v>0</v>
      </c>
      <c r="AJ130" s="21">
        <f t="shared" si="64"/>
        <v>23212.519724172034</v>
      </c>
      <c r="AK130" s="21">
        <f t="shared" si="65"/>
        <v>786.19492777324922</v>
      </c>
      <c r="AL130" s="23">
        <f t="shared" si="66"/>
        <v>1594.6006365677022</v>
      </c>
      <c r="AM130" s="23"/>
    </row>
    <row r="131" spans="1:39" x14ac:dyDescent="0.3">
      <c r="A131" s="13">
        <f t="shared" si="41"/>
        <v>126</v>
      </c>
      <c r="B131" s="1">
        <v>45474</v>
      </c>
      <c r="C131" s="7">
        <v>2023</v>
      </c>
      <c r="D131" s="7">
        <v>12</v>
      </c>
      <c r="E131" s="77">
        <v>18.337</v>
      </c>
      <c r="F131" s="2">
        <v>48.752197265625</v>
      </c>
      <c r="G131" s="2">
        <v>37.043548583984382</v>
      </c>
      <c r="H131" s="2">
        <v>11.51193046569824</v>
      </c>
      <c r="I131" s="2">
        <v>239.1499938964844</v>
      </c>
      <c r="J131" s="2">
        <v>11.840000152587891</v>
      </c>
      <c r="K131" s="2">
        <v>445.76687622070313</v>
      </c>
      <c r="L131" s="2">
        <v>193.61000061035159</v>
      </c>
      <c r="M131" s="2">
        <v>196.3699951171875</v>
      </c>
      <c r="N131" s="12">
        <f t="shared" si="42"/>
        <v>-2.4807446277005374E-3</v>
      </c>
      <c r="O131" s="12">
        <f t="shared" si="43"/>
        <v>-1.127719453936904E-2</v>
      </c>
      <c r="P131" s="12">
        <f t="shared" si="44"/>
        <v>4.3290252192693668E-3</v>
      </c>
      <c r="Q131" s="12">
        <f t="shared" si="45"/>
        <v>-4.3713699629398528E-3</v>
      </c>
      <c r="R131" s="12">
        <f t="shared" si="46"/>
        <v>-1.742738878198824E-2</v>
      </c>
      <c r="S131" s="12">
        <f t="shared" si="47"/>
        <v>0</v>
      </c>
      <c r="T131" s="12">
        <f t="shared" si="48"/>
        <v>3.9411514856410923E-2</v>
      </c>
      <c r="U131" s="12">
        <f t="shared" si="49"/>
        <v>4.8545396245795791E-2</v>
      </c>
      <c r="V131" s="19">
        <f t="shared" si="50"/>
        <v>47.342997356870519</v>
      </c>
      <c r="W131" s="19">
        <f t="shared" si="51"/>
        <v>32.001429637590149</v>
      </c>
      <c r="X131" s="19">
        <f t="shared" si="52"/>
        <v>11.671402715722044</v>
      </c>
      <c r="Y131" s="19">
        <f t="shared" si="53"/>
        <v>264.23983233500087</v>
      </c>
      <c r="Z131" s="19">
        <f t="shared" si="54"/>
        <v>15.28883024285614</v>
      </c>
      <c r="AA131" s="19">
        <f t="shared" si="55"/>
        <v>487.20687866210938</v>
      </c>
      <c r="AB131" s="19">
        <f t="shared" si="56"/>
        <v>4747.6513443715003</v>
      </c>
      <c r="AC131" s="19">
        <f t="shared" si="57"/>
        <v>8815.9888927932043</v>
      </c>
      <c r="AD131" s="21">
        <f t="shared" si="58"/>
        <v>-2354.7592834880506</v>
      </c>
      <c r="AE131" s="21">
        <f t="shared" si="59"/>
        <v>-10402.572742011022</v>
      </c>
      <c r="AF131" s="21">
        <f t="shared" si="60"/>
        <v>4467.3514698378867</v>
      </c>
      <c r="AG131" s="21">
        <f t="shared" si="61"/>
        <v>-4408.6139336373208</v>
      </c>
      <c r="AH131" s="21">
        <f t="shared" si="62"/>
        <v>-12121.306901197016</v>
      </c>
      <c r="AI131" s="21">
        <f t="shared" si="63"/>
        <v>0</v>
      </c>
      <c r="AJ131" s="21">
        <f t="shared" si="64"/>
        <v>54005.212223651048</v>
      </c>
      <c r="AK131" s="21">
        <f t="shared" si="65"/>
        <v>81632.264207444314</v>
      </c>
      <c r="AL131" s="23">
        <f t="shared" si="66"/>
        <v>110817.57504059984</v>
      </c>
      <c r="AM131" s="23"/>
    </row>
    <row r="132" spans="1:39" x14ac:dyDescent="0.3">
      <c r="A132" s="13">
        <f t="shared" si="41"/>
        <v>127</v>
      </c>
      <c r="B132" s="1">
        <v>45471</v>
      </c>
      <c r="C132" s="7">
        <v>2023</v>
      </c>
      <c r="D132" s="7">
        <v>12</v>
      </c>
      <c r="E132" s="77">
        <v>18.329999999999998</v>
      </c>
      <c r="F132" s="2">
        <v>48.873439788818359</v>
      </c>
      <c r="G132" s="2">
        <v>37.466060638427727</v>
      </c>
      <c r="H132" s="2">
        <v>11.46230983734131</v>
      </c>
      <c r="I132" s="2">
        <v>240.19999694824219</v>
      </c>
      <c r="J132" s="2">
        <v>12.05000019073486</v>
      </c>
      <c r="K132" s="2">
        <v>445.76687622070313</v>
      </c>
      <c r="L132" s="2">
        <v>186.3399963378906</v>
      </c>
      <c r="M132" s="2">
        <v>187.3500061035156</v>
      </c>
      <c r="N132" s="12">
        <f t="shared" si="42"/>
        <v>1.9121124279253277E-3</v>
      </c>
      <c r="O132" s="12">
        <f t="shared" si="43"/>
        <v>6.5997007925193696E-3</v>
      </c>
      <c r="P132" s="12">
        <f t="shared" si="44"/>
        <v>8.7336669676589818E-3</v>
      </c>
      <c r="Q132" s="12">
        <f t="shared" si="45"/>
        <v>3.3317438231517116E-4</v>
      </c>
      <c r="R132" s="12">
        <f t="shared" si="46"/>
        <v>1.1754856852762341E-2</v>
      </c>
      <c r="S132" s="12">
        <f t="shared" si="47"/>
        <v>0</v>
      </c>
      <c r="T132" s="12">
        <f t="shared" si="48"/>
        <v>-7.0269813286705229E-4</v>
      </c>
      <c r="U132" s="12">
        <f t="shared" si="49"/>
        <v>2.1167352330594635E-2</v>
      </c>
      <c r="V132" s="19">
        <f t="shared" si="50"/>
        <v>47.55148558289077</v>
      </c>
      <c r="W132" s="19">
        <f t="shared" si="51"/>
        <v>32.580040958116392</v>
      </c>
      <c r="X132" s="19">
        <f t="shared" si="52"/>
        <v>11.722589474615837</v>
      </c>
      <c r="Y132" s="19">
        <f t="shared" si="53"/>
        <v>265.48841837551731</v>
      </c>
      <c r="Z132" s="19">
        <f t="shared" si="54"/>
        <v>15.742905997178216</v>
      </c>
      <c r="AA132" s="19">
        <f t="shared" si="55"/>
        <v>487.20687866210938</v>
      </c>
      <c r="AB132" s="19">
        <f t="shared" si="56"/>
        <v>4564.4243024301186</v>
      </c>
      <c r="AC132" s="19">
        <f t="shared" si="57"/>
        <v>8585.7990203022291</v>
      </c>
      <c r="AD132" s="21">
        <f t="shared" si="58"/>
        <v>1815.00523691696</v>
      </c>
      <c r="AE132" s="21">
        <f t="shared" si="59"/>
        <v>6087.8498929868883</v>
      </c>
      <c r="AF132" s="21">
        <f t="shared" si="60"/>
        <v>9012.735659606753</v>
      </c>
      <c r="AG132" s="21">
        <f t="shared" si="61"/>
        <v>336.01302032516287</v>
      </c>
      <c r="AH132" s="21">
        <f t="shared" si="62"/>
        <v>8175.8793169997971</v>
      </c>
      <c r="AI132" s="21">
        <f t="shared" si="63"/>
        <v>0</v>
      </c>
      <c r="AJ132" s="21">
        <f t="shared" si="64"/>
        <v>-962.90035876345428</v>
      </c>
      <c r="AK132" s="21">
        <f t="shared" si="65"/>
        <v>35594.289709249279</v>
      </c>
      <c r="AL132" s="23">
        <f t="shared" si="66"/>
        <v>60058.872477321376</v>
      </c>
      <c r="AM132" s="23"/>
    </row>
    <row r="133" spans="1:39" x14ac:dyDescent="0.3">
      <c r="A133" s="13">
        <f t="shared" ref="A133:A196" si="67">+A134-1</f>
        <v>128</v>
      </c>
      <c r="B133" s="1">
        <v>45470</v>
      </c>
      <c r="C133" s="7">
        <v>2023</v>
      </c>
      <c r="D133" s="7">
        <v>12</v>
      </c>
      <c r="E133" s="77">
        <v>18.419</v>
      </c>
      <c r="F133" s="2">
        <v>48.780166625976563</v>
      </c>
      <c r="G133" s="2">
        <v>37.220417022705078</v>
      </c>
      <c r="H133" s="2">
        <v>11.36306858062744</v>
      </c>
      <c r="I133" s="2">
        <v>240.1199951171875</v>
      </c>
      <c r="J133" s="2">
        <v>11.909999847412109</v>
      </c>
      <c r="K133" s="2">
        <v>445.76687622070313</v>
      </c>
      <c r="L133" s="2">
        <v>185.57000732421881</v>
      </c>
      <c r="M133" s="2">
        <v>182.58000183105469</v>
      </c>
      <c r="N133" s="12">
        <f t="shared" si="42"/>
        <v>-5.7034647745677347E-3</v>
      </c>
      <c r="O133" s="12">
        <f t="shared" si="43"/>
        <v>-1.7634853205155787E-2</v>
      </c>
      <c r="P133" s="12">
        <f t="shared" si="44"/>
        <v>5.2677027539513865E-3</v>
      </c>
      <c r="Q133" s="12">
        <f t="shared" si="45"/>
        <v>2.5887061260438937E-3</v>
      </c>
      <c r="R133" s="12">
        <f t="shared" si="46"/>
        <v>3.1168800929201046E-2</v>
      </c>
      <c r="S133" s="12">
        <f t="shared" si="47"/>
        <v>4.3146598739176589E-3</v>
      </c>
      <c r="T133" s="12">
        <f t="shared" si="48"/>
        <v>-1.3529161002563184E-2</v>
      </c>
      <c r="U133" s="12">
        <f t="shared" si="49"/>
        <v>2.7679936281703732E-3</v>
      </c>
      <c r="V133" s="19">
        <f t="shared" si="50"/>
        <v>47.19004468896626</v>
      </c>
      <c r="W133" s="19">
        <f t="shared" si="51"/>
        <v>31.795654909497166</v>
      </c>
      <c r="X133" s="19">
        <f t="shared" si="52"/>
        <v>11.682311176248795</v>
      </c>
      <c r="Y133" s="19">
        <f t="shared" si="53"/>
        <v>266.08703648653619</v>
      </c>
      <c r="Z133" s="19">
        <f t="shared" si="54"/>
        <v>16.044986975154018</v>
      </c>
      <c r="AA133" s="19">
        <f t="shared" si="55"/>
        <v>489.30901063176947</v>
      </c>
      <c r="AB133" s="19">
        <f t="shared" si="56"/>
        <v>4505.8377149077969</v>
      </c>
      <c r="AC133" s="19">
        <f t="shared" si="57"/>
        <v>8431.1003849013578</v>
      </c>
      <c r="AD133" s="21">
        <f t="shared" si="58"/>
        <v>-5413.8126415732304</v>
      </c>
      <c r="AE133" s="21">
        <f t="shared" si="59"/>
        <v>-16267.15249266104</v>
      </c>
      <c r="AF133" s="21">
        <f t="shared" si="60"/>
        <v>5436.0227646134235</v>
      </c>
      <c r="AG133" s="21">
        <f t="shared" si="61"/>
        <v>2610.761842196905</v>
      </c>
      <c r="AH133" s="21">
        <f t="shared" si="62"/>
        <v>21678.899032518137</v>
      </c>
      <c r="AI133" s="21">
        <f t="shared" si="63"/>
        <v>7357.461893810324</v>
      </c>
      <c r="AJ133" s="21">
        <f t="shared" si="64"/>
        <v>-18538.876615459958</v>
      </c>
      <c r="AK133" s="21">
        <f t="shared" si="65"/>
        <v>4654.5626290750079</v>
      </c>
      <c r="AL133" s="23">
        <f t="shared" si="66"/>
        <v>1517.8664125195683</v>
      </c>
      <c r="AM133" s="23"/>
    </row>
    <row r="134" spans="1:39" x14ac:dyDescent="0.3">
      <c r="A134" s="13">
        <f t="shared" si="67"/>
        <v>129</v>
      </c>
      <c r="B134" s="1">
        <v>45469</v>
      </c>
      <c r="C134" s="7">
        <v>2023</v>
      </c>
      <c r="D134" s="7">
        <v>12</v>
      </c>
      <c r="E134" s="77">
        <v>18.324999999999999</v>
      </c>
      <c r="F134" s="2">
        <v>49.059978485107422</v>
      </c>
      <c r="G134" s="2">
        <v>37.888576507568359</v>
      </c>
      <c r="H134" s="2">
        <v>11.303524971008301</v>
      </c>
      <c r="I134" s="2">
        <v>239.5</v>
      </c>
      <c r="J134" s="2">
        <v>11.55000019073486</v>
      </c>
      <c r="K134" s="2">
        <v>443.851806640625</v>
      </c>
      <c r="L134" s="2">
        <v>189.08000183105469</v>
      </c>
      <c r="M134" s="2">
        <v>183.00999450683591</v>
      </c>
      <c r="N134" s="12">
        <f t="shared" ref="N134:N197" si="68">F134/F135-1</f>
        <v>-1.0906441646899356E-2</v>
      </c>
      <c r="O134" s="12">
        <f t="shared" ref="O134:O197" si="69">G134/G135-1</f>
        <v>5.2689018228144313E-2</v>
      </c>
      <c r="P134" s="12">
        <f t="shared" ref="P134:P197" si="70">H134/H135-1</f>
        <v>-3.2285494845338047E-2</v>
      </c>
      <c r="Q134" s="12">
        <f t="shared" ref="Q134:Q197" si="71">I134/I135-1</f>
        <v>-6.8202150965068098E-2</v>
      </c>
      <c r="R134" s="12">
        <f t="shared" ref="R134:R197" si="72">J134/J135-1</f>
        <v>-4.3081981544071057E-2</v>
      </c>
      <c r="S134" s="12">
        <f t="shared" ref="S134:S197" si="73">K134/K135-1</f>
        <v>-3.8876881570570565E-2</v>
      </c>
      <c r="T134" s="12">
        <f t="shared" ref="T134:T197" si="74">(L134*$E134)/(L135*$E135)-1</f>
        <v>2.9029463789146615E-2</v>
      </c>
      <c r="U134" s="12">
        <f t="shared" ref="U134:U197" si="75">(M134*$E134)/(M135*$E135)-1</f>
        <v>2.0843802049210547E-2</v>
      </c>
      <c r="V134" s="19">
        <f t="shared" ref="V134:V197" si="76">F$5*(1+N134)</f>
        <v>46.943107580747011</v>
      </c>
      <c r="W134" s="19">
        <f t="shared" ref="W134:W197" si="77">G$5*(1+O134)</f>
        <v>34.071787725577231</v>
      </c>
      <c r="X134" s="19">
        <f t="shared" ref="X134:X197" si="78">H$5*(1+P134)</f>
        <v>11.245901910521658</v>
      </c>
      <c r="Y134" s="19">
        <f t="shared" ref="Y134:Y197" si="79">I$5*(1+Q134)</f>
        <v>247.29914344662819</v>
      </c>
      <c r="Z134" s="19">
        <f t="shared" ref="Z134:Z197" si="80">J$5*(1+R134)</f>
        <v>14.889644768713035</v>
      </c>
      <c r="AA134" s="19">
        <f t="shared" ref="AA134:AA197" si="81">K$5*(1+S134)</f>
        <v>468.26579453999523</v>
      </c>
      <c r="AB134" s="19">
        <f t="shared" ref="AB134:AB197" si="82">L$5*$E$5*(1+T134)</f>
        <v>4700.2299352353502</v>
      </c>
      <c r="AC134" s="19">
        <f t="shared" ref="AC134:AC197" si="83">M$5*$E$5*(1+U134)</f>
        <v>8583.0786653255582</v>
      </c>
      <c r="AD134" s="21">
        <f t="shared" ref="AD134:AD197" si="84">(V134-F$5)*AD$2</f>
        <v>-10352.554805958222</v>
      </c>
      <c r="AE134" s="21">
        <f t="shared" ref="AE134:AE197" si="85">(W134-G$5)*AE$2</f>
        <v>48602.632765620794</v>
      </c>
      <c r="AF134" s="21">
        <f t="shared" ref="AF134:AF197" si="86">(X134-H$5)*AF$2</f>
        <v>-33317.12003195638</v>
      </c>
      <c r="AG134" s="21">
        <f t="shared" ref="AG134:AG197" si="87">(Y134-I$5)*AG$2</f>
        <v>-68783.231709453496</v>
      </c>
      <c r="AH134" s="21">
        <f t="shared" ref="AH134:AH197" si="88">(Z134-J$5)*AH$2</f>
        <v>-29964.897595393784</v>
      </c>
      <c r="AI134" s="21">
        <f t="shared" ref="AI134:AI197" si="89">(AA134-K$5)*AI$2</f>
        <v>-66293.794427399524</v>
      </c>
      <c r="AJ134" s="21">
        <f t="shared" ref="AJ134:AJ197" si="90">(AB134-L$5*$E$5)*AJ$2</f>
        <v>39778.789482806038</v>
      </c>
      <c r="AK134" s="21">
        <f t="shared" ref="AK134:AK197" si="91">(AC134-M$5*$E$5)*AK$2</f>
        <v>35050.218713915092</v>
      </c>
      <c r="AL134" s="23">
        <f t="shared" ref="AL134:AL197" si="92">SUM(AD134:AK134)</f>
        <v>-85279.95760781948</v>
      </c>
      <c r="AM134" s="23"/>
    </row>
    <row r="135" spans="1:39" x14ac:dyDescent="0.3">
      <c r="A135" s="13">
        <f t="shared" si="67"/>
        <v>130</v>
      </c>
      <c r="B135" s="1">
        <v>45468</v>
      </c>
      <c r="C135" s="7">
        <v>2023</v>
      </c>
      <c r="D135" s="7">
        <v>12</v>
      </c>
      <c r="E135" s="77">
        <v>18.0932</v>
      </c>
      <c r="F135" s="2">
        <v>49.600948333740227</v>
      </c>
      <c r="G135" s="2">
        <v>35.992183685302727</v>
      </c>
      <c r="H135" s="2">
        <v>11.68064022064209</v>
      </c>
      <c r="I135" s="2">
        <v>257.02999877929688</v>
      </c>
      <c r="J135" s="2">
        <v>12.069999694824221</v>
      </c>
      <c r="K135" s="2">
        <v>461.80535888671881</v>
      </c>
      <c r="L135" s="2">
        <v>186.1000061035156</v>
      </c>
      <c r="M135" s="2">
        <v>181.57000732421881</v>
      </c>
      <c r="N135" s="12">
        <f t="shared" si="68"/>
        <v>2.2616537876012366E-3</v>
      </c>
      <c r="O135" s="12">
        <f t="shared" si="69"/>
        <v>1.3558391998385044E-2</v>
      </c>
      <c r="P135" s="12">
        <f t="shared" si="70"/>
        <v>-1.5886140767365164E-2</v>
      </c>
      <c r="Q135" s="12">
        <f t="shared" si="71"/>
        <v>4.2591165586302493E-2</v>
      </c>
      <c r="R135" s="12">
        <f t="shared" si="72"/>
        <v>-1.2275005640491776E-2</v>
      </c>
      <c r="S135" s="12">
        <f t="shared" si="73"/>
        <v>-4.3226359235942757E-3</v>
      </c>
      <c r="T135" s="12">
        <f t="shared" si="74"/>
        <v>2.6804607308194006E-2</v>
      </c>
      <c r="U135" s="12">
        <f t="shared" si="75"/>
        <v>-9.2991738900937149E-3</v>
      </c>
      <c r="V135" s="19">
        <f t="shared" si="76"/>
        <v>47.568075072846106</v>
      </c>
      <c r="W135" s="19">
        <f t="shared" si="77"/>
        <v>32.805268965161787</v>
      </c>
      <c r="X135" s="19">
        <f t="shared" si="78"/>
        <v>11.436480357340868</v>
      </c>
      <c r="Y135" s="19">
        <f t="shared" si="79"/>
        <v>276.70368898313319</v>
      </c>
      <c r="Z135" s="19">
        <f t="shared" si="80"/>
        <v>15.36900132669985</v>
      </c>
      <c r="AA135" s="19">
        <f t="shared" si="81"/>
        <v>485.10086070618229</v>
      </c>
      <c r="AB135" s="19">
        <f t="shared" si="82"/>
        <v>4690.0676051939254</v>
      </c>
      <c r="AC135" s="19">
        <f t="shared" si="83"/>
        <v>8329.6417211282987</v>
      </c>
      <c r="AD135" s="21">
        <f t="shared" si="84"/>
        <v>2146.79503602369</v>
      </c>
      <c r="AE135" s="21">
        <f t="shared" si="85"/>
        <v>12506.848093780643</v>
      </c>
      <c r="AF135" s="21">
        <f t="shared" si="86"/>
        <v>-16393.753954410575</v>
      </c>
      <c r="AG135" s="21">
        <f t="shared" si="87"/>
        <v>42954.041329265499</v>
      </c>
      <c r="AH135" s="21">
        <f t="shared" si="88"/>
        <v>-8537.6594533831521</v>
      </c>
      <c r="AI135" s="21">
        <f t="shared" si="89"/>
        <v>-7371.062845744802</v>
      </c>
      <c r="AJ135" s="21">
        <f t="shared" si="90"/>
        <v>36730.090470378578</v>
      </c>
      <c r="AK135" s="21">
        <f t="shared" si="91"/>
        <v>-15637.170125536795</v>
      </c>
      <c r="AL135" s="23">
        <f t="shared" si="92"/>
        <v>46398.128550373083</v>
      </c>
      <c r="AM135" s="23"/>
    </row>
    <row r="136" spans="1:39" x14ac:dyDescent="0.3">
      <c r="A136" s="13">
        <f t="shared" si="67"/>
        <v>131</v>
      </c>
      <c r="B136" s="1">
        <v>45467</v>
      </c>
      <c r="C136" s="7">
        <v>2023</v>
      </c>
      <c r="D136" s="7">
        <v>12</v>
      </c>
      <c r="E136" s="77">
        <v>17.937999999999999</v>
      </c>
      <c r="F136" s="2">
        <v>49.489021301269531</v>
      </c>
      <c r="G136" s="2">
        <v>35.510715484619141</v>
      </c>
      <c r="H136" s="2">
        <v>11.86919593811035</v>
      </c>
      <c r="I136" s="2">
        <v>246.5299987792969</v>
      </c>
      <c r="J136" s="2">
        <v>12.22000026702881</v>
      </c>
      <c r="K136" s="2">
        <v>463.81024169921881</v>
      </c>
      <c r="L136" s="2">
        <v>182.80999755859381</v>
      </c>
      <c r="M136" s="2">
        <v>184.86000061035159</v>
      </c>
      <c r="N136" s="12">
        <f t="shared" si="68"/>
        <v>1.6475072159877424E-2</v>
      </c>
      <c r="O136" s="12">
        <f t="shared" si="69"/>
        <v>3.1687219127725541E-2</v>
      </c>
      <c r="P136" s="12">
        <f t="shared" si="70"/>
        <v>-7.4689319513443486E-3</v>
      </c>
      <c r="Q136" s="12">
        <f t="shared" si="71"/>
        <v>3.1117999729657564E-2</v>
      </c>
      <c r="R136" s="12">
        <f t="shared" si="72"/>
        <v>-4.885950101552794E-3</v>
      </c>
      <c r="S136" s="12">
        <f t="shared" si="73"/>
        <v>1.089143103131307E-2</v>
      </c>
      <c r="T136" s="12">
        <f t="shared" si="74"/>
        <v>-1.5680756364402137E-2</v>
      </c>
      <c r="U136" s="12">
        <f t="shared" si="75"/>
        <v>-2.2591495132633255E-2</v>
      </c>
      <c r="V136" s="19">
        <f t="shared" si="76"/>
        <v>48.24265436021998</v>
      </c>
      <c r="W136" s="19">
        <f t="shared" si="77"/>
        <v>33.392034419126759</v>
      </c>
      <c r="X136" s="19">
        <f t="shared" si="78"/>
        <v>11.534297538132448</v>
      </c>
      <c r="Y136" s="19">
        <f t="shared" si="79"/>
        <v>273.6587108348063</v>
      </c>
      <c r="Z136" s="19">
        <f t="shared" si="80"/>
        <v>15.483975033986312</v>
      </c>
      <c r="AA136" s="19">
        <f t="shared" si="81"/>
        <v>492.51325877903906</v>
      </c>
      <c r="AB136" s="19">
        <f t="shared" si="82"/>
        <v>4496.0100148427373</v>
      </c>
      <c r="AC136" s="19">
        <f t="shared" si="83"/>
        <v>8217.8821760926385</v>
      </c>
      <c r="AD136" s="21">
        <f t="shared" si="84"/>
        <v>15638.380783501163</v>
      </c>
      <c r="AE136" s="21">
        <f t="shared" si="85"/>
        <v>29229.663531782346</v>
      </c>
      <c r="AF136" s="21">
        <f t="shared" si="86"/>
        <v>-7707.5883001182729</v>
      </c>
      <c r="AG136" s="21">
        <f t="shared" si="87"/>
        <v>31383.124365623313</v>
      </c>
      <c r="AH136" s="21">
        <f t="shared" si="88"/>
        <v>-3398.3347376783272</v>
      </c>
      <c r="AI136" s="21">
        <f t="shared" si="89"/>
        <v>18572.330409253907</v>
      </c>
      <c r="AJ136" s="21">
        <f t="shared" si="90"/>
        <v>-21487.186634977843</v>
      </c>
      <c r="AK136" s="21">
        <f t="shared" si="91"/>
        <v>-37989.079132668849</v>
      </c>
      <c r="AL136" s="23">
        <f t="shared" si="92"/>
        <v>24241.31028471743</v>
      </c>
      <c r="AM136" s="23"/>
    </row>
    <row r="137" spans="1:39" x14ac:dyDescent="0.3">
      <c r="A137" s="13">
        <f t="shared" si="67"/>
        <v>132</v>
      </c>
      <c r="B137" s="1">
        <v>45464</v>
      </c>
      <c r="C137" s="7">
        <v>2023</v>
      </c>
      <c r="D137" s="7">
        <v>12</v>
      </c>
      <c r="E137" s="77">
        <v>18.100000000000001</v>
      </c>
      <c r="F137" s="2">
        <v>48.686901092529297</v>
      </c>
      <c r="G137" s="2">
        <v>34.420040130615227</v>
      </c>
      <c r="H137" s="2">
        <v>11.958513259887701</v>
      </c>
      <c r="I137" s="2">
        <v>239.0899963378906</v>
      </c>
      <c r="J137" s="2">
        <v>12.27999973297119</v>
      </c>
      <c r="K137" s="2">
        <v>458.8131103515625</v>
      </c>
      <c r="L137" s="2">
        <v>184.05999755859381</v>
      </c>
      <c r="M137" s="2">
        <v>187.44000244140619</v>
      </c>
      <c r="N137" s="12">
        <f t="shared" si="68"/>
        <v>2.3042118835168157E-3</v>
      </c>
      <c r="O137" s="12">
        <f t="shared" si="69"/>
        <v>-2.2054745599493608E-2</v>
      </c>
      <c r="P137" s="12">
        <f t="shared" si="70"/>
        <v>2.2757256555395733E-2</v>
      </c>
      <c r="Q137" s="12">
        <f t="shared" si="71"/>
        <v>-3.7916819254558698E-3</v>
      </c>
      <c r="R137" s="12">
        <f t="shared" si="72"/>
        <v>-1.2861724502339689E-2</v>
      </c>
      <c r="S137" s="12">
        <f t="shared" si="73"/>
        <v>0</v>
      </c>
      <c r="T137" s="12">
        <f t="shared" si="74"/>
        <v>-1.1227879123424711E-2</v>
      </c>
      <c r="U137" s="12">
        <f t="shared" si="75"/>
        <v>3.8889325248761208E-2</v>
      </c>
      <c r="V137" s="19">
        <f t="shared" si="76"/>
        <v>47.570094911372117</v>
      </c>
      <c r="W137" s="19">
        <f t="shared" si="77"/>
        <v>31.652598762028994</v>
      </c>
      <c r="X137" s="19">
        <f t="shared" si="78"/>
        <v>11.885558937300386</v>
      </c>
      <c r="Y137" s="19">
        <f t="shared" si="79"/>
        <v>264.39368153661098</v>
      </c>
      <c r="Z137" s="19">
        <f t="shared" si="80"/>
        <v>15.3598719809633</v>
      </c>
      <c r="AA137" s="19">
        <f t="shared" si="81"/>
        <v>487.20687866210938</v>
      </c>
      <c r="AB137" s="19">
        <f t="shared" si="82"/>
        <v>4516.3491281941688</v>
      </c>
      <c r="AC137" s="19">
        <f t="shared" si="83"/>
        <v>8734.8023128295026</v>
      </c>
      <c r="AD137" s="21">
        <f t="shared" si="84"/>
        <v>2187.1918065438931</v>
      </c>
      <c r="AE137" s="21">
        <f t="shared" si="85"/>
        <v>-20344.252695503954</v>
      </c>
      <c r="AF137" s="21">
        <f t="shared" si="86"/>
        <v>23484.423945994688</v>
      </c>
      <c r="AG137" s="21">
        <f t="shared" si="87"/>
        <v>-3823.9869675188856</v>
      </c>
      <c r="AH137" s="21">
        <f t="shared" si="88"/>
        <v>-8945.7412078069465</v>
      </c>
      <c r="AI137" s="21">
        <f t="shared" si="89"/>
        <v>0</v>
      </c>
      <c r="AJ137" s="21">
        <f t="shared" si="90"/>
        <v>-15385.452629548399</v>
      </c>
      <c r="AK137" s="21">
        <f t="shared" si="91"/>
        <v>65394.948214703982</v>
      </c>
      <c r="AL137" s="23">
        <f t="shared" si="92"/>
        <v>42567.130466864372</v>
      </c>
      <c r="AM137" s="23"/>
    </row>
    <row r="138" spans="1:39" x14ac:dyDescent="0.3">
      <c r="A138" s="13">
        <f t="shared" si="67"/>
        <v>133</v>
      </c>
      <c r="B138" s="1">
        <v>45463</v>
      </c>
      <c r="C138" s="7">
        <v>2023</v>
      </c>
      <c r="D138" s="7">
        <v>12</v>
      </c>
      <c r="E138" s="77">
        <v>18.345400000000001</v>
      </c>
      <c r="F138" s="2">
        <v>48.574974060058587</v>
      </c>
      <c r="G138" s="2">
        <v>35.196285247802727</v>
      </c>
      <c r="H138" s="2">
        <v>11.69242572784424</v>
      </c>
      <c r="I138" s="2">
        <v>240</v>
      </c>
      <c r="J138" s="2">
        <v>12.439999580383301</v>
      </c>
      <c r="K138" s="2">
        <v>458.8131103515625</v>
      </c>
      <c r="L138" s="2">
        <v>183.6600036621094</v>
      </c>
      <c r="M138" s="2">
        <v>178.00999450683591</v>
      </c>
      <c r="N138" s="12">
        <f t="shared" si="68"/>
        <v>-1.9213125540551435E-4</v>
      </c>
      <c r="O138" s="12">
        <f t="shared" si="69"/>
        <v>1.9580898616748943E-3</v>
      </c>
      <c r="P138" s="12">
        <f t="shared" si="70"/>
        <v>-2.9532368480168381E-2</v>
      </c>
      <c r="Q138" s="12">
        <f t="shared" si="71"/>
        <v>3.5122776594256333E-3</v>
      </c>
      <c r="R138" s="12">
        <f t="shared" si="72"/>
        <v>-1.8927501499705346E-2</v>
      </c>
      <c r="S138" s="12">
        <f t="shared" si="73"/>
        <v>-7.0707080696752689E-2</v>
      </c>
      <c r="T138" s="12">
        <f t="shared" si="74"/>
        <v>-4.3223080097789524E-3</v>
      </c>
      <c r="U138" s="12">
        <f t="shared" si="75"/>
        <v>-2.77599848771104E-2</v>
      </c>
      <c r="V138" s="19">
        <f t="shared" si="76"/>
        <v>47.451616630385217</v>
      </c>
      <c r="W138" s="19">
        <f t="shared" si="77"/>
        <v>32.429808572671128</v>
      </c>
      <c r="X138" s="19">
        <f t="shared" si="78"/>
        <v>11.277896252742476</v>
      </c>
      <c r="Y138" s="19">
        <f t="shared" si="79"/>
        <v>266.33215236585869</v>
      </c>
      <c r="Z138" s="19">
        <f t="shared" si="80"/>
        <v>15.265488488338988</v>
      </c>
      <c r="AA138" s="19">
        <f t="shared" si="81"/>
        <v>452.7579025765346</v>
      </c>
      <c r="AB138" s="19">
        <f t="shared" si="82"/>
        <v>4547.8912493971293</v>
      </c>
      <c r="AC138" s="19">
        <f t="shared" si="83"/>
        <v>8174.426405514685</v>
      </c>
      <c r="AD138" s="21">
        <f t="shared" si="84"/>
        <v>-182.37381319408996</v>
      </c>
      <c r="AE138" s="21">
        <f t="shared" si="85"/>
        <v>1806.2269077968622</v>
      </c>
      <c r="AF138" s="21">
        <f t="shared" si="86"/>
        <v>-30476.022442747744</v>
      </c>
      <c r="AG138" s="21">
        <f t="shared" si="87"/>
        <v>3542.2021836223962</v>
      </c>
      <c r="AH138" s="21">
        <f t="shared" si="88"/>
        <v>-13164.683328113679</v>
      </c>
      <c r="AI138" s="21">
        <f t="shared" si="89"/>
        <v>-120571.41629951169</v>
      </c>
      <c r="AJ138" s="21">
        <f t="shared" si="90"/>
        <v>-5922.8162686602445</v>
      </c>
      <c r="AK138" s="21">
        <f t="shared" si="91"/>
        <v>-46680.233248259538</v>
      </c>
      <c r="AL138" s="23">
        <f t="shared" si="92"/>
        <v>-211649.1163090677</v>
      </c>
      <c r="AM138" s="23"/>
    </row>
    <row r="139" spans="1:39" x14ac:dyDescent="0.3">
      <c r="A139" s="13">
        <f t="shared" si="67"/>
        <v>134</v>
      </c>
      <c r="B139" s="1">
        <v>45462</v>
      </c>
      <c r="C139" s="7">
        <v>2023</v>
      </c>
      <c r="D139" s="7">
        <v>12</v>
      </c>
      <c r="E139" s="77">
        <v>18.408000000000001</v>
      </c>
      <c r="F139" s="2">
        <v>48.584308624267578</v>
      </c>
      <c r="G139" s="2">
        <v>35.12750244140625</v>
      </c>
      <c r="H139" s="2">
        <v>12.048238754272459</v>
      </c>
      <c r="I139" s="2">
        <v>239.1600036621094</v>
      </c>
      <c r="J139" s="2">
        <v>12.680000305175779</v>
      </c>
      <c r="K139" s="2">
        <v>493.72280883789063</v>
      </c>
      <c r="L139" s="2">
        <v>183.83000183105469</v>
      </c>
      <c r="M139" s="2">
        <v>182.4700012207031</v>
      </c>
      <c r="N139" s="12">
        <f t="shared" si="68"/>
        <v>-1.3446962787074468E-2</v>
      </c>
      <c r="O139" s="12">
        <f t="shared" si="69"/>
        <v>-9.6953127545741369E-3</v>
      </c>
      <c r="P139" s="12">
        <f t="shared" si="70"/>
        <v>-1.4551355248964559E-2</v>
      </c>
      <c r="Q139" s="12">
        <f t="shared" si="71"/>
        <v>-9.6894258297747227E-3</v>
      </c>
      <c r="R139" s="12">
        <f t="shared" si="72"/>
        <v>-2.8352481237645444E-2</v>
      </c>
      <c r="S139" s="12">
        <f t="shared" si="73"/>
        <v>0</v>
      </c>
      <c r="T139" s="12">
        <f t="shared" si="74"/>
        <v>-1.5678112111523035E-2</v>
      </c>
      <c r="U139" s="12">
        <f t="shared" si="75"/>
        <v>2.994507417273673E-2</v>
      </c>
      <c r="V139" s="19">
        <f t="shared" si="76"/>
        <v>46.822532579335643</v>
      </c>
      <c r="W139" s="19">
        <f t="shared" si="77"/>
        <v>32.052629507110218</v>
      </c>
      <c r="X139" s="19">
        <f t="shared" si="78"/>
        <v>11.451992026259294</v>
      </c>
      <c r="Y139" s="19">
        <f t="shared" si="79"/>
        <v>262.82842034040175</v>
      </c>
      <c r="Z139" s="19">
        <f t="shared" si="80"/>
        <v>15.118835799661761</v>
      </c>
      <c r="AA139" s="19">
        <f t="shared" si="81"/>
        <v>487.20687866210938</v>
      </c>
      <c r="AB139" s="19">
        <f t="shared" si="82"/>
        <v>4496.0220928220142</v>
      </c>
      <c r="AC139" s="19">
        <f t="shared" si="83"/>
        <v>8659.6005920237967</v>
      </c>
      <c r="AD139" s="21">
        <f t="shared" si="84"/>
        <v>-12764.054834185572</v>
      </c>
      <c r="AE139" s="21">
        <f t="shared" si="85"/>
        <v>-8943.37646068906</v>
      </c>
      <c r="AF139" s="21">
        <f t="shared" si="86"/>
        <v>-15016.317754454303</v>
      </c>
      <c r="AG139" s="21">
        <f t="shared" si="87"/>
        <v>-9771.9795131139799</v>
      </c>
      <c r="AH139" s="21">
        <f t="shared" si="88"/>
        <v>-19720.058511985717</v>
      </c>
      <c r="AI139" s="21">
        <f t="shared" si="89"/>
        <v>0</v>
      </c>
      <c r="AJ139" s="21">
        <f t="shared" si="90"/>
        <v>-21483.56324119477</v>
      </c>
      <c r="AK139" s="21">
        <f t="shared" si="91"/>
        <v>50354.604053562798</v>
      </c>
      <c r="AL139" s="23">
        <f t="shared" si="92"/>
        <v>-37344.746262060609</v>
      </c>
      <c r="AM139" s="23"/>
    </row>
    <row r="140" spans="1:39" x14ac:dyDescent="0.3">
      <c r="A140" s="13">
        <f t="shared" si="67"/>
        <v>135</v>
      </c>
      <c r="B140" s="1">
        <v>45461</v>
      </c>
      <c r="C140" s="7">
        <v>2023</v>
      </c>
      <c r="D140" s="7">
        <v>12</v>
      </c>
      <c r="E140" s="77">
        <v>18.395</v>
      </c>
      <c r="F140" s="2">
        <v>49.246524810791023</v>
      </c>
      <c r="G140" s="2">
        <v>35.471408843994141</v>
      </c>
      <c r="H140" s="2">
        <v>12.22614574432373</v>
      </c>
      <c r="I140" s="2">
        <v>241.5</v>
      </c>
      <c r="J140" s="2">
        <v>13.05000019073486</v>
      </c>
      <c r="K140" s="2">
        <v>493.72280883789063</v>
      </c>
      <c r="L140" s="2">
        <v>186.88999938964841</v>
      </c>
      <c r="M140" s="2">
        <v>177.28999328613281</v>
      </c>
      <c r="N140" s="12">
        <f t="shared" si="68"/>
        <v>-3.0209751498958548E-3</v>
      </c>
      <c r="O140" s="12">
        <f t="shared" si="69"/>
        <v>5.8511382844290694E-3</v>
      </c>
      <c r="P140" s="12">
        <f t="shared" si="70"/>
        <v>3.9495760298595473E-2</v>
      </c>
      <c r="Q140" s="12">
        <f t="shared" si="71"/>
        <v>6.2500000000000888E-3</v>
      </c>
      <c r="R140" s="12">
        <f t="shared" si="72"/>
        <v>1.5349545797043174E-3</v>
      </c>
      <c r="S140" s="12">
        <f t="shared" si="73"/>
        <v>9.2771497729200458E-3</v>
      </c>
      <c r="T140" s="12">
        <f t="shared" si="74"/>
        <v>-7.9103095917862909E-3</v>
      </c>
      <c r="U140" s="12">
        <f t="shared" si="75"/>
        <v>3.2506452249844608E-2</v>
      </c>
      <c r="V140" s="19">
        <f t="shared" si="76"/>
        <v>47.317357619044259</v>
      </c>
      <c r="W140" s="19">
        <f t="shared" si="77"/>
        <v>32.555812660458358</v>
      </c>
      <c r="X140" s="19">
        <f t="shared" si="78"/>
        <v>12.080078674497919</v>
      </c>
      <c r="Y140" s="19">
        <f t="shared" si="79"/>
        <v>267.05874385833744</v>
      </c>
      <c r="Z140" s="19">
        <f t="shared" si="80"/>
        <v>15.583884313520992</v>
      </c>
      <c r="AA140" s="19">
        <f t="shared" si="81"/>
        <v>491.72676984585462</v>
      </c>
      <c r="AB140" s="19">
        <f t="shared" si="82"/>
        <v>4531.5025714856883</v>
      </c>
      <c r="AC140" s="19">
        <f t="shared" si="83"/>
        <v>8681.1362172421959</v>
      </c>
      <c r="AD140" s="21">
        <f t="shared" si="84"/>
        <v>-2867.5540400132604</v>
      </c>
      <c r="AE140" s="21">
        <f t="shared" si="85"/>
        <v>5397.3434097329155</v>
      </c>
      <c r="AF140" s="21">
        <f t="shared" si="86"/>
        <v>40757.77660913561</v>
      </c>
      <c r="AG140" s="21">
        <f t="shared" si="87"/>
        <v>6303.2498550416331</v>
      </c>
      <c r="AH140" s="21">
        <f t="shared" si="88"/>
        <v>1067.6100575218732</v>
      </c>
      <c r="AI140" s="21">
        <f t="shared" si="89"/>
        <v>15819.619143108355</v>
      </c>
      <c r="AJ140" s="21">
        <f t="shared" si="90"/>
        <v>-10839.419642092525</v>
      </c>
      <c r="AK140" s="21">
        <f t="shared" si="91"/>
        <v>54661.729097242642</v>
      </c>
      <c r="AL140" s="23">
        <f t="shared" si="92"/>
        <v>110300.35448967724</v>
      </c>
      <c r="AM140" s="23"/>
    </row>
    <row r="141" spans="1:39" x14ac:dyDescent="0.3">
      <c r="A141" s="13">
        <f t="shared" si="67"/>
        <v>136</v>
      </c>
      <c r="B141" s="1">
        <v>45460</v>
      </c>
      <c r="C141" s="7">
        <v>2023</v>
      </c>
      <c r="D141" s="7">
        <v>12</v>
      </c>
      <c r="E141" s="77">
        <v>18.507999999999999</v>
      </c>
      <c r="F141" s="2">
        <v>49.395748138427727</v>
      </c>
      <c r="G141" s="2">
        <v>35.265068054199219</v>
      </c>
      <c r="H141" s="2">
        <v>11.761611938476561</v>
      </c>
      <c r="I141" s="2">
        <v>240</v>
      </c>
      <c r="J141" s="2">
        <v>13.02999973297119</v>
      </c>
      <c r="K141" s="2">
        <v>489.1845703125</v>
      </c>
      <c r="L141" s="2">
        <v>187.22999572753909</v>
      </c>
      <c r="M141" s="2">
        <v>170.6600036621094</v>
      </c>
      <c r="N141" s="12">
        <f t="shared" si="68"/>
        <v>-1.8893934992836314E-4</v>
      </c>
      <c r="O141" s="12">
        <f t="shared" si="69"/>
        <v>-2.9737728176822076E-2</v>
      </c>
      <c r="P141" s="12">
        <f t="shared" si="70"/>
        <v>-2.3789934914284161E-2</v>
      </c>
      <c r="Q141" s="12">
        <f t="shared" si="71"/>
        <v>1.3898834830881279E-2</v>
      </c>
      <c r="R141" s="12">
        <f t="shared" si="72"/>
        <v>0</v>
      </c>
      <c r="S141" s="12">
        <f t="shared" si="73"/>
        <v>6.6172450480607603E-2</v>
      </c>
      <c r="T141" s="12">
        <f t="shared" si="74"/>
        <v>3.8376436971756522E-3</v>
      </c>
      <c r="U141" s="12">
        <f t="shared" si="75"/>
        <v>-1.5136689680822712E-2</v>
      </c>
      <c r="V141" s="19">
        <f t="shared" si="76"/>
        <v>47.451768120566243</v>
      </c>
      <c r="W141" s="19">
        <f t="shared" si="77"/>
        <v>31.40392802742339</v>
      </c>
      <c r="X141" s="19">
        <f t="shared" si="78"/>
        <v>11.344629617041175</v>
      </c>
      <c r="Y141" s="19">
        <f t="shared" si="79"/>
        <v>269.08874457576849</v>
      </c>
      <c r="Z141" s="19">
        <f t="shared" si="80"/>
        <v>15.560000419616699</v>
      </c>
      <c r="AA141" s="19">
        <f t="shared" si="81"/>
        <v>519.44655171418924</v>
      </c>
      <c r="AB141" s="19">
        <f t="shared" si="82"/>
        <v>4585.162922009762</v>
      </c>
      <c r="AC141" s="19">
        <f t="shared" si="83"/>
        <v>8280.5608949124471</v>
      </c>
      <c r="AD141" s="21">
        <f t="shared" si="84"/>
        <v>-179.34400957358321</v>
      </c>
      <c r="AE141" s="21">
        <f t="shared" si="85"/>
        <v>-27431.368631763657</v>
      </c>
      <c r="AF141" s="21">
        <f t="shared" si="86"/>
        <v>-24550.099693023283</v>
      </c>
      <c r="AG141" s="21">
        <f t="shared" si="87"/>
        <v>14017.252581279627</v>
      </c>
      <c r="AH141" s="21">
        <f t="shared" si="88"/>
        <v>0</v>
      </c>
      <c r="AI141" s="21">
        <f t="shared" si="89"/>
        <v>112838.85568227954</v>
      </c>
      <c r="AJ141" s="21">
        <f t="shared" si="90"/>
        <v>5258.6855151295822</v>
      </c>
      <c r="AK141" s="21">
        <f t="shared" si="91"/>
        <v>-25453.335368707121</v>
      </c>
      <c r="AL141" s="23">
        <f t="shared" si="92"/>
        <v>54500.646075621087</v>
      </c>
      <c r="AM141" s="23"/>
    </row>
    <row r="142" spans="1:39" x14ac:dyDescent="0.3">
      <c r="A142" s="13">
        <f t="shared" si="67"/>
        <v>137</v>
      </c>
      <c r="B142" s="1">
        <v>45457</v>
      </c>
      <c r="C142" s="7">
        <v>2023</v>
      </c>
      <c r="D142" s="7">
        <v>12</v>
      </c>
      <c r="E142" s="77">
        <v>18.454000000000001</v>
      </c>
      <c r="F142" s="2">
        <v>49.405082702636719</v>
      </c>
      <c r="G142" s="2">
        <v>36.345912933349609</v>
      </c>
      <c r="H142" s="2">
        <v>12.048238754272459</v>
      </c>
      <c r="I142" s="2">
        <v>236.71000671386719</v>
      </c>
      <c r="J142" s="2">
        <v>13.02999973297119</v>
      </c>
      <c r="K142" s="2">
        <v>458.8231201171875</v>
      </c>
      <c r="L142" s="2">
        <v>187.05999755859381</v>
      </c>
      <c r="M142" s="2">
        <v>173.78999328613281</v>
      </c>
      <c r="N142" s="12">
        <f t="shared" si="68"/>
        <v>3.5999813712568329E-3</v>
      </c>
      <c r="O142" s="12">
        <f t="shared" si="69"/>
        <v>5.8975020145044299E-2</v>
      </c>
      <c r="P142" s="12">
        <f t="shared" si="70"/>
        <v>2.4670691772039621E-3</v>
      </c>
      <c r="Q142" s="12">
        <f t="shared" si="71"/>
        <v>-1.7841533093959527E-2</v>
      </c>
      <c r="R142" s="12">
        <f t="shared" si="72"/>
        <v>1.9561815745193112E-2</v>
      </c>
      <c r="S142" s="12">
        <f t="shared" si="73"/>
        <v>0</v>
      </c>
      <c r="T142" s="12">
        <f t="shared" si="74"/>
        <v>2.0449951478673567E-2</v>
      </c>
      <c r="U142" s="12">
        <f t="shared" si="75"/>
        <v>-1.5509602946030987E-2</v>
      </c>
      <c r="V142" s="19">
        <f t="shared" si="76"/>
        <v>47.631593084066836</v>
      </c>
      <c r="W142" s="19">
        <f t="shared" si="77"/>
        <v>34.275243180366417</v>
      </c>
      <c r="X142" s="19">
        <f t="shared" si="78"/>
        <v>11.649764748223124</v>
      </c>
      <c r="Y142" s="19">
        <f t="shared" si="79"/>
        <v>260.66485112224359</v>
      </c>
      <c r="Z142" s="19">
        <f t="shared" si="80"/>
        <v>15.864382280820369</v>
      </c>
      <c r="AA142" s="19">
        <f t="shared" si="81"/>
        <v>487.20687866210938</v>
      </c>
      <c r="AB142" s="19">
        <f t="shared" si="82"/>
        <v>4661.0418633574891</v>
      </c>
      <c r="AC142" s="19">
        <f t="shared" si="83"/>
        <v>8277.4255044793554</v>
      </c>
      <c r="AD142" s="21">
        <f t="shared" si="84"/>
        <v>3417.1552604382782</v>
      </c>
      <c r="AE142" s="21">
        <f t="shared" si="85"/>
        <v>54401.11322711259</v>
      </c>
      <c r="AF142" s="21">
        <f t="shared" si="86"/>
        <v>2545.8999559337713</v>
      </c>
      <c r="AG142" s="21">
        <f t="shared" si="87"/>
        <v>-17993.542542114985</v>
      </c>
      <c r="AH142" s="21">
        <f t="shared" si="88"/>
        <v>13605.869195804027</v>
      </c>
      <c r="AI142" s="21">
        <f t="shared" si="89"/>
        <v>0</v>
      </c>
      <c r="AJ142" s="21">
        <f t="shared" si="90"/>
        <v>28022.367919447697</v>
      </c>
      <c r="AK142" s="21">
        <f t="shared" si="91"/>
        <v>-26080.41345532547</v>
      </c>
      <c r="AL142" s="23">
        <f t="shared" si="92"/>
        <v>57918.449561295914</v>
      </c>
      <c r="AM142" s="23"/>
    </row>
    <row r="143" spans="1:39" x14ac:dyDescent="0.3">
      <c r="A143" s="13">
        <f t="shared" si="67"/>
        <v>138</v>
      </c>
      <c r="B143" s="1">
        <v>45456</v>
      </c>
      <c r="C143" s="7">
        <v>2023</v>
      </c>
      <c r="D143" s="7">
        <v>12</v>
      </c>
      <c r="E143" s="77">
        <v>18.355</v>
      </c>
      <c r="F143" s="2">
        <v>49.227863311767578</v>
      </c>
      <c r="G143" s="2">
        <v>34.321784973144531</v>
      </c>
      <c r="H143" s="2">
        <v>12.018588066101071</v>
      </c>
      <c r="I143" s="2">
        <v>241.00999450683591</v>
      </c>
      <c r="J143" s="2">
        <v>12.77999973297119</v>
      </c>
      <c r="K143" s="2">
        <v>458.8231201171875</v>
      </c>
      <c r="L143" s="2">
        <v>184.30000305175781</v>
      </c>
      <c r="M143" s="2">
        <v>177.47999572753909</v>
      </c>
      <c r="N143" s="12">
        <f t="shared" si="68"/>
        <v>-2.7813721091204835E-2</v>
      </c>
      <c r="O143" s="12">
        <f t="shared" si="69"/>
        <v>-1.8544488577383889E-2</v>
      </c>
      <c r="P143" s="12">
        <f t="shared" si="70"/>
        <v>-1.6976542122362881E-2</v>
      </c>
      <c r="Q143" s="12">
        <f t="shared" si="71"/>
        <v>-6.4402217405278628E-2</v>
      </c>
      <c r="R143" s="12">
        <f t="shared" si="72"/>
        <v>-7.8187872647894618E-4</v>
      </c>
      <c r="S143" s="12">
        <f t="shared" si="73"/>
        <v>0</v>
      </c>
      <c r="T143" s="12">
        <f t="shared" si="74"/>
        <v>-2.372936724866459E-2</v>
      </c>
      <c r="U143" s="12">
        <f t="shared" si="75"/>
        <v>-2.2554776083116512E-2</v>
      </c>
      <c r="V143" s="19">
        <f t="shared" si="76"/>
        <v>46.140675666041886</v>
      </c>
      <c r="W143" s="19">
        <f t="shared" si="77"/>
        <v>31.766213257904376</v>
      </c>
      <c r="X143" s="19">
        <f t="shared" si="78"/>
        <v>11.423808699929424</v>
      </c>
      <c r="Y143" s="19">
        <f t="shared" si="79"/>
        <v>248.30764579020337</v>
      </c>
      <c r="Z143" s="19">
        <f t="shared" si="80"/>
        <v>15.547834386304597</v>
      </c>
      <c r="AA143" s="19">
        <f t="shared" si="81"/>
        <v>487.20687866210938</v>
      </c>
      <c r="AB143" s="19">
        <f t="shared" si="82"/>
        <v>4459.246906354113</v>
      </c>
      <c r="AC143" s="19">
        <f t="shared" si="83"/>
        <v>8218.1909035295739</v>
      </c>
      <c r="AD143" s="21">
        <f t="shared" si="84"/>
        <v>-26401.193100060707</v>
      </c>
      <c r="AE143" s="21">
        <f t="shared" si="85"/>
        <v>-17106.239563055573</v>
      </c>
      <c r="AF143" s="21">
        <f t="shared" si="86"/>
        <v>-17518.997132546767</v>
      </c>
      <c r="AG143" s="21">
        <f t="shared" si="87"/>
        <v>-64950.922803867834</v>
      </c>
      <c r="AH143" s="21">
        <f t="shared" si="88"/>
        <v>-543.8216890509633</v>
      </c>
      <c r="AI143" s="21">
        <f t="shared" si="89"/>
        <v>0</v>
      </c>
      <c r="AJ143" s="21">
        <f t="shared" si="90"/>
        <v>-32516.119181565136</v>
      </c>
      <c r="AK143" s="21">
        <f t="shared" si="91"/>
        <v>-37927.33364528176</v>
      </c>
      <c r="AL143" s="23">
        <f t="shared" si="92"/>
        <v>-196964.62711542874</v>
      </c>
      <c r="AM143" s="23"/>
    </row>
    <row r="144" spans="1:39" x14ac:dyDescent="0.3">
      <c r="A144" s="13">
        <f t="shared" si="67"/>
        <v>139</v>
      </c>
      <c r="B144" s="1">
        <v>45455</v>
      </c>
      <c r="C144" s="7">
        <v>2023</v>
      </c>
      <c r="D144" s="7">
        <v>12</v>
      </c>
      <c r="E144" s="77">
        <v>18.73</v>
      </c>
      <c r="F144" s="2">
        <v>50.636245727539063</v>
      </c>
      <c r="G144" s="2">
        <v>34.970291137695313</v>
      </c>
      <c r="H144" s="2">
        <v>12.22614574432373</v>
      </c>
      <c r="I144" s="2">
        <v>257.60000610351563</v>
      </c>
      <c r="J144" s="2">
        <v>12.789999961853029</v>
      </c>
      <c r="K144" s="2">
        <v>458.8231201171875</v>
      </c>
      <c r="L144" s="2">
        <v>185</v>
      </c>
      <c r="M144" s="2">
        <v>177.94000244140619</v>
      </c>
      <c r="N144" s="12">
        <f t="shared" si="68"/>
        <v>1.475657683933429E-3</v>
      </c>
      <c r="O144" s="12">
        <f t="shared" si="69"/>
        <v>-8.9111219775566131E-3</v>
      </c>
      <c r="P144" s="12">
        <f t="shared" si="70"/>
        <v>-5.6269535932621517E-3</v>
      </c>
      <c r="Q144" s="12">
        <f t="shared" si="71"/>
        <v>2.181673886093316E-2</v>
      </c>
      <c r="R144" s="12">
        <f t="shared" si="72"/>
        <v>1.9123487447860743E-2</v>
      </c>
      <c r="S144" s="12">
        <f t="shared" si="73"/>
        <v>-1.4967793064246449E-2</v>
      </c>
      <c r="T144" s="12">
        <f t="shared" si="74"/>
        <v>2.9280347163350928E-2</v>
      </c>
      <c r="U144" s="12">
        <f t="shared" si="75"/>
        <v>2.5527676074021066E-2</v>
      </c>
      <c r="V144" s="19">
        <f t="shared" si="76"/>
        <v>47.530771119806552</v>
      </c>
      <c r="W144" s="19">
        <f t="shared" si="77"/>
        <v>32.07801096471853</v>
      </c>
      <c r="X144" s="19">
        <f t="shared" si="78"/>
        <v>11.555703343073841</v>
      </c>
      <c r="Y144" s="19">
        <f t="shared" si="79"/>
        <v>271.19015625701724</v>
      </c>
      <c r="Z144" s="19">
        <f t="shared" si="80"/>
        <v>15.857561892329947</v>
      </c>
      <c r="AA144" s="19">
        <f t="shared" si="81"/>
        <v>479.9144669228175</v>
      </c>
      <c r="AB144" s="19">
        <f t="shared" si="82"/>
        <v>4701.3758786579474</v>
      </c>
      <c r="AC144" s="19">
        <f t="shared" si="83"/>
        <v>8622.4598704939926</v>
      </c>
      <c r="AD144" s="21">
        <f t="shared" si="84"/>
        <v>1400.7159752326004</v>
      </c>
      <c r="AE144" s="21">
        <f t="shared" si="85"/>
        <v>-8220.0049188521789</v>
      </c>
      <c r="AF144" s="21">
        <f t="shared" si="86"/>
        <v>-5806.752821322556</v>
      </c>
      <c r="AG144" s="21">
        <f t="shared" si="87"/>
        <v>22002.616970024872</v>
      </c>
      <c r="AH144" s="21">
        <f t="shared" si="88"/>
        <v>13300.997830282189</v>
      </c>
      <c r="AI144" s="21">
        <f t="shared" si="89"/>
        <v>-25523.441087521576</v>
      </c>
      <c r="AJ144" s="21">
        <f t="shared" si="90"/>
        <v>40122.572509585189</v>
      </c>
      <c r="AK144" s="21">
        <f t="shared" si="91"/>
        <v>42926.459747601984</v>
      </c>
      <c r="AL144" s="23">
        <f t="shared" si="92"/>
        <v>80203.164205030524</v>
      </c>
      <c r="AM144" s="23"/>
    </row>
    <row r="145" spans="1:39" x14ac:dyDescent="0.3">
      <c r="A145" s="13">
        <f t="shared" si="67"/>
        <v>140</v>
      </c>
      <c r="B145" s="1">
        <v>45454</v>
      </c>
      <c r="C145" s="7">
        <v>2023</v>
      </c>
      <c r="D145" s="7">
        <v>12</v>
      </c>
      <c r="E145" s="77">
        <v>18.570599999999999</v>
      </c>
      <c r="F145" s="2">
        <v>50.561634063720703</v>
      </c>
      <c r="G145" s="2">
        <v>35.284717559814453</v>
      </c>
      <c r="H145" s="2">
        <v>12.29533100128174</v>
      </c>
      <c r="I145" s="2">
        <v>252.1000061035156</v>
      </c>
      <c r="J145" s="2">
        <v>12.55000019073486</v>
      </c>
      <c r="K145" s="2">
        <v>465.7950439453125</v>
      </c>
      <c r="L145" s="2">
        <v>181.2799987792969</v>
      </c>
      <c r="M145" s="2">
        <v>175</v>
      </c>
      <c r="N145" s="12">
        <f t="shared" si="68"/>
        <v>1.802836546603781E-2</v>
      </c>
      <c r="O145" s="12">
        <f t="shared" si="69"/>
        <v>1.1549233546987558E-2</v>
      </c>
      <c r="P145" s="12">
        <f t="shared" si="70"/>
        <v>7.2873425423671812E-3</v>
      </c>
      <c r="Q145" s="12">
        <f t="shared" si="71"/>
        <v>-1.6236521810594207E-3</v>
      </c>
      <c r="R145" s="12">
        <f t="shared" si="72"/>
        <v>2.4489811488559887E-2</v>
      </c>
      <c r="S145" s="12">
        <f t="shared" si="73"/>
        <v>-3.5143931539040385E-2</v>
      </c>
      <c r="T145" s="12">
        <f t="shared" si="74"/>
        <v>3.0833972559843881E-2</v>
      </c>
      <c r="U145" s="12">
        <f t="shared" si="75"/>
        <v>2.1144356935302699E-2</v>
      </c>
      <c r="V145" s="19">
        <f t="shared" si="76"/>
        <v>48.316374802699606</v>
      </c>
      <c r="W145" s="19">
        <f t="shared" si="77"/>
        <v>32.740239674385784</v>
      </c>
      <c r="X145" s="19">
        <f t="shared" si="78"/>
        <v>11.705781601497284</v>
      </c>
      <c r="Y145" s="19">
        <f t="shared" si="79"/>
        <v>264.96907661754119</v>
      </c>
      <c r="Z145" s="19">
        <f t="shared" si="80"/>
        <v>15.941061896655025</v>
      </c>
      <c r="AA145" s="19">
        <f t="shared" si="81"/>
        <v>470.08451347305862</v>
      </c>
      <c r="AB145" s="19">
        <f t="shared" si="82"/>
        <v>4708.4722707960782</v>
      </c>
      <c r="AC145" s="19">
        <f t="shared" si="83"/>
        <v>8585.6056789836712</v>
      </c>
      <c r="AD145" s="21">
        <f t="shared" si="84"/>
        <v>17112.789633093682</v>
      </c>
      <c r="AE145" s="21">
        <f t="shared" si="85"/>
        <v>10653.51330666455</v>
      </c>
      <c r="AF145" s="21">
        <f t="shared" si="86"/>
        <v>7520.196526679204</v>
      </c>
      <c r="AG145" s="21">
        <f t="shared" si="87"/>
        <v>-1637.4856599840996</v>
      </c>
      <c r="AH145" s="21">
        <f t="shared" si="88"/>
        <v>17033.448023613175</v>
      </c>
      <c r="AI145" s="21">
        <f t="shared" si="89"/>
        <v>-59928.278161677641</v>
      </c>
      <c r="AJ145" s="21">
        <f t="shared" si="90"/>
        <v>42251.490151024424</v>
      </c>
      <c r="AK145" s="21">
        <f t="shared" si="91"/>
        <v>35555.62144553769</v>
      </c>
      <c r="AL145" s="23">
        <f t="shared" si="92"/>
        <v>68561.295264950983</v>
      </c>
      <c r="AM145" s="23"/>
    </row>
    <row r="146" spans="1:39" x14ac:dyDescent="0.3">
      <c r="A146" s="13">
        <f t="shared" si="67"/>
        <v>141</v>
      </c>
      <c r="B146" s="1">
        <v>45453</v>
      </c>
      <c r="C146" s="7">
        <v>2023</v>
      </c>
      <c r="D146" s="7">
        <v>12</v>
      </c>
      <c r="E146" s="77">
        <v>18.21</v>
      </c>
      <c r="F146" s="2">
        <v>49.666233062744141</v>
      </c>
      <c r="G146" s="2">
        <v>34.881858825683587</v>
      </c>
      <c r="H146" s="2">
        <v>12.20637893676758</v>
      </c>
      <c r="I146" s="2">
        <v>252.50999450683591</v>
      </c>
      <c r="J146" s="2">
        <v>12.25</v>
      </c>
      <c r="K146" s="2">
        <v>482.76116943359381</v>
      </c>
      <c r="L146" s="2">
        <v>179.3399963378906</v>
      </c>
      <c r="M146" s="2">
        <v>174.77000427246091</v>
      </c>
      <c r="N146" s="12">
        <f t="shared" si="68"/>
        <v>3.1576953224690119E-2</v>
      </c>
      <c r="O146" s="12">
        <f t="shared" si="69"/>
        <v>7.6639841014229937E-3</v>
      </c>
      <c r="P146" s="12">
        <f t="shared" si="70"/>
        <v>1.5625035955444844E-2</v>
      </c>
      <c r="Q146" s="12">
        <f t="shared" si="71"/>
        <v>1.3160529773801999E-2</v>
      </c>
      <c r="R146" s="12">
        <f t="shared" si="72"/>
        <v>-4.7433878146374786E-2</v>
      </c>
      <c r="S146" s="12">
        <f t="shared" si="73"/>
        <v>-8.6773585156183608E-2</v>
      </c>
      <c r="T146" s="12">
        <f t="shared" si="74"/>
        <v>-3.6937794072074981E-3</v>
      </c>
      <c r="U146" s="12">
        <f t="shared" si="75"/>
        <v>-1.7791531238651737E-2</v>
      </c>
      <c r="V146" s="19">
        <f t="shared" si="76"/>
        <v>48.959400740286952</v>
      </c>
      <c r="W146" s="19">
        <f t="shared" si="77"/>
        <v>32.614488011664911</v>
      </c>
      <c r="X146" s="19">
        <f t="shared" si="78"/>
        <v>11.802674726260861</v>
      </c>
      <c r="Y146" s="19">
        <f t="shared" si="79"/>
        <v>268.89279841812595</v>
      </c>
      <c r="Z146" s="19">
        <f t="shared" si="80"/>
        <v>14.821929255755061</v>
      </c>
      <c r="AA146" s="19">
        <f t="shared" si="81"/>
        <v>444.93019108784443</v>
      </c>
      <c r="AB146" s="19">
        <f t="shared" si="82"/>
        <v>4550.7621379935354</v>
      </c>
      <c r="AC146" s="19">
        <f t="shared" si="83"/>
        <v>8258.2394448638879</v>
      </c>
      <c r="AD146" s="21">
        <f t="shared" si="84"/>
        <v>29973.308384840606</v>
      </c>
      <c r="AE146" s="21">
        <f t="shared" si="85"/>
        <v>7069.5909191196688</v>
      </c>
      <c r="AF146" s="21">
        <f t="shared" si="86"/>
        <v>16124.306005684835</v>
      </c>
      <c r="AG146" s="21">
        <f t="shared" si="87"/>
        <v>13272.657182237981</v>
      </c>
      <c r="AH146" s="21">
        <f t="shared" si="88"/>
        <v>-32991.781024615244</v>
      </c>
      <c r="AI146" s="21">
        <f t="shared" si="89"/>
        <v>-147968.4065099273</v>
      </c>
      <c r="AJ146" s="21">
        <f t="shared" si="90"/>
        <v>-5061.5496897384219</v>
      </c>
      <c r="AK146" s="21">
        <f t="shared" si="91"/>
        <v>-29917.625378418961</v>
      </c>
      <c r="AL146" s="23">
        <f t="shared" si="92"/>
        <v>-149499.50011081685</v>
      </c>
      <c r="AM146" s="23"/>
    </row>
    <row r="147" spans="1:39" x14ac:dyDescent="0.3">
      <c r="A147" s="13">
        <f t="shared" si="67"/>
        <v>142</v>
      </c>
      <c r="B147" s="1">
        <v>45450</v>
      </c>
      <c r="C147" s="7">
        <v>2023</v>
      </c>
      <c r="D147" s="7">
        <v>12</v>
      </c>
      <c r="E147" s="77">
        <v>18.38</v>
      </c>
      <c r="F147" s="2">
        <v>48.145931243896477</v>
      </c>
      <c r="G147" s="2">
        <v>34.616558074951172</v>
      </c>
      <c r="H147" s="2">
        <v>12.018588066101071</v>
      </c>
      <c r="I147" s="2">
        <v>249.22999572753909</v>
      </c>
      <c r="J147" s="2">
        <v>12.85999965667725</v>
      </c>
      <c r="K147" s="2">
        <v>528.63250732421875</v>
      </c>
      <c r="L147" s="2">
        <v>178.3399963378906</v>
      </c>
      <c r="M147" s="2">
        <v>176.28999328613281</v>
      </c>
      <c r="N147" s="12">
        <f t="shared" si="68"/>
        <v>-6.0600478320038675E-2</v>
      </c>
      <c r="O147" s="12">
        <f t="shared" si="69"/>
        <v>-5.852485967392429E-2</v>
      </c>
      <c r="P147" s="12">
        <f t="shared" si="70"/>
        <v>-4.9257264477277518E-2</v>
      </c>
      <c r="Q147" s="12">
        <f t="shared" si="71"/>
        <v>-6.9099520037496864E-2</v>
      </c>
      <c r="R147" s="12">
        <f t="shared" si="72"/>
        <v>-4.9519592721145478E-2</v>
      </c>
      <c r="S147" s="12">
        <f t="shared" si="73"/>
        <v>7.7235758453890524E-2</v>
      </c>
      <c r="T147" s="12">
        <f t="shared" si="74"/>
        <v>3.3829994540564678E-2</v>
      </c>
      <c r="U147" s="12">
        <f t="shared" si="75"/>
        <v>1.2534756215755394E-2</v>
      </c>
      <c r="V147" s="19">
        <f t="shared" si="76"/>
        <v>44.584592059168848</v>
      </c>
      <c r="W147" s="19">
        <f t="shared" si="77"/>
        <v>30.472191287879507</v>
      </c>
      <c r="X147" s="19">
        <f t="shared" si="78"/>
        <v>11.048671368339946</v>
      </c>
      <c r="Y147" s="19">
        <f t="shared" si="79"/>
        <v>247.0609817002827</v>
      </c>
      <c r="Z147" s="19">
        <f t="shared" si="80"/>
        <v>14.789475536096427</v>
      </c>
      <c r="AA147" s="19">
        <f t="shared" si="81"/>
        <v>524.83667145952995</v>
      </c>
      <c r="AB147" s="19">
        <f t="shared" si="82"/>
        <v>4722.1570025709616</v>
      </c>
      <c r="AC147" s="19">
        <f t="shared" si="83"/>
        <v>8513.21764067205</v>
      </c>
      <c r="AD147" s="21">
        <f t="shared" si="84"/>
        <v>-57522.865237521473</v>
      </c>
      <c r="AE147" s="21">
        <f t="shared" si="85"/>
        <v>-53985.865708764322</v>
      </c>
      <c r="AF147" s="21">
        <f t="shared" si="86"/>
        <v>-50831.192177692428</v>
      </c>
      <c r="AG147" s="21">
        <f t="shared" si="87"/>
        <v>-69688.246345566382</v>
      </c>
      <c r="AH147" s="21">
        <f t="shared" si="88"/>
        <v>-34442.462293356162</v>
      </c>
      <c r="AI147" s="21">
        <f t="shared" si="89"/>
        <v>131704.27479097203</v>
      </c>
      <c r="AJ147" s="21">
        <f t="shared" si="90"/>
        <v>46356.909683489444</v>
      </c>
      <c r="AK147" s="21">
        <f t="shared" si="91"/>
        <v>21078.013783213464</v>
      </c>
      <c r="AL147" s="23">
        <f t="shared" si="92"/>
        <v>-67331.433505225796</v>
      </c>
      <c r="AM147" s="23"/>
    </row>
    <row r="148" spans="1:39" x14ac:dyDescent="0.3">
      <c r="A148" s="13">
        <f t="shared" si="67"/>
        <v>143</v>
      </c>
      <c r="B148" s="1">
        <v>45449</v>
      </c>
      <c r="C148" s="7">
        <v>2023</v>
      </c>
      <c r="D148" s="7">
        <v>11</v>
      </c>
      <c r="E148" s="77">
        <v>17.97</v>
      </c>
      <c r="F148" s="2">
        <v>51.251815795898438</v>
      </c>
      <c r="G148" s="2">
        <v>36.768424987792969</v>
      </c>
      <c r="H148" s="2">
        <v>12.641262054443359</v>
      </c>
      <c r="I148" s="2">
        <v>267.73001098632813</v>
      </c>
      <c r="J148" s="2">
        <v>13.52999973297119</v>
      </c>
      <c r="K148" s="2">
        <v>490.73056030273438</v>
      </c>
      <c r="L148" s="2">
        <v>176.44000244140619</v>
      </c>
      <c r="M148" s="2">
        <v>178.08000183105469</v>
      </c>
      <c r="N148" s="12">
        <f t="shared" si="68"/>
        <v>-3.9877981915537042E-3</v>
      </c>
      <c r="O148" s="12">
        <f t="shared" si="69"/>
        <v>2.1566941013562824E-2</v>
      </c>
      <c r="P148" s="12">
        <f t="shared" si="70"/>
        <v>-1.3878199860986817E-2</v>
      </c>
      <c r="Q148" s="12">
        <f t="shared" si="71"/>
        <v>4.954796389301297E-3</v>
      </c>
      <c r="R148" s="12">
        <f t="shared" si="72"/>
        <v>-1.4760485226669173E-3</v>
      </c>
      <c r="S148" s="12">
        <f t="shared" si="73"/>
        <v>0.29272975831246817</v>
      </c>
      <c r="T148" s="12">
        <f t="shared" si="74"/>
        <v>1.0769405869388793E-2</v>
      </c>
      <c r="U148" s="12">
        <f t="shared" si="75"/>
        <v>2.3188674468817894E-2</v>
      </c>
      <c r="V148" s="19">
        <f t="shared" si="76"/>
        <v>47.27147148656185</v>
      </c>
      <c r="W148" s="19">
        <f t="shared" si="77"/>
        <v>33.06447712380136</v>
      </c>
      <c r="X148" s="19">
        <f t="shared" si="78"/>
        <v>11.459814828773272</v>
      </c>
      <c r="Y148" s="19">
        <f t="shared" si="79"/>
        <v>266.71499682796326</v>
      </c>
      <c r="Z148" s="19">
        <f t="shared" si="80"/>
        <v>15.537033103984628</v>
      </c>
      <c r="AA148" s="19">
        <f t="shared" si="81"/>
        <v>629.8268305010406</v>
      </c>
      <c r="AB148" s="19">
        <f t="shared" si="82"/>
        <v>4616.8246743815525</v>
      </c>
      <c r="AC148" s="19">
        <f t="shared" si="83"/>
        <v>8602.7939483073842</v>
      </c>
      <c r="AD148" s="21">
        <f t="shared" si="84"/>
        <v>-3785.2766896614298</v>
      </c>
      <c r="AE148" s="21">
        <f t="shared" si="85"/>
        <v>19894.280615008491</v>
      </c>
      <c r="AF148" s="21">
        <f t="shared" si="86"/>
        <v>-14321.652891213063</v>
      </c>
      <c r="AG148" s="21">
        <f t="shared" si="87"/>
        <v>4997.0111396197699</v>
      </c>
      <c r="AH148" s="21">
        <f t="shared" si="88"/>
        <v>-1026.6390087535785</v>
      </c>
      <c r="AI148" s="21">
        <f t="shared" si="89"/>
        <v>499169.83143625932</v>
      </c>
      <c r="AJ148" s="21">
        <f t="shared" si="90"/>
        <v>14757.211226666732</v>
      </c>
      <c r="AK148" s="21">
        <f t="shared" si="91"/>
        <v>38993.275310280296</v>
      </c>
      <c r="AL148" s="23">
        <f t="shared" si="92"/>
        <v>558678.04113820661</v>
      </c>
      <c r="AM148" s="23"/>
    </row>
    <row r="149" spans="1:39" x14ac:dyDescent="0.3">
      <c r="A149" s="13">
        <f t="shared" si="67"/>
        <v>144</v>
      </c>
      <c r="B149" s="1">
        <v>45448</v>
      </c>
      <c r="C149" s="7">
        <v>2023</v>
      </c>
      <c r="D149" s="7">
        <v>11</v>
      </c>
      <c r="E149" s="77">
        <v>17.492999999999999</v>
      </c>
      <c r="F149" s="2">
        <v>51.457015991210938</v>
      </c>
      <c r="G149" s="2">
        <v>35.992183685302727</v>
      </c>
      <c r="H149" s="2">
        <v>12.819169044494631</v>
      </c>
      <c r="I149" s="2">
        <v>266.41000366210938</v>
      </c>
      <c r="J149" s="2">
        <v>13.55000019073486</v>
      </c>
      <c r="K149" s="2">
        <v>379.60800170898438</v>
      </c>
      <c r="L149" s="2">
        <v>179.32000732421881</v>
      </c>
      <c r="M149" s="2">
        <v>178.78999328613281</v>
      </c>
      <c r="N149" s="12">
        <f t="shared" si="68"/>
        <v>2.9541057430222395E-3</v>
      </c>
      <c r="O149" s="12">
        <f t="shared" si="69"/>
        <v>4.2698529280124742E-2</v>
      </c>
      <c r="P149" s="12">
        <f t="shared" si="70"/>
        <v>2.0456311197021071E-2</v>
      </c>
      <c r="Q149" s="12">
        <f t="shared" si="71"/>
        <v>1.6948514794507652E-2</v>
      </c>
      <c r="R149" s="12">
        <f t="shared" si="72"/>
        <v>3.7037178322119058E-3</v>
      </c>
      <c r="S149" s="12">
        <f t="shared" si="73"/>
        <v>6.0493691172586184E-2</v>
      </c>
      <c r="T149" s="12">
        <f t="shared" si="74"/>
        <v>-3.4699082757193689E-2</v>
      </c>
      <c r="U149" s="12">
        <f t="shared" si="75"/>
        <v>-5.7054987359916876E-3</v>
      </c>
      <c r="V149" s="19">
        <f t="shared" si="76"/>
        <v>47.600939351824877</v>
      </c>
      <c r="W149" s="19">
        <f t="shared" si="77"/>
        <v>33.7484312424968</v>
      </c>
      <c r="X149" s="19">
        <f t="shared" si="78"/>
        <v>11.858819433382735</v>
      </c>
      <c r="Y149" s="19">
        <f t="shared" si="79"/>
        <v>269.89812961950116</v>
      </c>
      <c r="Z149" s="19">
        <f t="shared" si="80"/>
        <v>15.617630270640058</v>
      </c>
      <c r="AA149" s="19">
        <f t="shared" si="81"/>
        <v>516.67982111705464</v>
      </c>
      <c r="AB149" s="19">
        <f t="shared" si="82"/>
        <v>4409.1412611529095</v>
      </c>
      <c r="AC149" s="19">
        <f t="shared" si="83"/>
        <v>8359.8567221728936</v>
      </c>
      <c r="AD149" s="21">
        <f t="shared" si="84"/>
        <v>2804.0806155991049</v>
      </c>
      <c r="AE149" s="21">
        <f t="shared" si="85"/>
        <v>39386.97299782851</v>
      </c>
      <c r="AF149" s="21">
        <f t="shared" si="86"/>
        <v>21109.95599810722</v>
      </c>
      <c r="AG149" s="21">
        <f t="shared" si="87"/>
        <v>17092.91574746379</v>
      </c>
      <c r="AH149" s="21">
        <f t="shared" si="88"/>
        <v>2576.0543407441396</v>
      </c>
      <c r="AI149" s="21">
        <f t="shared" si="89"/>
        <v>103155.29859230843</v>
      </c>
      <c r="AJ149" s="21">
        <f t="shared" si="90"/>
        <v>-47547.812741926187</v>
      </c>
      <c r="AK149" s="21">
        <f t="shared" si="91"/>
        <v>-9594.1699166178296</v>
      </c>
      <c r="AL149" s="23">
        <f t="shared" si="92"/>
        <v>128983.29563350722</v>
      </c>
      <c r="AM149" s="23"/>
    </row>
    <row r="150" spans="1:39" x14ac:dyDescent="0.3">
      <c r="A150" s="13">
        <f t="shared" si="67"/>
        <v>145</v>
      </c>
      <c r="B150" s="1">
        <v>45447</v>
      </c>
      <c r="C150" s="7">
        <v>2023</v>
      </c>
      <c r="D150" s="7">
        <v>11</v>
      </c>
      <c r="E150" s="77">
        <v>17.853000000000002</v>
      </c>
      <c r="F150" s="2">
        <v>51.305454254150391</v>
      </c>
      <c r="G150" s="2">
        <v>34.518302917480469</v>
      </c>
      <c r="H150" s="2">
        <v>12.562192916870121</v>
      </c>
      <c r="I150" s="2">
        <v>261.97000122070313</v>
      </c>
      <c r="J150" s="2">
        <v>13.5</v>
      </c>
      <c r="K150" s="2">
        <v>357.95404052734381</v>
      </c>
      <c r="L150" s="2">
        <v>182.02000427246091</v>
      </c>
      <c r="M150" s="2">
        <v>176.19000244140619</v>
      </c>
      <c r="N150" s="12">
        <f t="shared" si="68"/>
        <v>-3.2499166806798652E-3</v>
      </c>
      <c r="O150" s="12">
        <f t="shared" si="69"/>
        <v>1.8851549299041537E-2</v>
      </c>
      <c r="P150" s="12">
        <f t="shared" si="70"/>
        <v>-2.3547535294600186E-3</v>
      </c>
      <c r="Q150" s="12">
        <f t="shared" si="71"/>
        <v>-2.4174888031541109E-2</v>
      </c>
      <c r="R150" s="12">
        <f t="shared" si="72"/>
        <v>4.464317075148827E-3</v>
      </c>
      <c r="S150" s="12">
        <f t="shared" si="73"/>
        <v>3.4236362812333665E-2</v>
      </c>
      <c r="T150" s="12">
        <f t="shared" si="74"/>
        <v>9.5783699307083747E-3</v>
      </c>
      <c r="U150" s="12">
        <f t="shared" si="75"/>
        <v>7.0984260202169303E-3</v>
      </c>
      <c r="V150" s="19">
        <f t="shared" si="76"/>
        <v>47.306491885647723</v>
      </c>
      <c r="W150" s="19">
        <f t="shared" si="77"/>
        <v>32.976589582004181</v>
      </c>
      <c r="X150" s="19">
        <f t="shared" si="78"/>
        <v>11.593729889904655</v>
      </c>
      <c r="Y150" s="19">
        <f t="shared" si="79"/>
        <v>258.98397876046516</v>
      </c>
      <c r="Z150" s="19">
        <f t="shared" si="80"/>
        <v>15.629465195179318</v>
      </c>
      <c r="AA150" s="19">
        <f t="shared" si="81"/>
        <v>503.88707012464999</v>
      </c>
      <c r="AB150" s="19">
        <f t="shared" si="82"/>
        <v>4611.3844581681969</v>
      </c>
      <c r="AC150" s="19">
        <f t="shared" si="83"/>
        <v>8467.5099137648322</v>
      </c>
      <c r="AD150" s="21">
        <f t="shared" si="84"/>
        <v>-3084.8687079439687</v>
      </c>
      <c r="AE150" s="21">
        <f t="shared" si="85"/>
        <v>17389.485673788866</v>
      </c>
      <c r="AF150" s="21">
        <f t="shared" si="86"/>
        <v>-2429.9954627462853</v>
      </c>
      <c r="AG150" s="21">
        <f t="shared" si="87"/>
        <v>-24380.857516873006</v>
      </c>
      <c r="AH150" s="21">
        <f t="shared" si="88"/>
        <v>3105.0754676490487</v>
      </c>
      <c r="AI150" s="21">
        <f t="shared" si="89"/>
        <v>58380.670118892172</v>
      </c>
      <c r="AJ150" s="21">
        <f t="shared" si="90"/>
        <v>13125.146362660053</v>
      </c>
      <c r="AK150" s="21">
        <f t="shared" si="91"/>
        <v>11936.468401769889</v>
      </c>
      <c r="AL150" s="23">
        <f t="shared" si="92"/>
        <v>74041.124337196758</v>
      </c>
      <c r="AM150" s="23"/>
    </row>
    <row r="151" spans="1:39" x14ac:dyDescent="0.3">
      <c r="A151" s="13">
        <f t="shared" si="67"/>
        <v>146</v>
      </c>
      <c r="B151" s="1">
        <v>45446</v>
      </c>
      <c r="C151" s="7">
        <v>2023</v>
      </c>
      <c r="D151" s="7">
        <v>11</v>
      </c>
      <c r="E151" s="77">
        <v>17.670999999999999</v>
      </c>
      <c r="F151" s="2">
        <v>51.472736358642578</v>
      </c>
      <c r="G151" s="2">
        <v>33.879619598388672</v>
      </c>
      <c r="H151" s="2">
        <v>12.5918436050415</v>
      </c>
      <c r="I151" s="2">
        <v>268.45999145507813</v>
      </c>
      <c r="J151" s="2">
        <v>13.439999580383301</v>
      </c>
      <c r="K151" s="2">
        <v>346.10467529296881</v>
      </c>
      <c r="L151" s="2">
        <v>182.1499938964844</v>
      </c>
      <c r="M151" s="2">
        <v>176.75</v>
      </c>
      <c r="N151" s="12">
        <f t="shared" si="68"/>
        <v>1.8049291837707315E-4</v>
      </c>
      <c r="O151" s="12">
        <f t="shared" si="69"/>
        <v>8.4820080664123054E-3</v>
      </c>
      <c r="P151" s="12">
        <f t="shared" si="70"/>
        <v>1.5722786198779648E-3</v>
      </c>
      <c r="Q151" s="12">
        <f t="shared" si="71"/>
        <v>3.2339950228356562E-2</v>
      </c>
      <c r="R151" s="12">
        <f t="shared" si="72"/>
        <v>2.5954136565866648E-2</v>
      </c>
      <c r="S151" s="12">
        <f t="shared" si="73"/>
        <v>-2.5280892840920499E-2</v>
      </c>
      <c r="T151" s="12">
        <f t="shared" si="74"/>
        <v>4.7953287785256427E-2</v>
      </c>
      <c r="U151" s="12">
        <f t="shared" si="75"/>
        <v>2.5452488614413182E-2</v>
      </c>
      <c r="V151" s="19">
        <f t="shared" si="76"/>
        <v>47.469301647671337</v>
      </c>
      <c r="W151" s="19">
        <f t="shared" si="77"/>
        <v>32.640964528857481</v>
      </c>
      <c r="X151" s="19">
        <f t="shared" si="78"/>
        <v>11.639366302416484</v>
      </c>
      <c r="Y151" s="19">
        <f t="shared" si="79"/>
        <v>273.98301648970283</v>
      </c>
      <c r="Z151" s="19">
        <f t="shared" si="80"/>
        <v>15.963846795472373</v>
      </c>
      <c r="AA151" s="19">
        <f t="shared" si="81"/>
        <v>474.88985377129325</v>
      </c>
      <c r="AB151" s="19">
        <f t="shared" si="82"/>
        <v>4786.667036567821</v>
      </c>
      <c r="AC151" s="19">
        <f t="shared" si="83"/>
        <v>8621.8277072980509</v>
      </c>
      <c r="AD151" s="21">
        <f t="shared" si="84"/>
        <v>171.32653252829755</v>
      </c>
      <c r="AE151" s="21">
        <f t="shared" si="85"/>
        <v>7824.1716591079221</v>
      </c>
      <c r="AF151" s="21">
        <f t="shared" si="86"/>
        <v>1622.5179683041433</v>
      </c>
      <c r="AG151" s="21">
        <f t="shared" si="87"/>
        <v>32615.485854230144</v>
      </c>
      <c r="AH151" s="21">
        <f t="shared" si="88"/>
        <v>18051.933000748602</v>
      </c>
      <c r="AI151" s="21">
        <f t="shared" si="89"/>
        <v>-43109.587117856448</v>
      </c>
      <c r="AJ151" s="21">
        <f t="shared" si="90"/>
        <v>65709.91988254727</v>
      </c>
      <c r="AK151" s="21">
        <f t="shared" si="91"/>
        <v>42800.027108413633</v>
      </c>
      <c r="AL151" s="23">
        <f t="shared" si="92"/>
        <v>125685.79488802355</v>
      </c>
      <c r="AM151" s="23"/>
    </row>
    <row r="152" spans="1:39" x14ac:dyDescent="0.3">
      <c r="A152" s="13">
        <f t="shared" si="67"/>
        <v>147</v>
      </c>
      <c r="B152" s="1">
        <v>45443</v>
      </c>
      <c r="C152" s="7">
        <v>2023</v>
      </c>
      <c r="D152" s="7">
        <v>11</v>
      </c>
      <c r="E152" s="77">
        <v>16.992999999999999</v>
      </c>
      <c r="F152" s="2">
        <v>51.463447570800781</v>
      </c>
      <c r="G152" s="2">
        <v>33.594669342041023</v>
      </c>
      <c r="H152" s="2">
        <v>12.57207679748535</v>
      </c>
      <c r="I152" s="2">
        <v>260.04998779296881</v>
      </c>
      <c r="J152" s="2">
        <v>13.10000038146973</v>
      </c>
      <c r="K152" s="2">
        <v>355.08145141601563</v>
      </c>
      <c r="L152" s="2">
        <v>180.75</v>
      </c>
      <c r="M152" s="2">
        <v>179.24000549316409</v>
      </c>
      <c r="N152" s="12">
        <f t="shared" si="68"/>
        <v>-8.4151609755739321E-3</v>
      </c>
      <c r="O152" s="12">
        <f t="shared" si="69"/>
        <v>-2.9795642859023364E-2</v>
      </c>
      <c r="P152" s="12">
        <f t="shared" si="70"/>
        <v>-3.1346999961892053E-3</v>
      </c>
      <c r="Q152" s="12">
        <f t="shared" si="71"/>
        <v>-5.8574458059736823E-2</v>
      </c>
      <c r="R152" s="12">
        <f t="shared" si="72"/>
        <v>-2.2388003403051138E-2</v>
      </c>
      <c r="S152" s="12">
        <f t="shared" si="73"/>
        <v>0</v>
      </c>
      <c r="T152" s="12">
        <f t="shared" si="74"/>
        <v>-3.053317958495394E-3</v>
      </c>
      <c r="U152" s="12">
        <f t="shared" si="75"/>
        <v>3.0213604036699593E-2</v>
      </c>
      <c r="V152" s="19">
        <f t="shared" si="76"/>
        <v>47.061345593299222</v>
      </c>
      <c r="W152" s="19">
        <f t="shared" si="77"/>
        <v>31.402053535789122</v>
      </c>
      <c r="X152" s="19">
        <f t="shared" si="78"/>
        <v>11.584666058150997</v>
      </c>
      <c r="Y152" s="19">
        <f t="shared" si="79"/>
        <v>249.85433308494035</v>
      </c>
      <c r="Z152" s="19">
        <f t="shared" si="80"/>
        <v>15.211643077270843</v>
      </c>
      <c r="AA152" s="19">
        <f t="shared" si="81"/>
        <v>487.20687866210938</v>
      </c>
      <c r="AB152" s="19">
        <f t="shared" si="82"/>
        <v>4553.6875314633353</v>
      </c>
      <c r="AC152" s="19">
        <f t="shared" si="83"/>
        <v>8661.8583448178633</v>
      </c>
      <c r="AD152" s="21">
        <f t="shared" si="84"/>
        <v>-7987.7945549139895</v>
      </c>
      <c r="AE152" s="21">
        <f t="shared" si="85"/>
        <v>-27484.791643340304</v>
      </c>
      <c r="AF152" s="21">
        <f t="shared" si="86"/>
        <v>-3234.8637224710556</v>
      </c>
      <c r="AG152" s="21">
        <f t="shared" si="87"/>
        <v>-59073.511083867292</v>
      </c>
      <c r="AH152" s="21">
        <f t="shared" si="88"/>
        <v>-15571.573202859789</v>
      </c>
      <c r="AI152" s="21">
        <f t="shared" si="89"/>
        <v>0</v>
      </c>
      <c r="AJ152" s="21">
        <f t="shared" si="90"/>
        <v>-4183.9316487984433</v>
      </c>
      <c r="AK152" s="21">
        <f t="shared" si="91"/>
        <v>50806.154612376122</v>
      </c>
      <c r="AL152" s="23">
        <f t="shared" si="92"/>
        <v>-66730.311243874748</v>
      </c>
      <c r="AM152" s="23"/>
    </row>
    <row r="153" spans="1:39" x14ac:dyDescent="0.3">
      <c r="A153" s="13">
        <f t="shared" si="67"/>
        <v>148</v>
      </c>
      <c r="B153" s="1">
        <v>45442</v>
      </c>
      <c r="C153" s="7">
        <v>2023</v>
      </c>
      <c r="D153" s="7">
        <v>11</v>
      </c>
      <c r="E153" s="77">
        <v>17.0168</v>
      </c>
      <c r="F153" s="2">
        <v>51.900196075439453</v>
      </c>
      <c r="G153" s="2">
        <v>34.626384735107422</v>
      </c>
      <c r="H153" s="2">
        <v>12.61161041259766</v>
      </c>
      <c r="I153" s="2">
        <v>276.23001098632813</v>
      </c>
      <c r="J153" s="2">
        <v>13.39999961853027</v>
      </c>
      <c r="K153" s="2">
        <v>355.08145141601563</v>
      </c>
      <c r="L153" s="2">
        <v>181.05000305175781</v>
      </c>
      <c r="M153" s="2">
        <v>173.74000549316409</v>
      </c>
      <c r="N153" s="12">
        <f t="shared" si="68"/>
        <v>-8.8731597753005653E-3</v>
      </c>
      <c r="O153" s="12">
        <f t="shared" si="69"/>
        <v>-5.0818422785295914E-3</v>
      </c>
      <c r="P153" s="12">
        <f t="shared" si="70"/>
        <v>5.5160988484672657E-3</v>
      </c>
      <c r="Q153" s="12">
        <f t="shared" si="71"/>
        <v>1.5514139440453878E-2</v>
      </c>
      <c r="R153" s="12">
        <f t="shared" si="72"/>
        <v>-4.4222597645499406E-2</v>
      </c>
      <c r="S153" s="12">
        <f t="shared" si="73"/>
        <v>0</v>
      </c>
      <c r="T153" s="12">
        <f t="shared" si="74"/>
        <v>-7.3446930867144822E-3</v>
      </c>
      <c r="U153" s="12">
        <f t="shared" si="75"/>
        <v>-3.1451344776762702E-2</v>
      </c>
      <c r="V153" s="19">
        <f t="shared" si="76"/>
        <v>47.039608633488037</v>
      </c>
      <c r="W153" s="19">
        <f t="shared" si="77"/>
        <v>32.201951086433411</v>
      </c>
      <c r="X153" s="19">
        <f t="shared" si="78"/>
        <v>11.685197810787187</v>
      </c>
      <c r="Y153" s="19">
        <f t="shared" si="79"/>
        <v>269.51744640929002</v>
      </c>
      <c r="Z153" s="19">
        <f t="shared" si="80"/>
        <v>14.871896781696188</v>
      </c>
      <c r="AA153" s="19">
        <f t="shared" si="81"/>
        <v>487.20687866210938</v>
      </c>
      <c r="AB153" s="19">
        <f t="shared" si="82"/>
        <v>4534.0861006484129</v>
      </c>
      <c r="AC153" s="19">
        <f t="shared" si="83"/>
        <v>8143.3900879731136</v>
      </c>
      <c r="AD153" s="21">
        <f t="shared" si="84"/>
        <v>-8422.5337511377056</v>
      </c>
      <c r="AE153" s="21">
        <f t="shared" si="85"/>
        <v>-4687.711449978071</v>
      </c>
      <c r="AF153" s="21">
        <f t="shared" si="86"/>
        <v>5692.3559116226133</v>
      </c>
      <c r="AG153" s="21">
        <f t="shared" si="87"/>
        <v>15646.319548661439</v>
      </c>
      <c r="AH153" s="21">
        <f t="shared" si="88"/>
        <v>-30758.23261504684</v>
      </c>
      <c r="AI153" s="21">
        <f t="shared" si="89"/>
        <v>0</v>
      </c>
      <c r="AJ153" s="21">
        <f t="shared" si="90"/>
        <v>-10064.36089327517</v>
      </c>
      <c r="AK153" s="21">
        <f t="shared" si="91"/>
        <v>-52887.496756573819</v>
      </c>
      <c r="AL153" s="23">
        <f t="shared" si="92"/>
        <v>-85481.66000572755</v>
      </c>
      <c r="AM153" s="23"/>
    </row>
    <row r="154" spans="1:39" x14ac:dyDescent="0.3">
      <c r="A154" s="13">
        <f t="shared" si="67"/>
        <v>149</v>
      </c>
      <c r="B154" s="1">
        <v>45441</v>
      </c>
      <c r="C154" s="7">
        <v>2023</v>
      </c>
      <c r="D154" s="7">
        <v>11</v>
      </c>
      <c r="E154" s="77">
        <v>16.948</v>
      </c>
      <c r="F154" s="2">
        <v>52.364837646484382</v>
      </c>
      <c r="G154" s="2">
        <v>34.803249359130859</v>
      </c>
      <c r="H154" s="2">
        <v>12.54242515563965</v>
      </c>
      <c r="I154" s="2">
        <v>272.010009765625</v>
      </c>
      <c r="J154" s="2">
        <v>14.02000045776367</v>
      </c>
      <c r="K154" s="2">
        <v>355.08145141601563</v>
      </c>
      <c r="L154" s="2">
        <v>183.1300048828125</v>
      </c>
      <c r="M154" s="2">
        <v>180.11000061035159</v>
      </c>
      <c r="N154" s="12">
        <f t="shared" si="68"/>
        <v>-5.1201012569127569E-3</v>
      </c>
      <c r="O154" s="12">
        <f t="shared" si="69"/>
        <v>5.9641395236627037E-3</v>
      </c>
      <c r="P154" s="12">
        <f t="shared" si="70"/>
        <v>-1.3219290612881407E-2</v>
      </c>
      <c r="Q154" s="12">
        <f t="shared" si="71"/>
        <v>3.6702510494706297E-2</v>
      </c>
      <c r="R154" s="12">
        <f t="shared" si="72"/>
        <v>2.5603539101413553E-2</v>
      </c>
      <c r="S154" s="12">
        <f t="shared" si="73"/>
        <v>0</v>
      </c>
      <c r="T154" s="12">
        <f t="shared" si="74"/>
        <v>9.9077046418860615E-3</v>
      </c>
      <c r="U154" s="12">
        <f t="shared" si="75"/>
        <v>-2.5110795806469577E-2</v>
      </c>
      <c r="V154" s="19">
        <f t="shared" si="76"/>
        <v>47.217731550473637</v>
      </c>
      <c r="W154" s="19">
        <f t="shared" si="77"/>
        <v>32.559470107405389</v>
      </c>
      <c r="X154" s="19">
        <f t="shared" si="78"/>
        <v>11.467472075546633</v>
      </c>
      <c r="Y154" s="19">
        <f t="shared" si="79"/>
        <v>275.14083995776508</v>
      </c>
      <c r="Z154" s="19">
        <f t="shared" si="80"/>
        <v>15.958391498778367</v>
      </c>
      <c r="AA154" s="19">
        <f t="shared" si="81"/>
        <v>487.20687866210938</v>
      </c>
      <c r="AB154" s="19">
        <f t="shared" si="82"/>
        <v>4612.8887385825683</v>
      </c>
      <c r="AC154" s="19">
        <f t="shared" si="83"/>
        <v>8196.7003304256141</v>
      </c>
      <c r="AD154" s="21">
        <f t="shared" si="84"/>
        <v>-4860.075411425697</v>
      </c>
      <c r="AE154" s="21">
        <f t="shared" si="85"/>
        <v>5501.5806477232982</v>
      </c>
      <c r="AF154" s="21">
        <f t="shared" si="86"/>
        <v>-13641.689377738616</v>
      </c>
      <c r="AG154" s="21">
        <f t="shared" si="87"/>
        <v>37015.215032866683</v>
      </c>
      <c r="AH154" s="21">
        <f t="shared" si="88"/>
        <v>17808.081238526542</v>
      </c>
      <c r="AI154" s="21">
        <f t="shared" si="89"/>
        <v>0</v>
      </c>
      <c r="AJ154" s="21">
        <f t="shared" si="90"/>
        <v>13576.430486971458</v>
      </c>
      <c r="AK154" s="21">
        <f t="shared" si="91"/>
        <v>-42225.448266073727</v>
      </c>
      <c r="AL154" s="23">
        <f t="shared" si="92"/>
        <v>13174.094350849933</v>
      </c>
      <c r="AM154" s="23"/>
    </row>
    <row r="155" spans="1:39" x14ac:dyDescent="0.3">
      <c r="A155" s="13">
        <f t="shared" si="67"/>
        <v>150</v>
      </c>
      <c r="B155" s="1">
        <v>45440</v>
      </c>
      <c r="C155" s="7">
        <v>2023</v>
      </c>
      <c r="D155" s="7">
        <v>11</v>
      </c>
      <c r="E155" s="77">
        <v>16.779900000000001</v>
      </c>
      <c r="F155" s="2">
        <v>52.634330749511719</v>
      </c>
      <c r="G155" s="2">
        <v>34.596908569335938</v>
      </c>
      <c r="H155" s="2">
        <v>12.71044826507568</v>
      </c>
      <c r="I155" s="2">
        <v>262.3800048828125</v>
      </c>
      <c r="J155" s="2">
        <v>13.670000076293951</v>
      </c>
      <c r="K155" s="2">
        <v>355.08145141601563</v>
      </c>
      <c r="L155" s="2">
        <v>183.1499938964844</v>
      </c>
      <c r="M155" s="2">
        <v>186.6000061035156</v>
      </c>
      <c r="N155" s="12">
        <f t="shared" si="68"/>
        <v>-9.6169506282589579E-3</v>
      </c>
      <c r="O155" s="12">
        <f t="shared" si="69"/>
        <v>-2.6541305413706584E-2</v>
      </c>
      <c r="P155" s="12">
        <f t="shared" si="70"/>
        <v>-1.3046820895885269E-2</v>
      </c>
      <c r="Q155" s="12">
        <f t="shared" si="71"/>
        <v>-2.2356359977785512E-2</v>
      </c>
      <c r="R155" s="12">
        <f t="shared" si="72"/>
        <v>-3.1869675135433706E-2</v>
      </c>
      <c r="S155" s="12">
        <f t="shared" si="73"/>
        <v>0</v>
      </c>
      <c r="T155" s="12">
        <f t="shared" si="74"/>
        <v>5.9624406145297737E-3</v>
      </c>
      <c r="U155" s="12">
        <f t="shared" si="75"/>
        <v>7.5234728966307785E-2</v>
      </c>
      <c r="V155" s="19">
        <f t="shared" si="76"/>
        <v>47.004307772681564</v>
      </c>
      <c r="W155" s="19">
        <f t="shared" si="77"/>
        <v>31.507384828036155</v>
      </c>
      <c r="X155" s="19">
        <f t="shared" si="78"/>
        <v>11.469476362461361</v>
      </c>
      <c r="Y155" s="19">
        <f t="shared" si="79"/>
        <v>259.46661609483249</v>
      </c>
      <c r="Z155" s="19">
        <f t="shared" si="80"/>
        <v>15.064108261136303</v>
      </c>
      <c r="AA155" s="19">
        <f t="shared" si="81"/>
        <v>487.20687866210938</v>
      </c>
      <c r="AB155" s="19">
        <f t="shared" si="82"/>
        <v>4594.8682165894425</v>
      </c>
      <c r="AC155" s="19">
        <f t="shared" si="83"/>
        <v>9040.3882003124945</v>
      </c>
      <c r="AD155" s="21">
        <f t="shared" si="84"/>
        <v>-9128.5509672671596</v>
      </c>
      <c r="AE155" s="21">
        <f t="shared" si="85"/>
        <v>-24482.849814299854</v>
      </c>
      <c r="AF155" s="21">
        <f t="shared" si="86"/>
        <v>-13463.708699710782</v>
      </c>
      <c r="AG155" s="21">
        <f t="shared" si="87"/>
        <v>-22546.83564627717</v>
      </c>
      <c r="AH155" s="21">
        <f t="shared" si="88"/>
        <v>-22166.379484073717</v>
      </c>
      <c r="AI155" s="21">
        <f t="shared" si="89"/>
        <v>0</v>
      </c>
      <c r="AJ155" s="21">
        <f t="shared" si="90"/>
        <v>8170.2738890337059</v>
      </c>
      <c r="AK155" s="21">
        <f t="shared" si="91"/>
        <v>126512.12571130236</v>
      </c>
      <c r="AL155" s="23">
        <f t="shared" si="92"/>
        <v>42894.074988707376</v>
      </c>
      <c r="AM155" s="23"/>
    </row>
    <row r="156" spans="1:39" x14ac:dyDescent="0.3">
      <c r="A156" s="13">
        <f t="shared" si="67"/>
        <v>151</v>
      </c>
      <c r="B156" s="1">
        <v>45439</v>
      </c>
      <c r="C156" s="7">
        <v>2023</v>
      </c>
      <c r="D156" s="7">
        <v>11</v>
      </c>
      <c r="E156" s="77">
        <v>16.645</v>
      </c>
      <c r="F156" s="2">
        <v>53.145427703857422</v>
      </c>
      <c r="G156" s="2">
        <v>35.540191650390618</v>
      </c>
      <c r="H156" s="2">
        <v>12.878471374511721</v>
      </c>
      <c r="I156" s="2">
        <v>268.3800048828125</v>
      </c>
      <c r="J156" s="2">
        <v>14.11999988555908</v>
      </c>
      <c r="K156" s="2">
        <v>355.08145141601563</v>
      </c>
      <c r="L156" s="2">
        <v>183.53999328613281</v>
      </c>
      <c r="M156" s="2">
        <v>174.94999694824219</v>
      </c>
      <c r="N156" s="12">
        <f t="shared" si="68"/>
        <v>-3.3115506003558171E-3</v>
      </c>
      <c r="O156" s="12">
        <f t="shared" si="69"/>
        <v>-5.2255128028269038E-3</v>
      </c>
      <c r="P156" s="12">
        <f t="shared" si="70"/>
        <v>1.0861097526806418E-2</v>
      </c>
      <c r="Q156" s="12">
        <f t="shared" si="71"/>
        <v>-1.6959103026249034E-2</v>
      </c>
      <c r="R156" s="12">
        <f t="shared" si="72"/>
        <v>-3.2876745436244303E-2</v>
      </c>
      <c r="S156" s="12">
        <f t="shared" si="73"/>
        <v>-1.111104311883282E-2</v>
      </c>
      <c r="T156" s="12">
        <f t="shared" si="74"/>
        <v>-8.4845043615109361E-3</v>
      </c>
      <c r="U156" s="12">
        <f t="shared" si="75"/>
        <v>-1.6330675418486429E-2</v>
      </c>
      <c r="V156" s="19">
        <f t="shared" si="76"/>
        <v>47.303566694499189</v>
      </c>
      <c r="W156" s="19">
        <f t="shared" si="77"/>
        <v>32.197300984151049</v>
      </c>
      <c r="X156" s="19">
        <f t="shared" si="78"/>
        <v>11.747312546619181</v>
      </c>
      <c r="Y156" s="19">
        <f t="shared" si="79"/>
        <v>260.89904805682801</v>
      </c>
      <c r="Z156" s="19">
        <f t="shared" si="80"/>
        <v>15.048438246833106</v>
      </c>
      <c r="AA156" s="19">
        <f t="shared" si="81"/>
        <v>481.79350202550273</v>
      </c>
      <c r="AB156" s="19">
        <f t="shared" si="82"/>
        <v>4528.8798599499296</v>
      </c>
      <c r="AC156" s="19">
        <f t="shared" si="83"/>
        <v>8270.5220687070341</v>
      </c>
      <c r="AD156" s="21">
        <f t="shared" si="84"/>
        <v>-3143.3725309146612</v>
      </c>
      <c r="AE156" s="21">
        <f t="shared" si="85"/>
        <v>-4820.2393650253871</v>
      </c>
      <c r="AF156" s="21">
        <f t="shared" si="86"/>
        <v>11208.144453503661</v>
      </c>
      <c r="AG156" s="21">
        <f t="shared" si="87"/>
        <v>-17103.594190694195</v>
      </c>
      <c r="AH156" s="21">
        <f t="shared" si="88"/>
        <v>-22866.829123426618</v>
      </c>
      <c r="AI156" s="21">
        <f t="shared" si="89"/>
        <v>-18946.818228123248</v>
      </c>
      <c r="AJ156" s="21">
        <f t="shared" si="90"/>
        <v>-11626.233102820152</v>
      </c>
      <c r="AK156" s="21">
        <f t="shared" si="91"/>
        <v>-27461.100609789719</v>
      </c>
      <c r="AL156" s="23">
        <f t="shared" si="92"/>
        <v>-94760.042697290308</v>
      </c>
      <c r="AM156" s="23"/>
    </row>
    <row r="157" spans="1:39" x14ac:dyDescent="0.3">
      <c r="A157" s="13">
        <f t="shared" si="67"/>
        <v>152</v>
      </c>
      <c r="B157" s="1">
        <v>45436</v>
      </c>
      <c r="C157" s="7">
        <v>2023</v>
      </c>
      <c r="D157" s="7">
        <v>11</v>
      </c>
      <c r="E157" s="77">
        <v>16.681999999999999</v>
      </c>
      <c r="F157" s="2">
        <v>53.322006225585938</v>
      </c>
      <c r="G157" s="2">
        <v>35.726882934570313</v>
      </c>
      <c r="H157" s="2">
        <v>12.74009990692139</v>
      </c>
      <c r="I157" s="2">
        <v>273.010009765625</v>
      </c>
      <c r="J157" s="2">
        <v>14.60000038146973</v>
      </c>
      <c r="K157" s="2">
        <v>359.07110595703119</v>
      </c>
      <c r="L157" s="2">
        <v>184.69999694824219</v>
      </c>
      <c r="M157" s="2">
        <v>177.46000671386719</v>
      </c>
      <c r="N157" s="12">
        <f t="shared" si="68"/>
        <v>1.7459908965955506E-3</v>
      </c>
      <c r="O157" s="12">
        <f t="shared" si="69"/>
        <v>-1.4099855466533806E-2</v>
      </c>
      <c r="P157" s="12">
        <f t="shared" si="70"/>
        <v>-1.4526025466741976E-2</v>
      </c>
      <c r="Q157" s="12">
        <f t="shared" si="71"/>
        <v>9.1996383201233156E-2</v>
      </c>
      <c r="R157" s="12">
        <f t="shared" si="72"/>
        <v>2.1693521374684721E-2</v>
      </c>
      <c r="S157" s="12">
        <f t="shared" si="73"/>
        <v>4.2120253918105366E-3</v>
      </c>
      <c r="T157" s="12">
        <f t="shared" si="74"/>
        <v>3.8230961775376215E-3</v>
      </c>
      <c r="U157" s="12">
        <f t="shared" si="75"/>
        <v>1.2963148825996917E-2</v>
      </c>
      <c r="V157" s="19">
        <f t="shared" si="76"/>
        <v>47.543601332861201</v>
      </c>
      <c r="W157" s="19">
        <f t="shared" si="77"/>
        <v>31.910070174095871</v>
      </c>
      <c r="X157" s="19">
        <f t="shared" si="78"/>
        <v>11.452286386057326</v>
      </c>
      <c r="Y157" s="19">
        <f t="shared" si="79"/>
        <v>289.81583343659031</v>
      </c>
      <c r="Z157" s="19">
        <f t="shared" si="80"/>
        <v>15.897551621309757</v>
      </c>
      <c r="AA157" s="19">
        <f t="shared" si="81"/>
        <v>489.25900640609893</v>
      </c>
      <c r="AB157" s="19">
        <f t="shared" si="82"/>
        <v>4585.0964742648803</v>
      </c>
      <c r="AC157" s="19">
        <f t="shared" si="83"/>
        <v>8516.8194918719764</v>
      </c>
      <c r="AD157" s="21">
        <f t="shared" si="84"/>
        <v>1657.3202363255746</v>
      </c>
      <c r="AE157" s="21">
        <f t="shared" si="85"/>
        <v>-13006.317451597952</v>
      </c>
      <c r="AF157" s="21">
        <f t="shared" si="86"/>
        <v>-14990.178604389097</v>
      </c>
      <c r="AG157" s="21">
        <f t="shared" si="87"/>
        <v>92780.19025240255</v>
      </c>
      <c r="AH157" s="21">
        <f t="shared" si="88"/>
        <v>15088.538715679701</v>
      </c>
      <c r="AI157" s="21">
        <f t="shared" si="89"/>
        <v>7182.4471039634545</v>
      </c>
      <c r="AJ157" s="21">
        <f t="shared" si="90"/>
        <v>5238.751191665051</v>
      </c>
      <c r="AK157" s="21">
        <f t="shared" si="91"/>
        <v>21798.384023198741</v>
      </c>
      <c r="AL157" s="23">
        <f t="shared" si="92"/>
        <v>115749.13546724801</v>
      </c>
      <c r="AM157" s="23"/>
    </row>
    <row r="158" spans="1:39" x14ac:dyDescent="0.3">
      <c r="A158" s="13">
        <f t="shared" si="67"/>
        <v>153</v>
      </c>
      <c r="B158" s="1">
        <v>45435</v>
      </c>
      <c r="C158" s="7">
        <v>2023</v>
      </c>
      <c r="D158" s="7">
        <v>11</v>
      </c>
      <c r="E158" s="77">
        <v>16.715299999999999</v>
      </c>
      <c r="F158" s="2">
        <v>53.229068756103523</v>
      </c>
      <c r="G158" s="2">
        <v>36.237831115722663</v>
      </c>
      <c r="H158" s="2">
        <v>12.927890777587891</v>
      </c>
      <c r="I158" s="2">
        <v>250.00999450683591</v>
      </c>
      <c r="J158" s="2">
        <v>14.289999961853029</v>
      </c>
      <c r="K158" s="2">
        <v>357.56503295898438</v>
      </c>
      <c r="L158" s="2">
        <v>183.6300048828125</v>
      </c>
      <c r="M158" s="2">
        <v>174.8399963378906</v>
      </c>
      <c r="N158" s="12">
        <f t="shared" si="68"/>
        <v>4.2075632361526782E-3</v>
      </c>
      <c r="O158" s="12">
        <f t="shared" si="69"/>
        <v>-6.4654063422854291E-3</v>
      </c>
      <c r="P158" s="12">
        <f t="shared" si="70"/>
        <v>-6.8336128501491622E-3</v>
      </c>
      <c r="Q158" s="12">
        <f t="shared" si="71"/>
        <v>-1.6250904590899728E-2</v>
      </c>
      <c r="R158" s="12">
        <f t="shared" si="72"/>
        <v>-1.7869431304021077E-2</v>
      </c>
      <c r="S158" s="12">
        <f t="shared" si="73"/>
        <v>0</v>
      </c>
      <c r="T158" s="12">
        <f t="shared" si="74"/>
        <v>-9.4116478906592915E-3</v>
      </c>
      <c r="U158" s="12">
        <f t="shared" si="75"/>
        <v>8.2208290586618382E-3</v>
      </c>
      <c r="V158" s="19">
        <f t="shared" si="76"/>
        <v>47.660429366142523</v>
      </c>
      <c r="W158" s="19">
        <f t="shared" si="77"/>
        <v>32.157170053983414</v>
      </c>
      <c r="X158" s="19">
        <f t="shared" si="78"/>
        <v>11.541680641574491</v>
      </c>
      <c r="Y158" s="19">
        <f t="shared" si="79"/>
        <v>261.08700391724722</v>
      </c>
      <c r="Z158" s="19">
        <f t="shared" si="80"/>
        <v>15.28195206102782</v>
      </c>
      <c r="AA158" s="19">
        <f t="shared" si="81"/>
        <v>487.20687866210938</v>
      </c>
      <c r="AB158" s="19">
        <f t="shared" si="82"/>
        <v>4524.6450076708552</v>
      </c>
      <c r="AC158" s="19">
        <f t="shared" si="83"/>
        <v>8476.9468849780933</v>
      </c>
      <c r="AD158" s="21">
        <f t="shared" si="84"/>
        <v>3993.8809019520249</v>
      </c>
      <c r="AE158" s="21">
        <f t="shared" si="85"/>
        <v>-5963.9708748029816</v>
      </c>
      <c r="AF158" s="21">
        <f t="shared" si="86"/>
        <v>-7051.9687144648287</v>
      </c>
      <c r="AG158" s="21">
        <f t="shared" si="87"/>
        <v>-16389.361921101205</v>
      </c>
      <c r="AH158" s="21">
        <f t="shared" si="88"/>
        <v>-12428.761628922915</v>
      </c>
      <c r="AI158" s="21">
        <f t="shared" si="89"/>
        <v>0</v>
      </c>
      <c r="AJ158" s="21">
        <f t="shared" si="90"/>
        <v>-12896.688786542472</v>
      </c>
      <c r="AK158" s="21">
        <f t="shared" si="91"/>
        <v>13823.862644422115</v>
      </c>
      <c r="AL158" s="23">
        <f t="shared" si="92"/>
        <v>-36913.008379460261</v>
      </c>
      <c r="AM158" s="23"/>
    </row>
    <row r="159" spans="1:39" x14ac:dyDescent="0.3">
      <c r="A159" s="13">
        <f t="shared" si="67"/>
        <v>154</v>
      </c>
      <c r="B159" s="1">
        <v>45434</v>
      </c>
      <c r="C159" s="7">
        <v>2023</v>
      </c>
      <c r="D159" s="7">
        <v>11</v>
      </c>
      <c r="E159" s="77">
        <v>16.66</v>
      </c>
      <c r="F159" s="2">
        <v>53.00604248046875</v>
      </c>
      <c r="G159" s="2">
        <v>36.473648071289063</v>
      </c>
      <c r="H159" s="2">
        <v>13.016842842102051</v>
      </c>
      <c r="I159" s="2">
        <v>254.13999938964841</v>
      </c>
      <c r="J159" s="2">
        <v>14.55000019073486</v>
      </c>
      <c r="K159" s="2">
        <v>357.56503295898438</v>
      </c>
      <c r="L159" s="2">
        <v>185.99000549316409</v>
      </c>
      <c r="M159" s="2">
        <v>173.99000549316409</v>
      </c>
      <c r="N159" s="12">
        <f t="shared" si="68"/>
        <v>0</v>
      </c>
      <c r="O159" s="12">
        <f t="shared" si="69"/>
        <v>-7.486709618993781E-3</v>
      </c>
      <c r="P159" s="12">
        <f t="shared" si="70"/>
        <v>-8.2831322565598553E-3</v>
      </c>
      <c r="Q159" s="12">
        <f t="shared" si="71"/>
        <v>1.6478661894180791E-2</v>
      </c>
      <c r="R159" s="12">
        <f t="shared" si="72"/>
        <v>-1.0204055814731272E-2</v>
      </c>
      <c r="S159" s="12">
        <f t="shared" si="73"/>
        <v>0</v>
      </c>
      <c r="T159" s="12">
        <f t="shared" si="74"/>
        <v>-3.3804053608866846E-3</v>
      </c>
      <c r="U159" s="12">
        <f t="shared" si="75"/>
        <v>-1.7692193723416683E-2</v>
      </c>
      <c r="V159" s="19">
        <f t="shared" si="76"/>
        <v>47.460735321044922</v>
      </c>
      <c r="W159" s="19">
        <f t="shared" si="77"/>
        <v>32.124114110732471</v>
      </c>
      <c r="X159" s="19">
        <f t="shared" si="78"/>
        <v>11.524835639277779</v>
      </c>
      <c r="Y159" s="19">
        <f t="shared" si="79"/>
        <v>269.77343066262216</v>
      </c>
      <c r="Z159" s="19">
        <f t="shared" si="80"/>
        <v>15.401225306857688</v>
      </c>
      <c r="AA159" s="19">
        <f t="shared" si="81"/>
        <v>487.20687866210938</v>
      </c>
      <c r="AB159" s="19">
        <f t="shared" si="82"/>
        <v>4552.1935159329178</v>
      </c>
      <c r="AC159" s="19">
        <f t="shared" si="83"/>
        <v>8259.0746575633912</v>
      </c>
      <c r="AD159" s="21">
        <f t="shared" si="84"/>
        <v>0</v>
      </c>
      <c r="AE159" s="21">
        <f t="shared" si="85"/>
        <v>-6906.0652574548631</v>
      </c>
      <c r="AF159" s="21">
        <f t="shared" si="86"/>
        <v>-8547.8049184128686</v>
      </c>
      <c r="AG159" s="21">
        <f t="shared" si="87"/>
        <v>16619.059711323585</v>
      </c>
      <c r="AH159" s="21">
        <f t="shared" si="88"/>
        <v>-7097.2475403278077</v>
      </c>
      <c r="AI159" s="21">
        <f t="shared" si="89"/>
        <v>0</v>
      </c>
      <c r="AJ159" s="21">
        <f t="shared" si="90"/>
        <v>-4632.1363079237017</v>
      </c>
      <c r="AK159" s="21">
        <f t="shared" si="91"/>
        <v>-29750.582838518312</v>
      </c>
      <c r="AL159" s="23">
        <f t="shared" si="92"/>
        <v>-40314.777151313967</v>
      </c>
      <c r="AM159" s="23"/>
    </row>
    <row r="160" spans="1:39" x14ac:dyDescent="0.3">
      <c r="A160" s="13">
        <f t="shared" si="67"/>
        <v>155</v>
      </c>
      <c r="B160" s="1">
        <v>45433</v>
      </c>
      <c r="C160" s="7">
        <v>2023</v>
      </c>
      <c r="D160" s="7">
        <v>11</v>
      </c>
      <c r="E160" s="77">
        <v>16.62</v>
      </c>
      <c r="F160" s="2">
        <v>53.00604248046875</v>
      </c>
      <c r="G160" s="2">
        <v>36.748775482177727</v>
      </c>
      <c r="H160" s="2">
        <v>13.125563621521</v>
      </c>
      <c r="I160" s="2">
        <v>250.02000427246091</v>
      </c>
      <c r="J160" s="2">
        <v>14.69999980926514</v>
      </c>
      <c r="K160" s="2">
        <v>357.56503295898438</v>
      </c>
      <c r="L160" s="2">
        <v>187.07000732421881</v>
      </c>
      <c r="M160" s="2">
        <v>177.55000305175781</v>
      </c>
      <c r="N160" s="12">
        <f t="shared" si="68"/>
        <v>-8.6895093299808046E-3</v>
      </c>
      <c r="O160" s="12">
        <f t="shared" si="69"/>
        <v>-1.7857141036588087E-2</v>
      </c>
      <c r="P160" s="12">
        <f t="shared" si="70"/>
        <v>-5.2435370269330317E-3</v>
      </c>
      <c r="Q160" s="12">
        <f t="shared" si="71"/>
        <v>-7.8177752202820416E-3</v>
      </c>
      <c r="R160" s="12">
        <f t="shared" si="72"/>
        <v>1.9417457107472558E-2</v>
      </c>
      <c r="S160" s="12">
        <f t="shared" si="73"/>
        <v>0</v>
      </c>
      <c r="T160" s="12">
        <f t="shared" si="74"/>
        <v>6.701921106551989E-3</v>
      </c>
      <c r="U160" s="12">
        <f t="shared" si="75"/>
        <v>3.7071350274580972E-2</v>
      </c>
      <c r="V160" s="19">
        <f t="shared" si="76"/>
        <v>47.048324818664952</v>
      </c>
      <c r="W160" s="19">
        <f t="shared" si="77"/>
        <v>31.788460245474464</v>
      </c>
      <c r="X160" s="19">
        <f t="shared" si="78"/>
        <v>11.560159063302109</v>
      </c>
      <c r="Y160" s="19">
        <f t="shared" si="79"/>
        <v>263.32515640073746</v>
      </c>
      <c r="Z160" s="19">
        <f t="shared" si="80"/>
        <v>15.862136060356862</v>
      </c>
      <c r="AA160" s="19">
        <f t="shared" si="81"/>
        <v>487.20687866210938</v>
      </c>
      <c r="AB160" s="19">
        <f t="shared" si="82"/>
        <v>4598.2458928051719</v>
      </c>
      <c r="AC160" s="19">
        <f t="shared" si="83"/>
        <v>8719.5170927168292</v>
      </c>
      <c r="AD160" s="21">
        <f t="shared" si="84"/>
        <v>-8248.2100475994012</v>
      </c>
      <c r="AE160" s="21">
        <f t="shared" si="85"/>
        <v>-16472.200417308042</v>
      </c>
      <c r="AF160" s="21">
        <f t="shared" si="86"/>
        <v>-5411.0848650523367</v>
      </c>
      <c r="AG160" s="21">
        <f t="shared" si="87"/>
        <v>-7884.3824838382943</v>
      </c>
      <c r="AH160" s="21">
        <f t="shared" si="88"/>
        <v>13505.463141085285</v>
      </c>
      <c r="AI160" s="21">
        <f t="shared" si="89"/>
        <v>0</v>
      </c>
      <c r="AJ160" s="21">
        <f t="shared" si="90"/>
        <v>9183.5767537525498</v>
      </c>
      <c r="AK160" s="21">
        <f t="shared" si="91"/>
        <v>62337.904192169299</v>
      </c>
      <c r="AL160" s="23">
        <f t="shared" si="92"/>
        <v>47011.066273209057</v>
      </c>
      <c r="AM160" s="23"/>
    </row>
    <row r="161" spans="1:39" x14ac:dyDescent="0.3">
      <c r="A161" s="13">
        <f t="shared" si="67"/>
        <v>156</v>
      </c>
      <c r="B161" s="1">
        <v>45432</v>
      </c>
      <c r="C161" s="7">
        <v>2023</v>
      </c>
      <c r="D161" s="7">
        <v>11</v>
      </c>
      <c r="E161" s="77">
        <v>16.553599999999999</v>
      </c>
      <c r="F161" s="2">
        <v>53.470676422119141</v>
      </c>
      <c r="G161" s="2">
        <v>37.416934967041023</v>
      </c>
      <c r="H161" s="2">
        <v>13.19475078582764</v>
      </c>
      <c r="I161" s="2">
        <v>251.99000549316409</v>
      </c>
      <c r="J161" s="2">
        <v>14.420000076293951</v>
      </c>
      <c r="K161" s="2">
        <v>357.56503295898438</v>
      </c>
      <c r="L161" s="2">
        <v>186.57000732421881</v>
      </c>
      <c r="M161" s="2">
        <v>171.88999938964841</v>
      </c>
      <c r="N161" s="12">
        <f t="shared" si="68"/>
        <v>1.7367623424835443E-4</v>
      </c>
      <c r="O161" s="12">
        <f t="shared" si="69"/>
        <v>1.2227586438913418E-2</v>
      </c>
      <c r="P161" s="12">
        <f t="shared" si="70"/>
        <v>2.2522915719374037E-3</v>
      </c>
      <c r="Q161" s="12">
        <f t="shared" si="71"/>
        <v>1.2317737857783229E-3</v>
      </c>
      <c r="R161" s="12">
        <f t="shared" si="72"/>
        <v>-4.1436096574014591E-3</v>
      </c>
      <c r="S161" s="12">
        <f t="shared" si="73"/>
        <v>0</v>
      </c>
      <c r="T161" s="12">
        <f t="shared" si="74"/>
        <v>-7.037232495150314E-3</v>
      </c>
      <c r="U161" s="12">
        <f t="shared" si="75"/>
        <v>1.8061705539281325E-2</v>
      </c>
      <c r="V161" s="19">
        <f t="shared" si="76"/>
        <v>47.468978122830137</v>
      </c>
      <c r="W161" s="19">
        <f t="shared" si="77"/>
        <v>32.762195537263153</v>
      </c>
      <c r="X161" s="19">
        <f t="shared" si="78"/>
        <v>11.647268797332092</v>
      </c>
      <c r="Y161" s="19">
        <f t="shared" si="79"/>
        <v>265.72690665171177</v>
      </c>
      <c r="Z161" s="19">
        <f t="shared" si="80"/>
        <v>15.495525851608805</v>
      </c>
      <c r="AA161" s="19">
        <f t="shared" si="81"/>
        <v>487.20687866210938</v>
      </c>
      <c r="AB161" s="19">
        <f t="shared" si="82"/>
        <v>4535.4904680909676</v>
      </c>
      <c r="AC161" s="19">
        <f t="shared" si="83"/>
        <v>8559.6872775820902</v>
      </c>
      <c r="AD161" s="21">
        <f t="shared" si="84"/>
        <v>164.85603570430385</v>
      </c>
      <c r="AE161" s="21">
        <f t="shared" si="85"/>
        <v>11279.255398669588</v>
      </c>
      <c r="AF161" s="21">
        <f t="shared" si="86"/>
        <v>2324.2595168101843</v>
      </c>
      <c r="AG161" s="21">
        <f t="shared" si="87"/>
        <v>1242.2684698641092</v>
      </c>
      <c r="AH161" s="21">
        <f t="shared" si="88"/>
        <v>-2882.0131899528506</v>
      </c>
      <c r="AI161" s="21">
        <f t="shared" si="89"/>
        <v>0</v>
      </c>
      <c r="AJ161" s="21">
        <f t="shared" si="90"/>
        <v>-9643.050660508743</v>
      </c>
      <c r="AK161" s="21">
        <f t="shared" si="91"/>
        <v>30371.941165221506</v>
      </c>
      <c r="AL161" s="23">
        <f t="shared" si="92"/>
        <v>32857.516735808094</v>
      </c>
      <c r="AM161" s="23"/>
    </row>
    <row r="162" spans="1:39" x14ac:dyDescent="0.3">
      <c r="A162" s="13">
        <f t="shared" si="67"/>
        <v>157</v>
      </c>
      <c r="B162" s="1">
        <v>45429</v>
      </c>
      <c r="C162" s="7">
        <v>2023</v>
      </c>
      <c r="D162" s="7">
        <v>11</v>
      </c>
      <c r="E162" s="77">
        <v>16.59</v>
      </c>
      <c r="F162" s="2">
        <v>53.461391448974609</v>
      </c>
      <c r="G162" s="2">
        <v>36.964942932128913</v>
      </c>
      <c r="H162" s="2">
        <v>13.16509914398193</v>
      </c>
      <c r="I162" s="2">
        <v>251.67999267578119</v>
      </c>
      <c r="J162" s="2">
        <v>14.47999954223633</v>
      </c>
      <c r="K162" s="2">
        <v>357.56503295898438</v>
      </c>
      <c r="L162" s="2">
        <v>187.47999572753909</v>
      </c>
      <c r="M162" s="2">
        <v>168.4700012207031</v>
      </c>
      <c r="N162" s="12">
        <f t="shared" si="68"/>
        <v>-1.9082884884945583E-3</v>
      </c>
      <c r="O162" s="12">
        <f t="shared" si="69"/>
        <v>-2.121979531125473E-3</v>
      </c>
      <c r="P162" s="12">
        <f t="shared" si="70"/>
        <v>8.3270242622581758E-3</v>
      </c>
      <c r="Q162" s="12">
        <f t="shared" si="71"/>
        <v>-5.2567165721937315E-3</v>
      </c>
      <c r="R162" s="12">
        <f t="shared" si="72"/>
        <v>1.6853916782003209E-2</v>
      </c>
      <c r="S162" s="12">
        <f t="shared" si="73"/>
        <v>0</v>
      </c>
      <c r="T162" s="12">
        <f t="shared" si="74"/>
        <v>-1.5407537240876956E-2</v>
      </c>
      <c r="U162" s="12">
        <f t="shared" si="75"/>
        <v>-2.5053755169010872E-2</v>
      </c>
      <c r="V162" s="19">
        <f t="shared" si="76"/>
        <v>47.370166546176286</v>
      </c>
      <c r="W162" s="19">
        <f t="shared" si="77"/>
        <v>32.297751283338798</v>
      </c>
      <c r="X162" s="19">
        <f t="shared" si="78"/>
        <v>11.717863841225816</v>
      </c>
      <c r="Y162" s="19">
        <f t="shared" si="79"/>
        <v>264.0048613503086</v>
      </c>
      <c r="Z162" s="19">
        <f t="shared" si="80"/>
        <v>15.822247371816854</v>
      </c>
      <c r="AA162" s="19">
        <f t="shared" si="81"/>
        <v>487.20687866210938</v>
      </c>
      <c r="AB162" s="19">
        <f t="shared" si="82"/>
        <v>4497.2579797926846</v>
      </c>
      <c r="AC162" s="19">
        <f t="shared" si="83"/>
        <v>8197.1799182699488</v>
      </c>
      <c r="AD162" s="21">
        <f t="shared" si="84"/>
        <v>-1811.3754973727225</v>
      </c>
      <c r="AE162" s="21">
        <f t="shared" si="85"/>
        <v>-1957.4058381745481</v>
      </c>
      <c r="AF162" s="21">
        <f t="shared" si="86"/>
        <v>8593.0994145728127</v>
      </c>
      <c r="AG162" s="21">
        <f t="shared" si="87"/>
        <v>-5301.5036754679386</v>
      </c>
      <c r="AH162" s="21">
        <f t="shared" si="88"/>
        <v>11722.438763346905</v>
      </c>
      <c r="AI162" s="21">
        <f t="shared" si="89"/>
        <v>0</v>
      </c>
      <c r="AJ162" s="21">
        <f t="shared" si="90"/>
        <v>-21112.797149993639</v>
      </c>
      <c r="AK162" s="21">
        <f t="shared" si="91"/>
        <v>-42129.530697206792</v>
      </c>
      <c r="AL162" s="23">
        <f t="shared" si="92"/>
        <v>-51997.074680295918</v>
      </c>
      <c r="AM162" s="23"/>
    </row>
    <row r="163" spans="1:39" x14ac:dyDescent="0.3">
      <c r="A163" s="13">
        <f t="shared" si="67"/>
        <v>158</v>
      </c>
      <c r="B163" s="1">
        <v>45428</v>
      </c>
      <c r="C163" s="7">
        <v>2023</v>
      </c>
      <c r="D163" s="7">
        <v>11</v>
      </c>
      <c r="E163" s="77">
        <v>16.670000000000002</v>
      </c>
      <c r="F163" s="2">
        <v>53.563606262207031</v>
      </c>
      <c r="G163" s="2">
        <v>37.043548583984382</v>
      </c>
      <c r="H163" s="2">
        <v>13.05637836456299</v>
      </c>
      <c r="I163" s="2">
        <v>253.00999450683591</v>
      </c>
      <c r="J163" s="2">
        <v>14.239999771118161</v>
      </c>
      <c r="K163" s="2">
        <v>357.56503295898438</v>
      </c>
      <c r="L163" s="2">
        <v>189.5</v>
      </c>
      <c r="M163" s="2">
        <v>171.9700012207031</v>
      </c>
      <c r="N163" s="12">
        <f t="shared" si="68"/>
        <v>1.4252899799625185E-2</v>
      </c>
      <c r="O163" s="12">
        <f t="shared" si="69"/>
        <v>2.9262339720965702E-3</v>
      </c>
      <c r="P163" s="12">
        <f t="shared" si="70"/>
        <v>8.3970201085661333E-3</v>
      </c>
      <c r="Q163" s="12">
        <f t="shared" si="71"/>
        <v>-7.4146702036251844E-3</v>
      </c>
      <c r="R163" s="12">
        <f t="shared" si="72"/>
        <v>1.0645820930152317E-2</v>
      </c>
      <c r="S163" s="12">
        <f t="shared" si="73"/>
        <v>0</v>
      </c>
      <c r="T163" s="12">
        <f t="shared" si="74"/>
        <v>7.3804590644390711E-3</v>
      </c>
      <c r="U163" s="12">
        <f t="shared" si="75"/>
        <v>-1.6323655665655301E-2</v>
      </c>
      <c r="V163" s="19">
        <f t="shared" si="76"/>
        <v>48.137188425992306</v>
      </c>
      <c r="W163" s="19">
        <f t="shared" si="77"/>
        <v>32.461143943371177</v>
      </c>
      <c r="X163" s="19">
        <f t="shared" si="78"/>
        <v>11.718677269584624</v>
      </c>
      <c r="Y163" s="19">
        <f t="shared" si="79"/>
        <v>263.4321404696978</v>
      </c>
      <c r="Z163" s="19">
        <f t="shared" si="80"/>
        <v>15.725649397757033</v>
      </c>
      <c r="AA163" s="19">
        <f t="shared" si="81"/>
        <v>487.20687866210938</v>
      </c>
      <c r="AB163" s="19">
        <f t="shared" si="82"/>
        <v>4601.3452058317498</v>
      </c>
      <c r="AC163" s="19">
        <f t="shared" si="83"/>
        <v>8270.5810895784361</v>
      </c>
      <c r="AD163" s="21">
        <f t="shared" si="84"/>
        <v>13529.06209894769</v>
      </c>
      <c r="AE163" s="21">
        <f t="shared" si="85"/>
        <v>2699.2849727482521</v>
      </c>
      <c r="AF163" s="21">
        <f t="shared" si="86"/>
        <v>8665.3318528350355</v>
      </c>
      <c r="AG163" s="21">
        <f t="shared" si="87"/>
        <v>-7477.8430217889872</v>
      </c>
      <c r="AH163" s="21">
        <f t="shared" si="88"/>
        <v>7404.5093228729338</v>
      </c>
      <c r="AI163" s="21">
        <f t="shared" si="89"/>
        <v>0</v>
      </c>
      <c r="AJ163" s="21">
        <f t="shared" si="90"/>
        <v>10113.370661725912</v>
      </c>
      <c r="AK163" s="21">
        <f t="shared" si="91"/>
        <v>-27449.296435509314</v>
      </c>
      <c r="AL163" s="23">
        <f t="shared" si="92"/>
        <v>7484.4194518315198</v>
      </c>
      <c r="AM163" s="23"/>
    </row>
    <row r="164" spans="1:39" x14ac:dyDescent="0.3">
      <c r="A164" s="13">
        <f t="shared" si="67"/>
        <v>159</v>
      </c>
      <c r="B164" s="1">
        <v>45427</v>
      </c>
      <c r="C164" s="7">
        <v>2023</v>
      </c>
      <c r="D164" s="7">
        <v>11</v>
      </c>
      <c r="E164" s="77">
        <v>16.6799</v>
      </c>
      <c r="F164" s="2">
        <v>52.810897827148438</v>
      </c>
      <c r="G164" s="2">
        <v>36.935466766357422</v>
      </c>
      <c r="H164" s="2">
        <v>12.94765663146973</v>
      </c>
      <c r="I164" s="2">
        <v>254.8999938964844</v>
      </c>
      <c r="J164" s="2">
        <v>14.090000152587891</v>
      </c>
      <c r="K164" s="2">
        <v>357.56503295898438</v>
      </c>
      <c r="L164" s="2">
        <v>188</v>
      </c>
      <c r="M164" s="2">
        <v>174.7200012207031</v>
      </c>
      <c r="N164" s="12">
        <f t="shared" si="68"/>
        <v>0</v>
      </c>
      <c r="O164" s="12">
        <f t="shared" si="69"/>
        <v>1.6495460976661436E-2</v>
      </c>
      <c r="P164" s="12">
        <f t="shared" si="70"/>
        <v>-9.8261788132616434E-3</v>
      </c>
      <c r="Q164" s="12">
        <f t="shared" si="71"/>
        <v>1.0705777085303847E-2</v>
      </c>
      <c r="R164" s="12">
        <f t="shared" si="72"/>
        <v>-6.3469781841286599E-3</v>
      </c>
      <c r="S164" s="12">
        <f t="shared" si="73"/>
        <v>0</v>
      </c>
      <c r="T164" s="12">
        <f t="shared" si="74"/>
        <v>-1.3084857729987798E-2</v>
      </c>
      <c r="U164" s="12">
        <f t="shared" si="75"/>
        <v>-2.6315251844316268E-2</v>
      </c>
      <c r="V164" s="19">
        <f t="shared" si="76"/>
        <v>47.460735321044922</v>
      </c>
      <c r="W164" s="19">
        <f t="shared" si="77"/>
        <v>32.900331409084352</v>
      </c>
      <c r="X164" s="19">
        <f t="shared" si="78"/>
        <v>11.506903749110169</v>
      </c>
      <c r="Y164" s="19">
        <f t="shared" si="79"/>
        <v>268.24130706958113</v>
      </c>
      <c r="Z164" s="19">
        <f t="shared" si="80"/>
        <v>15.461241436408359</v>
      </c>
      <c r="AA164" s="19">
        <f t="shared" si="81"/>
        <v>487.20687866210938</v>
      </c>
      <c r="AB164" s="19">
        <f t="shared" si="82"/>
        <v>4507.8671296287248</v>
      </c>
      <c r="AC164" s="19">
        <f t="shared" si="83"/>
        <v>8186.5734717416381</v>
      </c>
      <c r="AD164" s="21">
        <f t="shared" si="84"/>
        <v>0</v>
      </c>
      <c r="AE164" s="21">
        <f t="shared" si="85"/>
        <v>15216.127745573744</v>
      </c>
      <c r="AF164" s="21">
        <f t="shared" si="86"/>
        <v>-10140.156765296615</v>
      </c>
      <c r="AG164" s="21">
        <f t="shared" si="87"/>
        <v>10796.990057767653</v>
      </c>
      <c r="AH164" s="21">
        <f t="shared" si="88"/>
        <v>-4414.5265494127871</v>
      </c>
      <c r="AI164" s="21">
        <f t="shared" si="89"/>
        <v>0</v>
      </c>
      <c r="AJ164" s="21">
        <f t="shared" si="90"/>
        <v>-17930.052199181591</v>
      </c>
      <c r="AK164" s="21">
        <f t="shared" si="91"/>
        <v>-44250.820002868932</v>
      </c>
      <c r="AL164" s="23">
        <f t="shared" si="92"/>
        <v>-50722.437713418527</v>
      </c>
      <c r="AM164" s="23"/>
    </row>
    <row r="165" spans="1:39" x14ac:dyDescent="0.3">
      <c r="A165" s="13">
        <f t="shared" si="67"/>
        <v>160</v>
      </c>
      <c r="B165" s="1">
        <v>45426</v>
      </c>
      <c r="C165" s="7">
        <v>2023</v>
      </c>
      <c r="D165" s="7">
        <v>11</v>
      </c>
      <c r="E165" s="77">
        <v>16.832999999999998</v>
      </c>
      <c r="F165" s="2">
        <v>52.810897827148438</v>
      </c>
      <c r="G165" s="2">
        <v>36.336086273193359</v>
      </c>
      <c r="H165" s="2">
        <v>13.076145172119141</v>
      </c>
      <c r="I165" s="2">
        <v>252.19999694824219</v>
      </c>
      <c r="J165" s="2">
        <v>14.180000305175779</v>
      </c>
      <c r="K165" s="2">
        <v>357.56503295898438</v>
      </c>
      <c r="L165" s="2">
        <v>188.75999450683591</v>
      </c>
      <c r="M165" s="2">
        <v>177.80999755859381</v>
      </c>
      <c r="N165" s="12">
        <f t="shared" si="68"/>
        <v>-1.7563647129759108E-3</v>
      </c>
      <c r="O165" s="12">
        <f t="shared" si="69"/>
        <v>7.3548968822221283E-3</v>
      </c>
      <c r="P165" s="12">
        <f t="shared" si="70"/>
        <v>-1.6356947249356435E-2</v>
      </c>
      <c r="Q165" s="12">
        <f t="shared" si="71"/>
        <v>2.9029137630551816E-3</v>
      </c>
      <c r="R165" s="12">
        <f t="shared" si="72"/>
        <v>-6.3069481219900636E-3</v>
      </c>
      <c r="S165" s="12">
        <f t="shared" si="73"/>
        <v>0</v>
      </c>
      <c r="T165" s="12">
        <f t="shared" si="74"/>
        <v>2.3365589553676624E-3</v>
      </c>
      <c r="U165" s="12">
        <f t="shared" si="75"/>
        <v>-3.5674295022526947E-2</v>
      </c>
      <c r="V165" s="19">
        <f t="shared" si="76"/>
        <v>47.37737696027515</v>
      </c>
      <c r="W165" s="19">
        <f t="shared" si="77"/>
        <v>32.60448396114387</v>
      </c>
      <c r="X165" s="19">
        <f t="shared" si="78"/>
        <v>11.431009070626544</v>
      </c>
      <c r="Y165" s="19">
        <f t="shared" si="79"/>
        <v>266.17042719148122</v>
      </c>
      <c r="Z165" s="19">
        <f t="shared" si="80"/>
        <v>15.461864304192034</v>
      </c>
      <c r="AA165" s="19">
        <f t="shared" si="81"/>
        <v>487.20687866210938</v>
      </c>
      <c r="AB165" s="19">
        <f t="shared" si="82"/>
        <v>4578.3065163507927</v>
      </c>
      <c r="AC165" s="19">
        <f t="shared" si="83"/>
        <v>8107.8842504626236</v>
      </c>
      <c r="AD165" s="21">
        <f t="shared" si="84"/>
        <v>-1667.1672153954376</v>
      </c>
      <c r="AE165" s="21">
        <f t="shared" si="85"/>
        <v>6784.4754792700251</v>
      </c>
      <c r="AF165" s="21">
        <f t="shared" si="86"/>
        <v>-16879.604214642492</v>
      </c>
      <c r="AG165" s="21">
        <f t="shared" si="87"/>
        <v>2927.6465209880257</v>
      </c>
      <c r="AH165" s="21">
        <f t="shared" si="88"/>
        <v>-4386.6843594825523</v>
      </c>
      <c r="AI165" s="21">
        <f t="shared" si="89"/>
        <v>0</v>
      </c>
      <c r="AJ165" s="21">
        <f t="shared" si="90"/>
        <v>3201.7638174387685</v>
      </c>
      <c r="AK165" s="21">
        <f t="shared" si="91"/>
        <v>-59988.664258671815</v>
      </c>
      <c r="AL165" s="23">
        <f t="shared" si="92"/>
        <v>-70008.23423049548</v>
      </c>
      <c r="AM165" s="23"/>
    </row>
    <row r="166" spans="1:39" x14ac:dyDescent="0.3">
      <c r="A166" s="13">
        <f t="shared" si="67"/>
        <v>161</v>
      </c>
      <c r="B166" s="1">
        <v>45425</v>
      </c>
      <c r="C166" s="7">
        <v>2023</v>
      </c>
      <c r="D166" s="7">
        <v>11</v>
      </c>
      <c r="E166" s="77">
        <v>16.799099999999999</v>
      </c>
      <c r="F166" s="2">
        <v>52.903816223144531</v>
      </c>
      <c r="G166" s="2">
        <v>36.070789337158203</v>
      </c>
      <c r="H166" s="2">
        <v>13.293587684631349</v>
      </c>
      <c r="I166" s="2">
        <v>251.4700012207031</v>
      </c>
      <c r="J166" s="2">
        <v>14.27000045776367</v>
      </c>
      <c r="K166" s="2">
        <v>357.56503295898438</v>
      </c>
      <c r="L166" s="2">
        <v>188.69999694824219</v>
      </c>
      <c r="M166" s="2">
        <v>184.75999450683591</v>
      </c>
      <c r="N166" s="12">
        <f t="shared" si="68"/>
        <v>8.8605813140181233E-3</v>
      </c>
      <c r="O166" s="12">
        <f t="shared" si="69"/>
        <v>-5.6880073498661865E-3</v>
      </c>
      <c r="P166" s="12">
        <f t="shared" si="70"/>
        <v>-1.0301659350076542E-2</v>
      </c>
      <c r="Q166" s="12">
        <f t="shared" si="71"/>
        <v>-8.4381506427122499E-3</v>
      </c>
      <c r="R166" s="12">
        <f t="shared" si="72"/>
        <v>-8.3391162401718066E-3</v>
      </c>
      <c r="S166" s="12">
        <f t="shared" si="73"/>
        <v>0</v>
      </c>
      <c r="T166" s="12">
        <f t="shared" si="74"/>
        <v>1.6342487478222978E-2</v>
      </c>
      <c r="U166" s="12">
        <f t="shared" si="75"/>
        <v>2.2692129692595042E-2</v>
      </c>
      <c r="V166" s="19">
        <f t="shared" si="76"/>
        <v>47.881265025580134</v>
      </c>
      <c r="W166" s="19">
        <f t="shared" si="77"/>
        <v>32.182331685756083</v>
      </c>
      <c r="X166" s="19">
        <f t="shared" si="78"/>
        <v>11.501378144762089</v>
      </c>
      <c r="Y166" s="19">
        <f t="shared" si="79"/>
        <v>263.16050876741093</v>
      </c>
      <c r="Z166" s="19">
        <f t="shared" si="80"/>
        <v>15.430243767420393</v>
      </c>
      <c r="AA166" s="19">
        <f t="shared" si="81"/>
        <v>487.20687866210938</v>
      </c>
      <c r="AB166" s="19">
        <f t="shared" si="82"/>
        <v>4642.280471257277</v>
      </c>
      <c r="AC166" s="19">
        <f t="shared" si="83"/>
        <v>8598.6190854472461</v>
      </c>
      <c r="AD166" s="21">
        <f t="shared" si="84"/>
        <v>8410.5940907042514</v>
      </c>
      <c r="AE166" s="21">
        <f t="shared" si="85"/>
        <v>-5246.864369281926</v>
      </c>
      <c r="AF166" s="21">
        <f t="shared" si="86"/>
        <v>-10630.830431406082</v>
      </c>
      <c r="AG166" s="21">
        <f t="shared" si="87"/>
        <v>-8510.0434904790854</v>
      </c>
      <c r="AH166" s="21">
        <f t="shared" si="88"/>
        <v>-5800.122353174891</v>
      </c>
      <c r="AI166" s="21">
        <f t="shared" si="89"/>
        <v>0</v>
      </c>
      <c r="AJ166" s="21">
        <f t="shared" si="90"/>
        <v>22393.950289384065</v>
      </c>
      <c r="AK166" s="21">
        <f t="shared" si="91"/>
        <v>38158.302738252678</v>
      </c>
      <c r="AL166" s="23">
        <f t="shared" si="92"/>
        <v>38774.986473999015</v>
      </c>
      <c r="AM166" s="23"/>
    </row>
    <row r="167" spans="1:39" x14ac:dyDescent="0.3">
      <c r="A167" s="13">
        <f t="shared" si="67"/>
        <v>162</v>
      </c>
      <c r="B167" s="1">
        <v>45422</v>
      </c>
      <c r="C167" s="7">
        <v>2023</v>
      </c>
      <c r="D167" s="7">
        <v>11</v>
      </c>
      <c r="E167" s="77">
        <v>16.75</v>
      </c>
      <c r="F167" s="2">
        <v>52.439174652099609</v>
      </c>
      <c r="G167" s="2">
        <v>36.277133941650391</v>
      </c>
      <c r="H167" s="2">
        <v>13.43195915222168</v>
      </c>
      <c r="I167" s="2">
        <v>253.61000061035159</v>
      </c>
      <c r="J167" s="2">
        <v>14.39000034332275</v>
      </c>
      <c r="K167" s="2">
        <v>357.56503295898438</v>
      </c>
      <c r="L167" s="2">
        <v>186.21000671386719</v>
      </c>
      <c r="M167" s="2">
        <v>181.19000244140619</v>
      </c>
      <c r="N167" s="12">
        <f t="shared" si="68"/>
        <v>1.0643752595671518E-3</v>
      </c>
      <c r="O167" s="12">
        <f t="shared" si="69"/>
        <v>1.5122386841220914E-2</v>
      </c>
      <c r="P167" s="12">
        <f t="shared" si="70"/>
        <v>1.9504854552354622E-2</v>
      </c>
      <c r="Q167" s="12">
        <f t="shared" si="71"/>
        <v>8.4698779982492756E-3</v>
      </c>
      <c r="R167" s="12">
        <f t="shared" si="72"/>
        <v>5.5904906610892979E-3</v>
      </c>
      <c r="S167" s="12">
        <f t="shared" si="73"/>
        <v>0</v>
      </c>
      <c r="T167" s="12">
        <f t="shared" si="74"/>
        <v>8.0061126663468762E-3</v>
      </c>
      <c r="U167" s="12">
        <f t="shared" si="75"/>
        <v>6.4951463943214716E-3</v>
      </c>
      <c r="V167" s="19">
        <f t="shared" si="76"/>
        <v>47.511251353521509</v>
      </c>
      <c r="W167" s="19">
        <f t="shared" si="77"/>
        <v>32.855889898187854</v>
      </c>
      <c r="X167" s="19">
        <f t="shared" si="78"/>
        <v>11.847762465608627</v>
      </c>
      <c r="Y167" s="19">
        <f t="shared" si="79"/>
        <v>267.64789946552372</v>
      </c>
      <c r="Z167" s="19">
        <f t="shared" si="80"/>
        <v>15.646988456649112</v>
      </c>
      <c r="AA167" s="19">
        <f t="shared" si="81"/>
        <v>487.20687866210938</v>
      </c>
      <c r="AB167" s="19">
        <f t="shared" si="82"/>
        <v>4604.2029624774596</v>
      </c>
      <c r="AC167" s="19">
        <f t="shared" si="83"/>
        <v>8462.4376426927502</v>
      </c>
      <c r="AD167" s="21">
        <f t="shared" si="84"/>
        <v>1010.3206495317352</v>
      </c>
      <c r="AE167" s="21">
        <f t="shared" si="85"/>
        <v>13949.544685023564</v>
      </c>
      <c r="AF167" s="21">
        <f t="shared" si="86"/>
        <v>20128.097259766437</v>
      </c>
      <c r="AG167" s="21">
        <f t="shared" si="87"/>
        <v>8542.0411623495165</v>
      </c>
      <c r="AH167" s="21">
        <f t="shared" si="88"/>
        <v>3888.3652553488405</v>
      </c>
      <c r="AI167" s="21">
        <f t="shared" si="89"/>
        <v>0</v>
      </c>
      <c r="AJ167" s="21">
        <f t="shared" si="90"/>
        <v>10970.697655438835</v>
      </c>
      <c r="AK167" s="21">
        <f t="shared" si="91"/>
        <v>10922.014187353489</v>
      </c>
      <c r="AL167" s="23">
        <f t="shared" si="92"/>
        <v>69411.080854812419</v>
      </c>
      <c r="AM167" s="23"/>
    </row>
    <row r="168" spans="1:39" x14ac:dyDescent="0.3">
      <c r="A168" s="13">
        <f t="shared" si="67"/>
        <v>163</v>
      </c>
      <c r="B168" s="1">
        <v>45421</v>
      </c>
      <c r="C168" s="7">
        <v>2023</v>
      </c>
      <c r="D168" s="7">
        <v>10</v>
      </c>
      <c r="E168" s="77">
        <v>16.751000000000001</v>
      </c>
      <c r="F168" s="2">
        <v>52.383419036865227</v>
      </c>
      <c r="G168" s="2">
        <v>35.736709594726563</v>
      </c>
      <c r="H168" s="2">
        <v>13.17498302459717</v>
      </c>
      <c r="I168" s="2">
        <v>251.47999572753909</v>
      </c>
      <c r="J168" s="2">
        <v>14.310000419616699</v>
      </c>
      <c r="K168" s="2">
        <v>357.56503295898438</v>
      </c>
      <c r="L168" s="2">
        <v>184.7200012207031</v>
      </c>
      <c r="M168" s="2">
        <v>180.00999450683591</v>
      </c>
      <c r="N168" s="12">
        <f t="shared" si="68"/>
        <v>-1.8115456531298868E-2</v>
      </c>
      <c r="O168" s="12">
        <f t="shared" si="69"/>
        <v>-7.6398109125083158E-3</v>
      </c>
      <c r="P168" s="12">
        <f t="shared" si="70"/>
        <v>-1.623609073120813E-2</v>
      </c>
      <c r="Q168" s="12">
        <f t="shared" si="71"/>
        <v>2.6155744121066915E-2</v>
      </c>
      <c r="R168" s="12">
        <f t="shared" si="72"/>
        <v>1.9957283818580196E-2</v>
      </c>
      <c r="S168" s="12">
        <f t="shared" si="73"/>
        <v>0</v>
      </c>
      <c r="T168" s="12">
        <f t="shared" si="74"/>
        <v>4.6546227691370179E-2</v>
      </c>
      <c r="U168" s="12">
        <f t="shared" si="75"/>
        <v>-2.6212741163912812E-2</v>
      </c>
      <c r="V168" s="19">
        <f t="shared" si="76"/>
        <v>46.60096243339305</v>
      </c>
      <c r="W168" s="19">
        <f t="shared" si="77"/>
        <v>32.119158768097741</v>
      </c>
      <c r="X168" s="19">
        <f t="shared" si="78"/>
        <v>11.432413555669502</v>
      </c>
      <c r="Y168" s="19">
        <f t="shared" si="79"/>
        <v>272.34172822657354</v>
      </c>
      <c r="Z168" s="19">
        <f t="shared" si="80"/>
        <v>15.870535764208217</v>
      </c>
      <c r="AA168" s="19">
        <f t="shared" si="81"/>
        <v>487.20687866210938</v>
      </c>
      <c r="AB168" s="19">
        <f t="shared" si="82"/>
        <v>4780.2401010847425</v>
      </c>
      <c r="AC168" s="19">
        <f t="shared" si="83"/>
        <v>8187.4353638667335</v>
      </c>
      <c r="AD168" s="21">
        <f t="shared" si="84"/>
        <v>-17195.45775303743</v>
      </c>
      <c r="AE168" s="21">
        <f t="shared" si="85"/>
        <v>-7047.2925225446734</v>
      </c>
      <c r="AF168" s="21">
        <f t="shared" si="86"/>
        <v>-16754.885942827845</v>
      </c>
      <c r="AG168" s="21">
        <f t="shared" si="87"/>
        <v>26378.590454338813</v>
      </c>
      <c r="AH168" s="21">
        <f t="shared" si="88"/>
        <v>13880.929903240843</v>
      </c>
      <c r="AI168" s="21">
        <f t="shared" si="89"/>
        <v>0</v>
      </c>
      <c r="AJ168" s="21">
        <f t="shared" si="90"/>
        <v>63781.839237623717</v>
      </c>
      <c r="AK168" s="21">
        <f t="shared" si="91"/>
        <v>-44078.441577849844</v>
      </c>
      <c r="AL168" s="23">
        <f t="shared" si="92"/>
        <v>18965.281798943579</v>
      </c>
      <c r="AM168" s="23"/>
    </row>
    <row r="169" spans="1:39" x14ac:dyDescent="0.3">
      <c r="A169" s="13">
        <f t="shared" si="67"/>
        <v>164</v>
      </c>
      <c r="B169" s="1">
        <v>45420</v>
      </c>
      <c r="C169" s="7">
        <v>2023</v>
      </c>
      <c r="D169" s="7">
        <v>10</v>
      </c>
      <c r="E169" s="77">
        <v>16.895</v>
      </c>
      <c r="F169" s="2">
        <v>53.349876403808587</v>
      </c>
      <c r="G169" s="2">
        <v>36.011833190917969</v>
      </c>
      <c r="H169" s="2">
        <v>13.39242362976074</v>
      </c>
      <c r="I169" s="2">
        <v>245.07000732421881</v>
      </c>
      <c r="J169" s="2">
        <v>14.02999973297119</v>
      </c>
      <c r="K169" s="2">
        <v>357.56503295898438</v>
      </c>
      <c r="L169" s="2">
        <v>175</v>
      </c>
      <c r="M169" s="2">
        <v>183.2799987792969</v>
      </c>
      <c r="N169" s="12">
        <f t="shared" si="68"/>
        <v>0</v>
      </c>
      <c r="O169" s="12">
        <f t="shared" si="69"/>
        <v>-1.8478863000435886E-2</v>
      </c>
      <c r="P169" s="12">
        <f t="shared" si="70"/>
        <v>-1.7403871686408778E-2</v>
      </c>
      <c r="Q169" s="12">
        <f t="shared" si="71"/>
        <v>-0.13713817053763122</v>
      </c>
      <c r="R169" s="12">
        <f t="shared" si="72"/>
        <v>-2.7720066787601971E-2</v>
      </c>
      <c r="S169" s="12">
        <f t="shared" si="73"/>
        <v>0</v>
      </c>
      <c r="T169" s="12">
        <f t="shared" si="74"/>
        <v>-3.1846712746422035E-2</v>
      </c>
      <c r="U169" s="12">
        <f t="shared" si="75"/>
        <v>-5.4437807946400962E-2</v>
      </c>
      <c r="V169" s="19">
        <f t="shared" si="76"/>
        <v>47.460735321044922</v>
      </c>
      <c r="W169" s="19">
        <f t="shared" si="77"/>
        <v>31.768337323690588</v>
      </c>
      <c r="X169" s="19">
        <f t="shared" si="78"/>
        <v>11.418842662595967</v>
      </c>
      <c r="Y169" s="19">
        <f t="shared" si="79"/>
        <v>229.00352427282201</v>
      </c>
      <c r="Z169" s="19">
        <f t="shared" si="80"/>
        <v>15.128676168769809</v>
      </c>
      <c r="AA169" s="19">
        <f t="shared" si="81"/>
        <v>487.20687866210938</v>
      </c>
      <c r="AB169" s="19">
        <f t="shared" si="82"/>
        <v>4422.1698433099536</v>
      </c>
      <c r="AC169" s="19">
        <f t="shared" si="83"/>
        <v>7950.1238691582757</v>
      </c>
      <c r="AD169" s="21">
        <f t="shared" si="84"/>
        <v>0</v>
      </c>
      <c r="AE169" s="21">
        <f t="shared" si="85"/>
        <v>-17045.703688148526</v>
      </c>
      <c r="AF169" s="21">
        <f t="shared" si="86"/>
        <v>-17959.981247757729</v>
      </c>
      <c r="AG169" s="21">
        <f t="shared" si="87"/>
        <v>-138306.584569917</v>
      </c>
      <c r="AH169" s="21">
        <f t="shared" si="88"/>
        <v>-19280.19401285598</v>
      </c>
      <c r="AI169" s="21">
        <f t="shared" si="89"/>
        <v>0</v>
      </c>
      <c r="AJ169" s="21">
        <f t="shared" si="90"/>
        <v>-43639.238094812936</v>
      </c>
      <c r="AK169" s="21">
        <f t="shared" si="91"/>
        <v>-91540.740519541403</v>
      </c>
      <c r="AL169" s="23">
        <f t="shared" si="92"/>
        <v>-327772.44213303359</v>
      </c>
      <c r="AM169" s="23"/>
    </row>
    <row r="170" spans="1:39" x14ac:dyDescent="0.3">
      <c r="A170" s="13">
        <f t="shared" si="67"/>
        <v>165</v>
      </c>
      <c r="B170" s="1">
        <v>45419</v>
      </c>
      <c r="C170" s="7">
        <v>2023</v>
      </c>
      <c r="D170" s="7">
        <v>10</v>
      </c>
      <c r="E170" s="77">
        <v>16.876000000000001</v>
      </c>
      <c r="F170" s="2">
        <v>53.349876403808587</v>
      </c>
      <c r="G170" s="2">
        <v>36.6898193359375</v>
      </c>
      <c r="H170" s="2">
        <v>13.62963199615479</v>
      </c>
      <c r="I170" s="2">
        <v>284.01998901367188</v>
      </c>
      <c r="J170" s="2">
        <v>14.430000305175779</v>
      </c>
      <c r="K170" s="2">
        <v>357.56503295898438</v>
      </c>
      <c r="L170" s="2">
        <v>180.96000671386719</v>
      </c>
      <c r="M170" s="2">
        <v>194.05000305175781</v>
      </c>
      <c r="N170" s="12">
        <f t="shared" si="68"/>
        <v>-1.7388652770924384E-3</v>
      </c>
      <c r="O170" s="12">
        <f t="shared" si="69"/>
        <v>3.1163512908036761E-3</v>
      </c>
      <c r="P170" s="12">
        <f t="shared" si="70"/>
        <v>-2.8188950024611414E-2</v>
      </c>
      <c r="Q170" s="12">
        <f t="shared" si="71"/>
        <v>-1.4195954829194335E-2</v>
      </c>
      <c r="R170" s="12">
        <f t="shared" si="72"/>
        <v>-1.9701084007627268E-2</v>
      </c>
      <c r="S170" s="12">
        <f t="shared" si="73"/>
        <v>0</v>
      </c>
      <c r="T170" s="12">
        <f t="shared" si="74"/>
        <v>8.4163299271406977E-3</v>
      </c>
      <c r="U170" s="12">
        <f t="shared" si="75"/>
        <v>0.15416342410259243</v>
      </c>
      <c r="V170" s="19">
        <f t="shared" si="76"/>
        <v>47.378207496369882</v>
      </c>
      <c r="W170" s="19">
        <f t="shared" si="77"/>
        <v>32.467297362675247</v>
      </c>
      <c r="X170" s="19">
        <f t="shared" si="78"/>
        <v>11.293508245841169</v>
      </c>
      <c r="Y170" s="19">
        <f t="shared" si="79"/>
        <v>261.63238757146144</v>
      </c>
      <c r="Z170" s="19">
        <f t="shared" si="80"/>
        <v>15.253451544191115</v>
      </c>
      <c r="AA170" s="19">
        <f t="shared" si="81"/>
        <v>487.20687866210938</v>
      </c>
      <c r="AB170" s="19">
        <f t="shared" si="82"/>
        <v>4606.076684773062</v>
      </c>
      <c r="AC170" s="19">
        <f t="shared" si="83"/>
        <v>9704.00705948207</v>
      </c>
      <c r="AD170" s="21">
        <f t="shared" si="84"/>
        <v>-1650.556493500801</v>
      </c>
      <c r="AE170" s="21">
        <f t="shared" si="85"/>
        <v>2874.6574229142466</v>
      </c>
      <c r="AF170" s="21">
        <f t="shared" si="86"/>
        <v>-29089.677455583816</v>
      </c>
      <c r="AG170" s="21">
        <f t="shared" si="87"/>
        <v>-14316.904035087169</v>
      </c>
      <c r="AH170" s="21">
        <f t="shared" si="88"/>
        <v>-13702.734731523598</v>
      </c>
      <c r="AI170" s="21">
        <f t="shared" si="89"/>
        <v>0</v>
      </c>
      <c r="AJ170" s="21">
        <f t="shared" si="90"/>
        <v>11532.814344119561</v>
      </c>
      <c r="AK170" s="21">
        <f t="shared" si="91"/>
        <v>259235.89754521745</v>
      </c>
      <c r="AL170" s="23">
        <f t="shared" si="92"/>
        <v>214883.49659655587</v>
      </c>
      <c r="AM170" s="23"/>
    </row>
    <row r="171" spans="1:39" x14ac:dyDescent="0.3">
      <c r="A171" s="13">
        <f t="shared" si="67"/>
        <v>166</v>
      </c>
      <c r="B171" s="1">
        <v>45418</v>
      </c>
      <c r="C171" s="7">
        <v>2023</v>
      </c>
      <c r="D171" s="7">
        <v>10</v>
      </c>
      <c r="E171" s="77">
        <v>16.86</v>
      </c>
      <c r="F171" s="2">
        <v>53.442806243896477</v>
      </c>
      <c r="G171" s="2">
        <v>36.575836181640618</v>
      </c>
      <c r="H171" s="2">
        <v>14.02498149871826</v>
      </c>
      <c r="I171" s="2">
        <v>288.1099853515625</v>
      </c>
      <c r="J171" s="2">
        <v>14.72000026702881</v>
      </c>
      <c r="K171" s="2">
        <v>357.56503295898438</v>
      </c>
      <c r="L171" s="2">
        <v>179.6199951171875</v>
      </c>
      <c r="M171" s="2">
        <v>168.28999328613281</v>
      </c>
      <c r="N171" s="12">
        <f t="shared" si="68"/>
        <v>1.2925074895460575E-2</v>
      </c>
      <c r="O171" s="12">
        <f t="shared" si="69"/>
        <v>7.2520488537628491E-3</v>
      </c>
      <c r="P171" s="12">
        <f t="shared" si="70"/>
        <v>1.0683810465141885E-2</v>
      </c>
      <c r="Q171" s="12">
        <f t="shared" si="71"/>
        <v>6.9903187668982625E-3</v>
      </c>
      <c r="R171" s="12">
        <f t="shared" si="72"/>
        <v>-1.9320450195265071E-2</v>
      </c>
      <c r="S171" s="12">
        <f t="shared" si="73"/>
        <v>0</v>
      </c>
      <c r="T171" s="12">
        <f t="shared" si="74"/>
        <v>2.816212840398169E-2</v>
      </c>
      <c r="U171" s="12">
        <f t="shared" si="75"/>
        <v>-1.6936628378809049E-2</v>
      </c>
      <c r="V171" s="19">
        <f t="shared" si="76"/>
        <v>48.074168879663056</v>
      </c>
      <c r="W171" s="19">
        <f t="shared" si="77"/>
        <v>32.601155137404874</v>
      </c>
      <c r="X171" s="19">
        <f t="shared" si="78"/>
        <v>11.745252276885841</v>
      </c>
      <c r="Y171" s="19">
        <f t="shared" si="79"/>
        <v>267.25522445455363</v>
      </c>
      <c r="Z171" s="19">
        <f t="shared" si="80"/>
        <v>15.259374206471191</v>
      </c>
      <c r="AA171" s="19">
        <f t="shared" si="81"/>
        <v>487.20687866210938</v>
      </c>
      <c r="AB171" s="19">
        <f t="shared" si="82"/>
        <v>4696.2682646664343</v>
      </c>
      <c r="AC171" s="19">
        <f t="shared" si="83"/>
        <v>8265.4273207000479</v>
      </c>
      <c r="AD171" s="21">
        <f t="shared" si="84"/>
        <v>12268.671172362672</v>
      </c>
      <c r="AE171" s="21">
        <f t="shared" si="85"/>
        <v>6689.6040027086165</v>
      </c>
      <c r="AF171" s="21">
        <f t="shared" si="86"/>
        <v>11025.192501183083</v>
      </c>
      <c r="AG171" s="21">
        <f t="shared" si="87"/>
        <v>7049.8761206631571</v>
      </c>
      <c r="AH171" s="21">
        <f t="shared" si="88"/>
        <v>-13437.991727604196</v>
      </c>
      <c r="AI171" s="21">
        <f t="shared" si="89"/>
        <v>0</v>
      </c>
      <c r="AJ171" s="21">
        <f t="shared" si="90"/>
        <v>38590.28831213127</v>
      </c>
      <c r="AK171" s="21">
        <f t="shared" si="91"/>
        <v>-28480.050211186972</v>
      </c>
      <c r="AL171" s="23">
        <f t="shared" si="92"/>
        <v>33705.59017025763</v>
      </c>
      <c r="AM171" s="23"/>
    </row>
    <row r="172" spans="1:39" x14ac:dyDescent="0.3">
      <c r="A172" s="13">
        <f t="shared" si="67"/>
        <v>167</v>
      </c>
      <c r="B172" s="1">
        <v>45415</v>
      </c>
      <c r="C172" s="7">
        <v>2023</v>
      </c>
      <c r="D172" s="7">
        <v>10</v>
      </c>
      <c r="E172" s="77">
        <v>16.96</v>
      </c>
      <c r="F172" s="2">
        <v>52.760868072509773</v>
      </c>
      <c r="G172" s="2">
        <v>36.312496185302727</v>
      </c>
      <c r="H172" s="2">
        <v>13.876725196838381</v>
      </c>
      <c r="I172" s="2">
        <v>286.1099853515625</v>
      </c>
      <c r="J172" s="2">
        <v>15.010000228881839</v>
      </c>
      <c r="K172" s="2">
        <v>357.56503295898438</v>
      </c>
      <c r="L172" s="2">
        <v>173.66999816894531</v>
      </c>
      <c r="M172" s="2">
        <v>170.17999267578119</v>
      </c>
      <c r="N172" s="12">
        <f t="shared" si="68"/>
        <v>1.1375774137707406E-2</v>
      </c>
      <c r="O172" s="12">
        <f t="shared" si="69"/>
        <v>3.9653749571866737E-2</v>
      </c>
      <c r="P172" s="12">
        <f t="shared" si="70"/>
        <v>1.3718372769916387E-2</v>
      </c>
      <c r="Q172" s="12">
        <f t="shared" si="71"/>
        <v>1.4502505131621435E-2</v>
      </c>
      <c r="R172" s="12">
        <f t="shared" si="72"/>
        <v>1.9008872732320548E-2</v>
      </c>
      <c r="S172" s="12">
        <f t="shared" si="73"/>
        <v>0</v>
      </c>
      <c r="T172" s="12">
        <f t="shared" si="74"/>
        <v>-1.6842704288977051E-2</v>
      </c>
      <c r="U172" s="12">
        <f t="shared" si="75"/>
        <v>4.9323523828829208E-2</v>
      </c>
      <c r="V172" s="19">
        <f t="shared" si="76"/>
        <v>48.000637926466638</v>
      </c>
      <c r="W172" s="19">
        <f t="shared" si="77"/>
        <v>33.649882586536158</v>
      </c>
      <c r="X172" s="19">
        <f t="shared" si="78"/>
        <v>11.780517212813825</v>
      </c>
      <c r="Y172" s="19">
        <f t="shared" si="79"/>
        <v>269.24895866990045</v>
      </c>
      <c r="Z172" s="19">
        <f t="shared" si="80"/>
        <v>15.855778487308047</v>
      </c>
      <c r="AA172" s="19">
        <f t="shared" si="81"/>
        <v>487.20687866210938</v>
      </c>
      <c r="AB172" s="19">
        <f t="shared" si="82"/>
        <v>4490.7026620307379</v>
      </c>
      <c r="AC172" s="19">
        <f t="shared" si="83"/>
        <v>8822.5312553401764</v>
      </c>
      <c r="AD172" s="21">
        <f t="shared" si="84"/>
        <v>10798.05210843432</v>
      </c>
      <c r="AE172" s="21">
        <f t="shared" si="85"/>
        <v>36578.336302950229</v>
      </c>
      <c r="AF172" s="21">
        <f t="shared" si="86"/>
        <v>14156.71881158804</v>
      </c>
      <c r="AG172" s="21">
        <f t="shared" si="87"/>
        <v>14626.06613898107</v>
      </c>
      <c r="AH172" s="21">
        <f t="shared" si="88"/>
        <v>13221.279625803254</v>
      </c>
      <c r="AI172" s="21">
        <f t="shared" si="89"/>
        <v>0</v>
      </c>
      <c r="AJ172" s="21">
        <f t="shared" si="90"/>
        <v>-23079.392478577665</v>
      </c>
      <c r="AK172" s="21">
        <f t="shared" si="91"/>
        <v>82940.736716838728</v>
      </c>
      <c r="AL172" s="23">
        <f t="shared" si="92"/>
        <v>149241.79722601798</v>
      </c>
      <c r="AM172" s="23"/>
    </row>
    <row r="173" spans="1:39" x14ac:dyDescent="0.3">
      <c r="A173" s="13">
        <f t="shared" si="67"/>
        <v>168</v>
      </c>
      <c r="B173" s="1">
        <v>45414</v>
      </c>
      <c r="C173" s="7">
        <v>2023</v>
      </c>
      <c r="D173" s="7">
        <v>10</v>
      </c>
      <c r="E173" s="77">
        <v>16.965299999999999</v>
      </c>
      <c r="F173" s="2">
        <v>52.167423248291023</v>
      </c>
      <c r="G173" s="2">
        <v>34.927490234375</v>
      </c>
      <c r="H173" s="2">
        <v>13.68893527984619</v>
      </c>
      <c r="I173" s="2">
        <v>282.01998901367188</v>
      </c>
      <c r="J173" s="2">
        <v>14.72999954223633</v>
      </c>
      <c r="K173" s="2">
        <v>357.56503295898438</v>
      </c>
      <c r="L173" s="2">
        <v>176.5899963378906</v>
      </c>
      <c r="M173" s="2">
        <v>162.1300048828125</v>
      </c>
      <c r="N173" s="12">
        <f t="shared" si="68"/>
        <v>-2.8358057462489761E-3</v>
      </c>
      <c r="O173" s="12">
        <f t="shared" si="69"/>
        <v>-1.7288513574647779E-2</v>
      </c>
      <c r="P173" s="12">
        <f t="shared" si="70"/>
        <v>-1.1420407156892298E-2</v>
      </c>
      <c r="Q173" s="12">
        <f t="shared" si="71"/>
        <v>3.3608146252623872E-2</v>
      </c>
      <c r="R173" s="12">
        <f t="shared" si="72"/>
        <v>2.863127487078776E-2</v>
      </c>
      <c r="S173" s="12">
        <f t="shared" si="73"/>
        <v>0</v>
      </c>
      <c r="T173" s="12">
        <f t="shared" si="74"/>
        <v>-2.6200257481410638E-2</v>
      </c>
      <c r="U173" s="12">
        <f t="shared" si="75"/>
        <v>0.1094805167207642</v>
      </c>
      <c r="V173" s="19">
        <f t="shared" si="76"/>
        <v>47.326145895100304</v>
      </c>
      <c r="W173" s="19">
        <f t="shared" si="77"/>
        <v>31.806864687662696</v>
      </c>
      <c r="X173" s="19">
        <f t="shared" si="78"/>
        <v>11.488377070549555</v>
      </c>
      <c r="Y173" s="19">
        <f t="shared" si="79"/>
        <v>274.31959570680289</v>
      </c>
      <c r="Z173" s="19">
        <f t="shared" si="80"/>
        <v>16.005503068620317</v>
      </c>
      <c r="AA173" s="19">
        <f t="shared" si="81"/>
        <v>487.20687866210938</v>
      </c>
      <c r="AB173" s="19">
        <f t="shared" si="82"/>
        <v>4447.9607841901579</v>
      </c>
      <c r="AC173" s="19">
        <f t="shared" si="83"/>
        <v>9328.320878810915</v>
      </c>
      <c r="AD173" s="21">
        <f t="shared" si="84"/>
        <v>-2691.7885188923665</v>
      </c>
      <c r="AE173" s="21">
        <f t="shared" si="85"/>
        <v>-15947.673814943453</v>
      </c>
      <c r="AF173" s="21">
        <f t="shared" si="86"/>
        <v>-11785.325821479095</v>
      </c>
      <c r="AG173" s="21">
        <f t="shared" si="87"/>
        <v>33894.486879210344</v>
      </c>
      <c r="AH173" s="21">
        <f t="shared" si="88"/>
        <v>19913.968410461737</v>
      </c>
      <c r="AI173" s="21">
        <f t="shared" si="89"/>
        <v>0</v>
      </c>
      <c r="AJ173" s="21">
        <f t="shared" si="90"/>
        <v>-35901.955830751649</v>
      </c>
      <c r="AK173" s="21">
        <f t="shared" si="91"/>
        <v>184098.66141098645</v>
      </c>
      <c r="AL173" s="23">
        <f t="shared" si="92"/>
        <v>171580.37271459197</v>
      </c>
      <c r="AM173" s="23"/>
    </row>
    <row r="174" spans="1:39" x14ac:dyDescent="0.3">
      <c r="A174" s="13">
        <f t="shared" si="67"/>
        <v>169</v>
      </c>
      <c r="B174" s="1">
        <v>45412</v>
      </c>
      <c r="C174" s="7">
        <v>2023</v>
      </c>
      <c r="D174" s="7">
        <v>10</v>
      </c>
      <c r="E174" s="77">
        <v>17.1355</v>
      </c>
      <c r="F174" s="2">
        <v>52.315780639648438</v>
      </c>
      <c r="G174" s="2">
        <v>35.541957855224609</v>
      </c>
      <c r="H174" s="2">
        <v>13.84707450866699</v>
      </c>
      <c r="I174" s="2">
        <v>272.85000610351563</v>
      </c>
      <c r="J174" s="2">
        <v>14.319999694824221</v>
      </c>
      <c r="K174" s="2">
        <v>357.56503295898438</v>
      </c>
      <c r="L174" s="2">
        <v>179.53999328613281</v>
      </c>
      <c r="M174" s="2">
        <v>144.67999267578119</v>
      </c>
      <c r="N174" s="12">
        <f t="shared" si="68"/>
        <v>-5.3179065215958055E-4</v>
      </c>
      <c r="O174" s="12">
        <f t="shared" si="69"/>
        <v>2.7346928289127659E-2</v>
      </c>
      <c r="P174" s="12">
        <f t="shared" si="70"/>
        <v>-2.1367208581852815E-3</v>
      </c>
      <c r="Q174" s="12">
        <f t="shared" si="71"/>
        <v>-1.0947145637890121E-2</v>
      </c>
      <c r="R174" s="12">
        <f t="shared" si="72"/>
        <v>4.7549350029447046E-2</v>
      </c>
      <c r="S174" s="12">
        <f t="shared" si="73"/>
        <v>0</v>
      </c>
      <c r="T174" s="12">
        <f t="shared" si="74"/>
        <v>2.1012278066665724E-2</v>
      </c>
      <c r="U174" s="12">
        <f t="shared" si="75"/>
        <v>2.6536078892790194E-2</v>
      </c>
      <c r="V174" s="19">
        <f t="shared" si="76"/>
        <v>47.435496145656572</v>
      </c>
      <c r="W174" s="19">
        <f t="shared" si="77"/>
        <v>33.251554690014657</v>
      </c>
      <c r="X174" s="19">
        <f t="shared" si="78"/>
        <v>11.596263668226033</v>
      </c>
      <c r="Y174" s="19">
        <f t="shared" si="79"/>
        <v>262.49462151100442</v>
      </c>
      <c r="Z174" s="19">
        <f t="shared" si="80"/>
        <v>16.299868326027397</v>
      </c>
      <c r="AA174" s="19">
        <f t="shared" si="81"/>
        <v>487.20687866210938</v>
      </c>
      <c r="AB174" s="19">
        <f t="shared" si="82"/>
        <v>4663.6103653832015</v>
      </c>
      <c r="AC174" s="19">
        <f t="shared" si="83"/>
        <v>8630.9383475170762</v>
      </c>
      <c r="AD174" s="21">
        <f t="shared" si="84"/>
        <v>-504.78350776700154</v>
      </c>
      <c r="AE174" s="21">
        <f t="shared" si="85"/>
        <v>25225.991252087457</v>
      </c>
      <c r="AF174" s="21">
        <f t="shared" si="86"/>
        <v>-2204.9959478078677</v>
      </c>
      <c r="AG174" s="21">
        <f t="shared" si="87"/>
        <v>-11040.41506482381</v>
      </c>
      <c r="AH174" s="21">
        <f t="shared" si="88"/>
        <v>33072.095416558193</v>
      </c>
      <c r="AI174" s="21">
        <f t="shared" si="89"/>
        <v>0</v>
      </c>
      <c r="AJ174" s="21">
        <f t="shared" si="90"/>
        <v>28792.918527161419</v>
      </c>
      <c r="AK174" s="21">
        <f t="shared" si="91"/>
        <v>44622.155152218693</v>
      </c>
      <c r="AL174" s="23">
        <f t="shared" si="92"/>
        <v>117962.96582762709</v>
      </c>
      <c r="AM174" s="23"/>
    </row>
    <row r="175" spans="1:39" x14ac:dyDescent="0.3">
      <c r="A175" s="13">
        <f t="shared" si="67"/>
        <v>170</v>
      </c>
      <c r="B175" s="1">
        <v>45411</v>
      </c>
      <c r="C175" s="7">
        <v>2023</v>
      </c>
      <c r="D175" s="7">
        <v>10</v>
      </c>
      <c r="E175" s="77">
        <v>17.0016</v>
      </c>
      <c r="F175" s="2">
        <v>52.343616485595703</v>
      </c>
      <c r="G175" s="2">
        <v>34.595867156982422</v>
      </c>
      <c r="H175" s="2">
        <v>13.876725196838381</v>
      </c>
      <c r="I175" s="2">
        <v>275.8699951171875</v>
      </c>
      <c r="J175" s="2">
        <v>13.670000076293951</v>
      </c>
      <c r="K175" s="2">
        <v>357.56503295898438</v>
      </c>
      <c r="L175" s="2">
        <v>177.22999572753909</v>
      </c>
      <c r="M175" s="2">
        <v>142.05000305175781</v>
      </c>
      <c r="N175" s="12">
        <f t="shared" si="68"/>
        <v>1.4740381069943798E-2</v>
      </c>
      <c r="O175" s="12">
        <f t="shared" si="69"/>
        <v>8.5299865642005646E-3</v>
      </c>
      <c r="P175" s="12">
        <f t="shared" si="70"/>
        <v>2.7818368285828621E-2</v>
      </c>
      <c r="Q175" s="12">
        <f t="shared" si="71"/>
        <v>-7.0612783085428732E-2</v>
      </c>
      <c r="R175" s="12">
        <f t="shared" si="72"/>
        <v>2.7047306185405739E-2</v>
      </c>
      <c r="S175" s="12">
        <f t="shared" si="73"/>
        <v>0</v>
      </c>
      <c r="T175" s="12">
        <f t="shared" si="74"/>
        <v>6.7524062986152877E-3</v>
      </c>
      <c r="U175" s="12">
        <f t="shared" si="75"/>
        <v>-4.1746255519454101E-2</v>
      </c>
      <c r="V175" s="19">
        <f t="shared" si="76"/>
        <v>48.160324645536868</v>
      </c>
      <c r="W175" s="19">
        <f t="shared" si="77"/>
        <v>32.64251742165272</v>
      </c>
      <c r="X175" s="19">
        <f t="shared" si="78"/>
        <v>11.944374596025625</v>
      </c>
      <c r="Y175" s="19">
        <f t="shared" si="79"/>
        <v>246.65936169659781</v>
      </c>
      <c r="Z175" s="19">
        <f t="shared" si="80"/>
        <v>15.980856515211114</v>
      </c>
      <c r="AA175" s="19">
        <f t="shared" si="81"/>
        <v>487.20687866210938</v>
      </c>
      <c r="AB175" s="19">
        <f t="shared" si="82"/>
        <v>4598.4764906834371</v>
      </c>
      <c r="AC175" s="19">
        <f t="shared" si="83"/>
        <v>8056.8322535819461</v>
      </c>
      <c r="AD175" s="21">
        <f t="shared" si="84"/>
        <v>13991.786489838916</v>
      </c>
      <c r="AE175" s="21">
        <f t="shared" si="85"/>
        <v>7868.4291037722287</v>
      </c>
      <c r="AF175" s="21">
        <f t="shared" si="86"/>
        <v>28707.254440795899</v>
      </c>
      <c r="AG175" s="21">
        <f t="shared" si="87"/>
        <v>-71214.402359568936</v>
      </c>
      <c r="AH175" s="21">
        <f t="shared" si="88"/>
        <v>18812.267473070337</v>
      </c>
      <c r="AI175" s="21">
        <f t="shared" si="89"/>
        <v>0</v>
      </c>
      <c r="AJ175" s="21">
        <f t="shared" si="90"/>
        <v>9252.7561172320929</v>
      </c>
      <c r="AK175" s="21">
        <f t="shared" si="91"/>
        <v>-70199.063634807317</v>
      </c>
      <c r="AL175" s="23">
        <f t="shared" si="92"/>
        <v>-62780.972369666779</v>
      </c>
      <c r="AM175" s="23"/>
    </row>
    <row r="176" spans="1:39" x14ac:dyDescent="0.3">
      <c r="A176" s="13">
        <f t="shared" si="67"/>
        <v>171</v>
      </c>
      <c r="B176" s="1">
        <v>45408</v>
      </c>
      <c r="C176" s="7">
        <v>2023</v>
      </c>
      <c r="D176" s="7">
        <v>10</v>
      </c>
      <c r="E176" s="77">
        <v>17.138999999999999</v>
      </c>
      <c r="F176" s="2">
        <v>51.583259582519531</v>
      </c>
      <c r="G176" s="2">
        <v>34.303260803222663</v>
      </c>
      <c r="H176" s="2">
        <v>13.501145362854</v>
      </c>
      <c r="I176" s="2">
        <v>296.82998657226563</v>
      </c>
      <c r="J176" s="2">
        <v>13.310000419616699</v>
      </c>
      <c r="K176" s="2">
        <v>357.56503295898438</v>
      </c>
      <c r="L176" s="2">
        <v>174.6300048828125</v>
      </c>
      <c r="M176" s="2">
        <v>147.05000305175781</v>
      </c>
      <c r="N176" s="12">
        <f t="shared" si="68"/>
        <v>1.8011650675324731E-3</v>
      </c>
      <c r="O176" s="12">
        <f t="shared" si="69"/>
        <v>1.4237813695454626E-3</v>
      </c>
      <c r="P176" s="12">
        <f t="shared" si="70"/>
        <v>-8.7082152363557874E-3</v>
      </c>
      <c r="Q176" s="12">
        <f t="shared" si="71"/>
        <v>-3.37251075451801E-2</v>
      </c>
      <c r="R176" s="12">
        <f t="shared" si="72"/>
        <v>-1.5003378997612282E-3</v>
      </c>
      <c r="S176" s="12">
        <f t="shared" si="73"/>
        <v>0</v>
      </c>
      <c r="T176" s="12">
        <f t="shared" si="74"/>
        <v>-2.8784312226843078E-2</v>
      </c>
      <c r="U176" s="12">
        <f t="shared" si="75"/>
        <v>-2.2403097825384521E-2</v>
      </c>
      <c r="V176" s="19">
        <f t="shared" si="76"/>
        <v>47.546219939584596</v>
      </c>
      <c r="W176" s="19">
        <f t="shared" si="77"/>
        <v>32.41251491309211</v>
      </c>
      <c r="X176" s="19">
        <f t="shared" si="78"/>
        <v>11.51989570971265</v>
      </c>
      <c r="Y176" s="19">
        <f t="shared" si="79"/>
        <v>256.4493505598353</v>
      </c>
      <c r="Z176" s="19">
        <f t="shared" si="80"/>
        <v>15.536655161266848</v>
      </c>
      <c r="AA176" s="19">
        <f t="shared" si="81"/>
        <v>487.20687866210938</v>
      </c>
      <c r="AB176" s="19">
        <f t="shared" si="82"/>
        <v>4436.1577679538241</v>
      </c>
      <c r="AC176" s="19">
        <f t="shared" si="83"/>
        <v>8219.466188166969</v>
      </c>
      <c r="AD176" s="21">
        <f t="shared" si="84"/>
        <v>1709.6923707934764</v>
      </c>
      <c r="AE176" s="21">
        <f t="shared" si="85"/>
        <v>1313.3576097948599</v>
      </c>
      <c r="AF176" s="21">
        <f t="shared" si="86"/>
        <v>-8986.4706637963336</v>
      </c>
      <c r="AG176" s="21">
        <f t="shared" si="87"/>
        <v>-34012.444679266504</v>
      </c>
      <c r="AH176" s="21">
        <f t="shared" si="88"/>
        <v>-1043.5330482383306</v>
      </c>
      <c r="AI176" s="21">
        <f t="shared" si="89"/>
        <v>0</v>
      </c>
      <c r="AJ176" s="21">
        <f t="shared" si="90"/>
        <v>-39442.860701651807</v>
      </c>
      <c r="AK176" s="21">
        <f t="shared" si="91"/>
        <v>-37672.276717802742</v>
      </c>
      <c r="AL176" s="23">
        <f t="shared" si="92"/>
        <v>-118134.53583016738</v>
      </c>
      <c r="AM176" s="23"/>
    </row>
    <row r="177" spans="1:39" x14ac:dyDescent="0.3">
      <c r="A177" s="13">
        <f t="shared" si="67"/>
        <v>172</v>
      </c>
      <c r="B177" s="1">
        <v>45407</v>
      </c>
      <c r="C177" s="7">
        <v>2023</v>
      </c>
      <c r="D177" s="7">
        <v>10</v>
      </c>
      <c r="E177" s="77">
        <v>17.195</v>
      </c>
      <c r="F177" s="2">
        <v>51.490516662597663</v>
      </c>
      <c r="G177" s="2">
        <v>34.254489898681641</v>
      </c>
      <c r="H177" s="2">
        <v>13.619749069213871</v>
      </c>
      <c r="I177" s="2">
        <v>307.19000244140619</v>
      </c>
      <c r="J177" s="2">
        <v>13.329999923706049</v>
      </c>
      <c r="K177" s="2">
        <v>357.56503295898438</v>
      </c>
      <c r="L177" s="2">
        <v>179.2200012207031</v>
      </c>
      <c r="M177" s="2">
        <v>149.92999267578119</v>
      </c>
      <c r="N177" s="12">
        <f t="shared" si="68"/>
        <v>5.2494730381653643E-3</v>
      </c>
      <c r="O177" s="12">
        <f t="shared" si="69"/>
        <v>2.4205376491136521E-2</v>
      </c>
      <c r="P177" s="12">
        <f t="shared" si="70"/>
        <v>-7.9193661506105073E-3</v>
      </c>
      <c r="Q177" s="12">
        <f t="shared" si="71"/>
        <v>1.0559876765128706E-2</v>
      </c>
      <c r="R177" s="12">
        <f t="shared" si="72"/>
        <v>4.6310844834191567E-2</v>
      </c>
      <c r="S177" s="12">
        <f t="shared" si="73"/>
        <v>-0.14154694141015078</v>
      </c>
      <c r="T177" s="12">
        <f t="shared" si="74"/>
        <v>-3.283232311565909E-3</v>
      </c>
      <c r="U177" s="12">
        <f t="shared" si="75"/>
        <v>-2.7626801253504696E-2</v>
      </c>
      <c r="V177" s="19">
        <f t="shared" si="76"/>
        <v>47.709879171484246</v>
      </c>
      <c r="W177" s="19">
        <f t="shared" si="77"/>
        <v>33.149873866773788</v>
      </c>
      <c r="X177" s="19">
        <f t="shared" si="78"/>
        <v>11.529062999645003</v>
      </c>
      <c r="Y177" s="19">
        <f t="shared" si="79"/>
        <v>268.20258512549714</v>
      </c>
      <c r="Z177" s="19">
        <f t="shared" si="80"/>
        <v>16.280597184669524</v>
      </c>
      <c r="AA177" s="19">
        <f t="shared" si="81"/>
        <v>418.24423515350134</v>
      </c>
      <c r="AB177" s="19">
        <f t="shared" si="82"/>
        <v>4552.6373668539927</v>
      </c>
      <c r="AC177" s="19">
        <f t="shared" si="83"/>
        <v>8175.5461904573431</v>
      </c>
      <c r="AD177" s="21">
        <f t="shared" si="84"/>
        <v>4982.8770087864887</v>
      </c>
      <c r="AE177" s="21">
        <f t="shared" si="85"/>
        <v>22328.087789722682</v>
      </c>
      <c r="AF177" s="21">
        <f t="shared" si="86"/>
        <v>-8172.415317803353</v>
      </c>
      <c r="AG177" s="21">
        <f t="shared" si="87"/>
        <v>10649.846670248497</v>
      </c>
      <c r="AH177" s="21">
        <f t="shared" si="88"/>
        <v>32210.675397861283</v>
      </c>
      <c r="AI177" s="21">
        <f t="shared" si="89"/>
        <v>-241369.25228012813</v>
      </c>
      <c r="AJ177" s="21">
        <f t="shared" si="90"/>
        <v>-4498.9810316012154</v>
      </c>
      <c r="AK177" s="21">
        <f t="shared" si="91"/>
        <v>-46456.276259727929</v>
      </c>
      <c r="AL177" s="23">
        <f t="shared" si="92"/>
        <v>-230325.43802264167</v>
      </c>
      <c r="AM177" s="23"/>
    </row>
    <row r="178" spans="1:39" x14ac:dyDescent="0.3">
      <c r="A178" s="13">
        <f t="shared" si="67"/>
        <v>173</v>
      </c>
      <c r="B178" s="1">
        <v>45406</v>
      </c>
      <c r="C178" s="7">
        <v>2023</v>
      </c>
      <c r="D178" s="7">
        <v>10</v>
      </c>
      <c r="E178" s="77">
        <v>17.055599999999998</v>
      </c>
      <c r="F178" s="2">
        <v>51.221630096435547</v>
      </c>
      <c r="G178" s="2">
        <v>33.444942474365227</v>
      </c>
      <c r="H178" s="2">
        <v>13.728469848632811</v>
      </c>
      <c r="I178" s="2">
        <v>303.98001098632813</v>
      </c>
      <c r="J178" s="2">
        <v>12.739999771118161</v>
      </c>
      <c r="K178" s="2">
        <v>416.52252197265619</v>
      </c>
      <c r="L178" s="2">
        <v>181.2799987792969</v>
      </c>
      <c r="M178" s="2">
        <v>155.44999694824219</v>
      </c>
      <c r="N178" s="12">
        <f t="shared" si="68"/>
        <v>-7.1890098332884067E-3</v>
      </c>
      <c r="O178" s="12">
        <f t="shared" si="69"/>
        <v>-2.9436851614520365E-2</v>
      </c>
      <c r="P178" s="12">
        <f t="shared" si="70"/>
        <v>-3.2055771620378648E-2</v>
      </c>
      <c r="Q178" s="12">
        <f t="shared" si="71"/>
        <v>1.4111796451469871E-2</v>
      </c>
      <c r="R178" s="12">
        <f t="shared" si="72"/>
        <v>5.9019123350521729E-2</v>
      </c>
      <c r="S178" s="12">
        <f t="shared" si="73"/>
        <v>0</v>
      </c>
      <c r="T178" s="12">
        <f t="shared" si="74"/>
        <v>-4.3212057084091038E-3</v>
      </c>
      <c r="U178" s="12">
        <f t="shared" si="75"/>
        <v>-3.7550760273460382E-3</v>
      </c>
      <c r="V178" s="19">
        <f t="shared" si="76"/>
        <v>47.11953962812683</v>
      </c>
      <c r="W178" s="19">
        <f t="shared" si="77"/>
        <v>31.413666328274672</v>
      </c>
      <c r="X178" s="19">
        <f t="shared" si="78"/>
        <v>11.248571545874544</v>
      </c>
      <c r="Y178" s="19">
        <f t="shared" si="79"/>
        <v>269.1452645885729</v>
      </c>
      <c r="Z178" s="19">
        <f t="shared" si="80"/>
        <v>16.478338003716228</v>
      </c>
      <c r="AA178" s="19">
        <f t="shared" si="81"/>
        <v>487.20687866210938</v>
      </c>
      <c r="AB178" s="19">
        <f t="shared" si="82"/>
        <v>4547.8962843063118</v>
      </c>
      <c r="AC178" s="19">
        <f t="shared" si="83"/>
        <v>8376.2555399992234</v>
      </c>
      <c r="AD178" s="21">
        <f t="shared" si="84"/>
        <v>-6823.9138583618342</v>
      </c>
      <c r="AE178" s="21">
        <f t="shared" si="85"/>
        <v>-27153.827057502116</v>
      </c>
      <c r="AF178" s="21">
        <f t="shared" si="86"/>
        <v>-33080.056412620113</v>
      </c>
      <c r="AG178" s="21">
        <f t="shared" si="87"/>
        <v>14232.028629936394</v>
      </c>
      <c r="AH178" s="21">
        <f t="shared" si="88"/>
        <v>41049.690009248945</v>
      </c>
      <c r="AI178" s="21">
        <f t="shared" si="89"/>
        <v>0</v>
      </c>
      <c r="AJ178" s="21">
        <f t="shared" si="90"/>
        <v>-5921.3057959054822</v>
      </c>
      <c r="AK178" s="21">
        <f t="shared" si="91"/>
        <v>-6314.4063513518631</v>
      </c>
      <c r="AL178" s="23">
        <f t="shared" si="92"/>
        <v>-24011.790836556076</v>
      </c>
      <c r="AM178" s="23"/>
    </row>
    <row r="179" spans="1:39" x14ac:dyDescent="0.3">
      <c r="A179" s="13">
        <f t="shared" si="67"/>
        <v>174</v>
      </c>
      <c r="B179" s="1">
        <v>45405</v>
      </c>
      <c r="C179" s="7">
        <v>2023</v>
      </c>
      <c r="D179" s="7">
        <v>10</v>
      </c>
      <c r="E179" s="77">
        <v>16.939</v>
      </c>
      <c r="F179" s="2">
        <v>51.592529296875</v>
      </c>
      <c r="G179" s="2">
        <v>34.459316253662109</v>
      </c>
      <c r="H179" s="2">
        <v>14.183120727539061</v>
      </c>
      <c r="I179" s="2">
        <v>299.75</v>
      </c>
      <c r="J179" s="2">
        <v>12.02999973297119</v>
      </c>
      <c r="K179" s="2">
        <v>416.52252197265619</v>
      </c>
      <c r="L179" s="2">
        <v>183.32000732421881</v>
      </c>
      <c r="M179" s="2">
        <v>157.11000061035159</v>
      </c>
      <c r="N179" s="12">
        <f t="shared" si="68"/>
        <v>-2.3308771513107507E-3</v>
      </c>
      <c r="O179" s="12">
        <f t="shared" si="69"/>
        <v>-1.0086955568827327E-2</v>
      </c>
      <c r="P179" s="12">
        <f t="shared" si="70"/>
        <v>2.0625906862622001E-2</v>
      </c>
      <c r="Q179" s="12">
        <f t="shared" si="71"/>
        <v>-2.3647469250814956E-2</v>
      </c>
      <c r="R179" s="12">
        <f t="shared" si="72"/>
        <v>-8.3058379680434058E-4</v>
      </c>
      <c r="S179" s="12">
        <f t="shared" si="73"/>
        <v>0</v>
      </c>
      <c r="T179" s="12">
        <f t="shared" si="74"/>
        <v>-1.2863519936322843E-2</v>
      </c>
      <c r="U179" s="12">
        <f t="shared" si="75"/>
        <v>-3.8005900188602393E-2</v>
      </c>
      <c r="V179" s="19">
        <f t="shared" si="76"/>
        <v>47.350110177500689</v>
      </c>
      <c r="W179" s="19">
        <f t="shared" si="77"/>
        <v>32.039953426520015</v>
      </c>
      <c r="X179" s="19">
        <f t="shared" si="78"/>
        <v>11.860790320674017</v>
      </c>
      <c r="Y179" s="19">
        <f t="shared" si="79"/>
        <v>259.1239557016508</v>
      </c>
      <c r="Z179" s="19">
        <f t="shared" si="80"/>
        <v>15.547076535389897</v>
      </c>
      <c r="AA179" s="19">
        <f t="shared" si="81"/>
        <v>487.20687866210938</v>
      </c>
      <c r="AB179" s="19">
        <f t="shared" si="82"/>
        <v>4508.8781196539785</v>
      </c>
      <c r="AC179" s="19">
        <f t="shared" si="83"/>
        <v>8088.2805162608456</v>
      </c>
      <c r="AD179" s="21">
        <f t="shared" si="84"/>
        <v>-2212.502870884663</v>
      </c>
      <c r="AE179" s="21">
        <f t="shared" si="85"/>
        <v>-9304.6447575098664</v>
      </c>
      <c r="AF179" s="21">
        <f t="shared" si="86"/>
        <v>21284.970789573083</v>
      </c>
      <c r="AG179" s="21">
        <f t="shared" si="87"/>
        <v>-23848.945140367585</v>
      </c>
      <c r="AH179" s="21">
        <f t="shared" si="88"/>
        <v>-577.69762493808003</v>
      </c>
      <c r="AI179" s="21">
        <f t="shared" si="89"/>
        <v>0</v>
      </c>
      <c r="AJ179" s="21">
        <f t="shared" si="90"/>
        <v>-17626.75519160548</v>
      </c>
      <c r="AK179" s="21">
        <f t="shared" si="91"/>
        <v>-63909.41109902742</v>
      </c>
      <c r="AL179" s="23">
        <f t="shared" si="92"/>
        <v>-96194.985894760015</v>
      </c>
      <c r="AM179" s="23"/>
    </row>
    <row r="180" spans="1:39" x14ac:dyDescent="0.3">
      <c r="A180" s="13">
        <f t="shared" si="67"/>
        <v>175</v>
      </c>
      <c r="B180" s="1">
        <v>45404</v>
      </c>
      <c r="C180" s="7">
        <v>2023</v>
      </c>
      <c r="D180" s="7">
        <v>10</v>
      </c>
      <c r="E180" s="77">
        <v>17.131699999999999</v>
      </c>
      <c r="F180" s="2">
        <v>51.713066101074219</v>
      </c>
      <c r="G180" s="2">
        <v>34.810447692871087</v>
      </c>
      <c r="H180" s="2">
        <v>13.896492958068849</v>
      </c>
      <c r="I180" s="2">
        <v>307.010009765625</v>
      </c>
      <c r="J180" s="2">
        <v>12.039999961853029</v>
      </c>
      <c r="K180" s="2">
        <v>416.52252197265619</v>
      </c>
      <c r="L180" s="2">
        <v>183.6199951171875</v>
      </c>
      <c r="M180" s="2">
        <v>161.47999572753909</v>
      </c>
      <c r="N180" s="12">
        <f t="shared" si="68"/>
        <v>-1.0292866000732537E-2</v>
      </c>
      <c r="O180" s="12">
        <f t="shared" si="69"/>
        <v>-1.5991015399015374E-2</v>
      </c>
      <c r="P180" s="12">
        <f t="shared" si="70"/>
        <v>-1.4025220577712383E-2</v>
      </c>
      <c r="Q180" s="12">
        <f t="shared" si="71"/>
        <v>-5.9693691376339952E-2</v>
      </c>
      <c r="R180" s="12">
        <f t="shared" si="72"/>
        <v>2.5553679436425947E-2</v>
      </c>
      <c r="S180" s="12">
        <f t="shared" si="73"/>
        <v>0</v>
      </c>
      <c r="T180" s="12">
        <f t="shared" si="74"/>
        <v>-1.0614990529185797E-2</v>
      </c>
      <c r="U180" s="12">
        <f t="shared" si="75"/>
        <v>-5.3201881678427543E-2</v>
      </c>
      <c r="V180" s="19">
        <f t="shared" si="76"/>
        <v>46.972228332089173</v>
      </c>
      <c r="W180" s="19">
        <f t="shared" si="77"/>
        <v>31.848860074380873</v>
      </c>
      <c r="X180" s="19">
        <f t="shared" si="78"/>
        <v>11.458106287100803</v>
      </c>
      <c r="Y180" s="19">
        <f t="shared" si="79"/>
        <v>249.55728856954514</v>
      </c>
      <c r="Z180" s="19">
        <f t="shared" si="80"/>
        <v>15.957615682370237</v>
      </c>
      <c r="AA180" s="19">
        <f t="shared" si="81"/>
        <v>487.20687866210938</v>
      </c>
      <c r="AB180" s="19">
        <f t="shared" si="82"/>
        <v>4519.1485789572198</v>
      </c>
      <c r="AC180" s="19">
        <f t="shared" si="83"/>
        <v>7960.5153241108001</v>
      </c>
      <c r="AD180" s="21">
        <f t="shared" si="84"/>
        <v>-9770.1397791149702</v>
      </c>
      <c r="AE180" s="21">
        <f t="shared" si="85"/>
        <v>-14750.805293475394</v>
      </c>
      <c r="AF180" s="21">
        <f t="shared" si="86"/>
        <v>-14473.371391728342</v>
      </c>
      <c r="AG180" s="21">
        <f t="shared" si="87"/>
        <v>-60202.28024236911</v>
      </c>
      <c r="AH180" s="21">
        <f t="shared" si="88"/>
        <v>17773.402245083154</v>
      </c>
      <c r="AI180" s="21">
        <f t="shared" si="89"/>
        <v>0</v>
      </c>
      <c r="AJ180" s="21">
        <f t="shared" si="90"/>
        <v>-14545.617400633091</v>
      </c>
      <c r="AK180" s="21">
        <f t="shared" si="91"/>
        <v>-89462.44952903653</v>
      </c>
      <c r="AL180" s="23">
        <f t="shared" si="92"/>
        <v>-185431.26139127428</v>
      </c>
      <c r="AM180" s="23"/>
    </row>
    <row r="181" spans="1:39" x14ac:dyDescent="0.3">
      <c r="A181" s="13">
        <f t="shared" si="67"/>
        <v>176</v>
      </c>
      <c r="B181" s="1">
        <v>45401</v>
      </c>
      <c r="C181" s="7">
        <v>2023</v>
      </c>
      <c r="D181" s="7">
        <v>10</v>
      </c>
      <c r="E181" s="77">
        <v>17.082000000000001</v>
      </c>
      <c r="F181" s="2">
        <v>52.250877380371087</v>
      </c>
      <c r="G181" s="2">
        <v>35.376148223876953</v>
      </c>
      <c r="H181" s="2">
        <v>14.09416675567627</v>
      </c>
      <c r="I181" s="2">
        <v>326.5</v>
      </c>
      <c r="J181" s="2">
        <v>11.739999771118161</v>
      </c>
      <c r="K181" s="2">
        <v>416.52252197265619</v>
      </c>
      <c r="L181" s="2">
        <v>186.1300048828125</v>
      </c>
      <c r="M181" s="2">
        <v>171.05000305175781</v>
      </c>
      <c r="N181" s="12">
        <f t="shared" si="68"/>
        <v>-4.2410388444205083E-3</v>
      </c>
      <c r="O181" s="12">
        <f t="shared" si="69"/>
        <v>-1.999471195364777E-2</v>
      </c>
      <c r="P181" s="12">
        <f t="shared" si="70"/>
        <v>-6.2718194092553636E-3</v>
      </c>
      <c r="Q181" s="12">
        <f t="shared" si="71"/>
        <v>2.7408009128288668E-2</v>
      </c>
      <c r="R181" s="12">
        <f t="shared" si="72"/>
        <v>-4.8622396600530027E-2</v>
      </c>
      <c r="S181" s="12">
        <f t="shared" si="73"/>
        <v>0</v>
      </c>
      <c r="T181" s="12">
        <f t="shared" si="74"/>
        <v>-1.5042015321809155E-2</v>
      </c>
      <c r="U181" s="12">
        <f t="shared" si="75"/>
        <v>-1.993058386046509E-2</v>
      </c>
      <c r="V181" s="19">
        <f t="shared" si="76"/>
        <v>47.259452498963611</v>
      </c>
      <c r="W181" s="19">
        <f t="shared" si="77"/>
        <v>31.719274701336261</v>
      </c>
      <c r="X181" s="19">
        <f t="shared" si="78"/>
        <v>11.54820929635502</v>
      </c>
      <c r="Y181" s="19">
        <f t="shared" si="79"/>
        <v>272.67407935184696</v>
      </c>
      <c r="Z181" s="19">
        <f t="shared" si="80"/>
        <v>14.803435908109682</v>
      </c>
      <c r="AA181" s="19">
        <f t="shared" si="81"/>
        <v>487.20687866210938</v>
      </c>
      <c r="AB181" s="19">
        <f t="shared" si="82"/>
        <v>4498.927550127105</v>
      </c>
      <c r="AC181" s="19">
        <f t="shared" si="83"/>
        <v>8240.2546592527688</v>
      </c>
      <c r="AD181" s="21">
        <f t="shared" si="84"/>
        <v>-4025.6564416262108</v>
      </c>
      <c r="AE181" s="21">
        <f t="shared" si="85"/>
        <v>-18443.988425246855</v>
      </c>
      <c r="AF181" s="21">
        <f t="shared" si="86"/>
        <v>-6472.2241699537944</v>
      </c>
      <c r="AG181" s="21">
        <f t="shared" si="87"/>
        <v>27641.524730377809</v>
      </c>
      <c r="AH181" s="21">
        <f t="shared" si="88"/>
        <v>-33818.433664363671</v>
      </c>
      <c r="AI181" s="21">
        <f t="shared" si="89"/>
        <v>0</v>
      </c>
      <c r="AJ181" s="21">
        <f t="shared" si="90"/>
        <v>-20611.926049667545</v>
      </c>
      <c r="AK181" s="21">
        <f t="shared" si="91"/>
        <v>-33514.582500642791</v>
      </c>
      <c r="AL181" s="23">
        <f t="shared" si="92"/>
        <v>-89245.286521123053</v>
      </c>
      <c r="AM181" s="23"/>
    </row>
    <row r="182" spans="1:39" x14ac:dyDescent="0.3">
      <c r="A182" s="13">
        <f t="shared" si="67"/>
        <v>177</v>
      </c>
      <c r="B182" s="1">
        <v>45400</v>
      </c>
      <c r="C182" s="7">
        <v>2023</v>
      </c>
      <c r="D182" s="7">
        <v>10</v>
      </c>
      <c r="E182" s="77">
        <v>17.074999999999999</v>
      </c>
      <c r="F182" s="2">
        <v>52.473419189453118</v>
      </c>
      <c r="G182" s="2">
        <v>36.097915649414063</v>
      </c>
      <c r="H182" s="2">
        <v>14.183120727539061</v>
      </c>
      <c r="I182" s="2">
        <v>317.79000854492188</v>
      </c>
      <c r="J182" s="2">
        <v>12.340000152587891</v>
      </c>
      <c r="K182" s="2">
        <v>416.52252197265619</v>
      </c>
      <c r="L182" s="2">
        <v>189.05000305175781</v>
      </c>
      <c r="M182" s="2">
        <v>174.6000061035156</v>
      </c>
      <c r="N182" s="12">
        <f t="shared" si="68"/>
        <v>3.902828140035286E-3</v>
      </c>
      <c r="O182" s="12">
        <f t="shared" si="69"/>
        <v>4.0696066782548446E-3</v>
      </c>
      <c r="P182" s="12">
        <f t="shared" si="70"/>
        <v>1.6288963456435157E-2</v>
      </c>
      <c r="Q182" s="12">
        <f t="shared" si="71"/>
        <v>2.5553584785151795E-3</v>
      </c>
      <c r="R182" s="12">
        <f t="shared" si="72"/>
        <v>-2.5276437494557435E-2</v>
      </c>
      <c r="S182" s="12">
        <f t="shared" si="73"/>
        <v>0</v>
      </c>
      <c r="T182" s="12">
        <f t="shared" si="74"/>
        <v>2.3745970391661153E-2</v>
      </c>
      <c r="U182" s="12">
        <f t="shared" si="75"/>
        <v>2.360860749074245E-2</v>
      </c>
      <c r="V182" s="19">
        <f t="shared" si="76"/>
        <v>47.645966414402665</v>
      </c>
      <c r="W182" s="19">
        <f t="shared" si="77"/>
        <v>32.498150838532879</v>
      </c>
      <c r="X182" s="19">
        <f t="shared" si="78"/>
        <v>11.810390290626243</v>
      </c>
      <c r="Y182" s="19">
        <f t="shared" si="79"/>
        <v>266.07818602108563</v>
      </c>
      <c r="Z182" s="19">
        <f t="shared" si="80"/>
        <v>15.166699041594971</v>
      </c>
      <c r="AA182" s="19">
        <f t="shared" si="81"/>
        <v>487.20687866210938</v>
      </c>
      <c r="AB182" s="19">
        <f t="shared" si="82"/>
        <v>4676.0968713111788</v>
      </c>
      <c r="AC182" s="19">
        <f t="shared" si="83"/>
        <v>8606.3246727474125</v>
      </c>
      <c r="AD182" s="21">
        <f t="shared" si="84"/>
        <v>3704.6218671548559</v>
      </c>
      <c r="AE182" s="21">
        <f t="shared" si="85"/>
        <v>3753.9814848567835</v>
      </c>
      <c r="AF182" s="21">
        <f t="shared" si="86"/>
        <v>16809.448121330766</v>
      </c>
      <c r="AG182" s="21">
        <f t="shared" si="87"/>
        <v>2577.1300734847614</v>
      </c>
      <c r="AH182" s="21">
        <f t="shared" si="88"/>
        <v>-17580.571597571274</v>
      </c>
      <c r="AI182" s="21">
        <f t="shared" si="89"/>
        <v>0</v>
      </c>
      <c r="AJ182" s="21">
        <f t="shared" si="90"/>
        <v>32538.87030555461</v>
      </c>
      <c r="AK182" s="21">
        <f t="shared" si="91"/>
        <v>39699.420198285952</v>
      </c>
      <c r="AL182" s="23">
        <f t="shared" si="92"/>
        <v>81502.900453096459</v>
      </c>
      <c r="AM182" s="23"/>
    </row>
    <row r="183" spans="1:39" x14ac:dyDescent="0.3">
      <c r="A183" s="13">
        <f t="shared" si="67"/>
        <v>178</v>
      </c>
      <c r="B183" s="1">
        <v>45399</v>
      </c>
      <c r="C183" s="7">
        <v>2023</v>
      </c>
      <c r="D183" s="7">
        <v>10</v>
      </c>
      <c r="E183" s="77">
        <v>16.957000000000001</v>
      </c>
      <c r="F183" s="2">
        <v>52.269420623779297</v>
      </c>
      <c r="G183" s="2">
        <v>35.951606750488281</v>
      </c>
      <c r="H183" s="2">
        <v>13.955795288085939</v>
      </c>
      <c r="I183" s="2">
        <v>316.98001098632813</v>
      </c>
      <c r="J183" s="2">
        <v>12.659999847412109</v>
      </c>
      <c r="K183" s="2">
        <v>416.52252197265619</v>
      </c>
      <c r="L183" s="2">
        <v>185.94999694824219</v>
      </c>
      <c r="M183" s="2">
        <v>171.75999450683591</v>
      </c>
      <c r="N183" s="12">
        <f t="shared" si="68"/>
        <v>-1.6402086169115648E-2</v>
      </c>
      <c r="O183" s="12">
        <f t="shared" si="69"/>
        <v>-2.5125685318841517E-2</v>
      </c>
      <c r="P183" s="12">
        <f t="shared" si="70"/>
        <v>-1.8763022985495703E-2</v>
      </c>
      <c r="Q183" s="12">
        <f t="shared" si="71"/>
        <v>-3.0256628869571478E-2</v>
      </c>
      <c r="R183" s="12">
        <f t="shared" si="72"/>
        <v>1.1990376961302118E-2</v>
      </c>
      <c r="S183" s="12">
        <f t="shared" si="73"/>
        <v>0</v>
      </c>
      <c r="T183" s="12">
        <f t="shared" si="74"/>
        <v>-4.1299521975231013E-3</v>
      </c>
      <c r="U183" s="12">
        <f t="shared" si="75"/>
        <v>-3.4412790998796017E-2</v>
      </c>
      <c r="V183" s="19">
        <f t="shared" si="76"/>
        <v>46.682280250659552</v>
      </c>
      <c r="W183" s="19">
        <f t="shared" si="77"/>
        <v>31.553203399843323</v>
      </c>
      <c r="X183" s="19">
        <f t="shared" si="78"/>
        <v>11.403047836632656</v>
      </c>
      <c r="Y183" s="19">
        <f t="shared" si="79"/>
        <v>257.36988477917191</v>
      </c>
      <c r="Z183" s="19">
        <f t="shared" si="80"/>
        <v>15.746570690165923</v>
      </c>
      <c r="AA183" s="19">
        <f t="shared" si="81"/>
        <v>487.20687866210938</v>
      </c>
      <c r="AB183" s="19">
        <f t="shared" si="82"/>
        <v>4548.769860339572</v>
      </c>
      <c r="AC183" s="19">
        <f t="shared" si="83"/>
        <v>8118.4907587752296</v>
      </c>
      <c r="AD183" s="21">
        <f t="shared" si="84"/>
        <v>-15569.101407707392</v>
      </c>
      <c r="AE183" s="21">
        <f t="shared" si="85"/>
        <v>-23177.02051779558</v>
      </c>
      <c r="AF183" s="21">
        <f t="shared" si="86"/>
        <v>-19362.561793299799</v>
      </c>
      <c r="AG183" s="21">
        <f t="shared" si="87"/>
        <v>-30514.414645787361</v>
      </c>
      <c r="AH183" s="21">
        <f t="shared" si="88"/>
        <v>8339.6910935502947</v>
      </c>
      <c r="AI183" s="21">
        <f t="shared" si="89"/>
        <v>0</v>
      </c>
      <c r="AJ183" s="21">
        <f t="shared" si="90"/>
        <v>-5659.2329859274287</v>
      </c>
      <c r="AK183" s="21">
        <f t="shared" si="91"/>
        <v>-57867.362596150633</v>
      </c>
      <c r="AL183" s="23">
        <f t="shared" si="92"/>
        <v>-143810.00285311788</v>
      </c>
      <c r="AM183" s="23"/>
    </row>
    <row r="184" spans="1:39" x14ac:dyDescent="0.3">
      <c r="A184" s="13">
        <f t="shared" si="67"/>
        <v>179</v>
      </c>
      <c r="B184" s="1">
        <v>45398</v>
      </c>
      <c r="C184" s="7">
        <v>2023</v>
      </c>
      <c r="D184" s="7">
        <v>10</v>
      </c>
      <c r="E184" s="77">
        <v>17.053000000000001</v>
      </c>
      <c r="F184" s="2">
        <v>53.141044616699219</v>
      </c>
      <c r="G184" s="2">
        <v>36.878196716308587</v>
      </c>
      <c r="H184" s="2">
        <v>14.22265529632568</v>
      </c>
      <c r="I184" s="2">
        <v>326.8699951171875</v>
      </c>
      <c r="J184" s="2">
        <v>12.510000228881839</v>
      </c>
      <c r="K184" s="2">
        <v>416.52252197265619</v>
      </c>
      <c r="L184" s="2">
        <v>185.66999816894531</v>
      </c>
      <c r="M184" s="2">
        <v>176.8800048828125</v>
      </c>
      <c r="N184" s="12">
        <f t="shared" si="68"/>
        <v>-6.7590918051920745E-3</v>
      </c>
      <c r="O184" s="12">
        <f t="shared" si="69"/>
        <v>-1.4594852782434331E-2</v>
      </c>
      <c r="P184" s="12">
        <f t="shared" si="70"/>
        <v>-7.5862065753027341E-3</v>
      </c>
      <c r="Q184" s="12">
        <f t="shared" si="71"/>
        <v>2.7311592939349927E-2</v>
      </c>
      <c r="R184" s="12">
        <f t="shared" si="72"/>
        <v>-2.0360236457451331E-2</v>
      </c>
      <c r="S184" s="12">
        <f t="shared" si="73"/>
        <v>3.5928649308525351E-4</v>
      </c>
      <c r="T184" s="12">
        <f t="shared" si="74"/>
        <v>2.2376357877590625E-2</v>
      </c>
      <c r="U184" s="12">
        <f t="shared" si="75"/>
        <v>4.2724221257208317E-2</v>
      </c>
      <c r="V184" s="19">
        <f t="shared" si="76"/>
        <v>47.139943853868054</v>
      </c>
      <c r="W184" s="19">
        <f t="shared" si="77"/>
        <v>31.894048877036575</v>
      </c>
      <c r="X184" s="19">
        <f t="shared" si="78"/>
        <v>11.532934678621091</v>
      </c>
      <c r="Y184" s="19">
        <f t="shared" si="79"/>
        <v>272.64849049589111</v>
      </c>
      <c r="Z184" s="19">
        <f t="shared" si="80"/>
        <v>15.243195131795261</v>
      </c>
      <c r="AA184" s="19">
        <f t="shared" si="81"/>
        <v>487.38192551295089</v>
      </c>
      <c r="AB184" s="19">
        <f t="shared" si="82"/>
        <v>4669.8409826657726</v>
      </c>
      <c r="AC184" s="19">
        <f t="shared" si="83"/>
        <v>8767.0454572241415</v>
      </c>
      <c r="AD184" s="21">
        <f t="shared" si="84"/>
        <v>-6415.8293435373535</v>
      </c>
      <c r="AE184" s="21">
        <f t="shared" si="85"/>
        <v>-13462.924417787903</v>
      </c>
      <c r="AF184" s="21">
        <f t="shared" si="86"/>
        <v>-7828.6102247267409</v>
      </c>
      <c r="AG184" s="21">
        <f t="shared" si="87"/>
        <v>27544.287077745594</v>
      </c>
      <c r="AH184" s="21">
        <f t="shared" si="88"/>
        <v>-14161.196365618289</v>
      </c>
      <c r="AI184" s="21">
        <f t="shared" si="89"/>
        <v>612.66397794528871</v>
      </c>
      <c r="AJ184" s="21">
        <f t="shared" si="90"/>
        <v>30662.103711932741</v>
      </c>
      <c r="AK184" s="21">
        <f t="shared" si="91"/>
        <v>71843.577093631757</v>
      </c>
      <c r="AL184" s="23">
        <f t="shared" si="92"/>
        <v>88794.07150958509</v>
      </c>
      <c r="AM184" s="23"/>
    </row>
    <row r="185" spans="1:39" x14ac:dyDescent="0.3">
      <c r="A185" s="13">
        <f t="shared" si="67"/>
        <v>180</v>
      </c>
      <c r="B185" s="1">
        <v>45397</v>
      </c>
      <c r="C185" s="7">
        <v>2023</v>
      </c>
      <c r="D185" s="7">
        <v>10</v>
      </c>
      <c r="E185" s="77">
        <v>16.722999999999999</v>
      </c>
      <c r="F185" s="2">
        <v>53.502674102783203</v>
      </c>
      <c r="G185" s="2">
        <v>37.424400329589837</v>
      </c>
      <c r="H185" s="2">
        <v>14.331376075744631</v>
      </c>
      <c r="I185" s="2">
        <v>318.17999267578119</v>
      </c>
      <c r="J185" s="2">
        <v>12.77000045776367</v>
      </c>
      <c r="K185" s="2">
        <v>416.3729248046875</v>
      </c>
      <c r="L185" s="2">
        <v>185.19000244140619</v>
      </c>
      <c r="M185" s="2">
        <v>172.97999572753909</v>
      </c>
      <c r="N185" s="12">
        <f t="shared" si="68"/>
        <v>-1.0388184037166681E-3</v>
      </c>
      <c r="O185" s="12">
        <f t="shared" si="69"/>
        <v>-2.1173329044444689E-2</v>
      </c>
      <c r="P185" s="12">
        <f t="shared" si="70"/>
        <v>-6.8493684826613777E-3</v>
      </c>
      <c r="Q185" s="12">
        <f t="shared" si="71"/>
        <v>2.4767311936856107E-2</v>
      </c>
      <c r="R185" s="12">
        <f t="shared" si="72"/>
        <v>-1.844733027639589E-2</v>
      </c>
      <c r="S185" s="12">
        <f t="shared" si="73"/>
        <v>0</v>
      </c>
      <c r="T185" s="12">
        <f t="shared" si="74"/>
        <v>6.8497477050863953E-3</v>
      </c>
      <c r="U185" s="12">
        <f t="shared" si="75"/>
        <v>5.5500425675354403E-2</v>
      </c>
      <c r="V185" s="19">
        <f t="shared" si="76"/>
        <v>47.411432235739497</v>
      </c>
      <c r="W185" s="19">
        <f t="shared" si="77"/>
        <v>31.681127071189078</v>
      </c>
      <c r="X185" s="19">
        <f t="shared" si="78"/>
        <v>11.54149754387695</v>
      </c>
      <c r="Y185" s="19">
        <f t="shared" si="79"/>
        <v>271.97323833335832</v>
      </c>
      <c r="Z185" s="19">
        <f t="shared" si="80"/>
        <v>15.272959952775171</v>
      </c>
      <c r="AA185" s="19">
        <f t="shared" si="81"/>
        <v>487.20687866210938</v>
      </c>
      <c r="AB185" s="19">
        <f t="shared" si="82"/>
        <v>4598.9211105983504</v>
      </c>
      <c r="AC185" s="19">
        <f t="shared" si="83"/>
        <v>8874.4655809934211</v>
      </c>
      <c r="AD185" s="21">
        <f t="shared" si="84"/>
        <v>-986.06170610850086</v>
      </c>
      <c r="AE185" s="21">
        <f t="shared" si="85"/>
        <v>-19531.195884441564</v>
      </c>
      <c r="AF185" s="21">
        <f t="shared" si="86"/>
        <v>-7068.2277900064291</v>
      </c>
      <c r="AG185" s="21">
        <f t="shared" si="87"/>
        <v>24978.328860121008</v>
      </c>
      <c r="AH185" s="21">
        <f t="shared" si="88"/>
        <v>-12830.708867816315</v>
      </c>
      <c r="AI185" s="21">
        <f t="shared" si="89"/>
        <v>0</v>
      </c>
      <c r="AJ185" s="21">
        <f t="shared" si="90"/>
        <v>9386.1420917060968</v>
      </c>
      <c r="AK185" s="21">
        <f t="shared" si="91"/>
        <v>93327.601847487676</v>
      </c>
      <c r="AL185" s="23">
        <f t="shared" si="92"/>
        <v>87275.878550941969</v>
      </c>
      <c r="AM185" s="23"/>
    </row>
    <row r="186" spans="1:39" x14ac:dyDescent="0.3">
      <c r="A186" s="13">
        <f t="shared" si="67"/>
        <v>181</v>
      </c>
      <c r="B186" s="1">
        <v>45394</v>
      </c>
      <c r="C186" s="7">
        <v>2023</v>
      </c>
      <c r="D186" s="7">
        <v>10</v>
      </c>
      <c r="E186" s="77">
        <v>16.62</v>
      </c>
      <c r="F186" s="2">
        <v>53.558311462402337</v>
      </c>
      <c r="G186" s="2">
        <v>38.233940124511719</v>
      </c>
      <c r="H186" s="2">
        <v>14.43021392822266</v>
      </c>
      <c r="I186" s="2">
        <v>310.489990234375</v>
      </c>
      <c r="J186" s="2">
        <v>13.010000228881839</v>
      </c>
      <c r="K186" s="2">
        <v>416.3729248046875</v>
      </c>
      <c r="L186" s="2">
        <v>185.07000732421881</v>
      </c>
      <c r="M186" s="2">
        <v>164.8999938964844</v>
      </c>
      <c r="N186" s="12">
        <f t="shared" si="68"/>
        <v>2.9518522762306265E-3</v>
      </c>
      <c r="O186" s="12">
        <f t="shared" si="69"/>
        <v>1.528098059703531E-2</v>
      </c>
      <c r="P186" s="12">
        <f t="shared" si="70"/>
        <v>-7.477905472798918E-3</v>
      </c>
      <c r="Q186" s="12">
        <f t="shared" si="71"/>
        <v>6.5182341200543004E-2</v>
      </c>
      <c r="R186" s="12">
        <f t="shared" si="72"/>
        <v>2.3113010557427316E-3</v>
      </c>
      <c r="S186" s="12">
        <f t="shared" si="73"/>
        <v>0</v>
      </c>
      <c r="T186" s="12">
        <f t="shared" si="74"/>
        <v>3.978451630246127E-2</v>
      </c>
      <c r="U186" s="12">
        <f t="shared" si="75"/>
        <v>-2.5403032695772265E-2</v>
      </c>
      <c r="V186" s="19">
        <f t="shared" si="76"/>
        <v>47.600832400633927</v>
      </c>
      <c r="W186" s="19">
        <f t="shared" si="77"/>
        <v>32.861023012231165</v>
      </c>
      <c r="X186" s="19">
        <f t="shared" si="78"/>
        <v>11.534193255989798</v>
      </c>
      <c r="Y186" s="19">
        <f t="shared" si="79"/>
        <v>282.69938685326707</v>
      </c>
      <c r="Z186" s="19">
        <f t="shared" si="80"/>
        <v>15.595964265013917</v>
      </c>
      <c r="AA186" s="19">
        <f t="shared" si="81"/>
        <v>487.20687866210938</v>
      </c>
      <c r="AB186" s="19">
        <f t="shared" si="82"/>
        <v>4749.3550784474482</v>
      </c>
      <c r="AC186" s="19">
        <f t="shared" si="83"/>
        <v>8194.2432530502501</v>
      </c>
      <c r="AD186" s="21">
        <f t="shared" si="84"/>
        <v>2801.9415917800925</v>
      </c>
      <c r="AE186" s="21">
        <f t="shared" si="85"/>
        <v>14095.838435257918</v>
      </c>
      <c r="AF186" s="21">
        <f t="shared" si="86"/>
        <v>-7716.8485543855159</v>
      </c>
      <c r="AG186" s="21">
        <f t="shared" si="87"/>
        <v>65737.693235774248</v>
      </c>
      <c r="AH186" s="21">
        <f t="shared" si="88"/>
        <v>1607.5838892556335</v>
      </c>
      <c r="AI186" s="21">
        <f t="shared" si="89"/>
        <v>0</v>
      </c>
      <c r="AJ186" s="21">
        <f t="shared" si="90"/>
        <v>54516.332446435445</v>
      </c>
      <c r="AK186" s="21">
        <f t="shared" si="91"/>
        <v>-42716.863741146517</v>
      </c>
      <c r="AL186" s="23">
        <f t="shared" si="92"/>
        <v>88325.677302971308</v>
      </c>
      <c r="AM186" s="23"/>
    </row>
    <row r="187" spans="1:39" x14ac:dyDescent="0.3">
      <c r="A187" s="13">
        <f t="shared" si="67"/>
        <v>182</v>
      </c>
      <c r="B187" s="1">
        <v>45393</v>
      </c>
      <c r="C187" s="7">
        <v>2023</v>
      </c>
      <c r="D187" s="7">
        <v>10</v>
      </c>
      <c r="E187" s="77">
        <v>16.4343</v>
      </c>
      <c r="F187" s="2">
        <v>53.400680541992188</v>
      </c>
      <c r="G187" s="2">
        <v>37.658481597900391</v>
      </c>
      <c r="H187" s="2">
        <v>14.5389347076416</v>
      </c>
      <c r="I187" s="2">
        <v>291.489990234375</v>
      </c>
      <c r="J187" s="2">
        <v>12.97999954223633</v>
      </c>
      <c r="K187" s="2">
        <v>416.3729248046875</v>
      </c>
      <c r="L187" s="2">
        <v>180</v>
      </c>
      <c r="M187" s="2">
        <v>171.11000061035159</v>
      </c>
      <c r="N187" s="12">
        <f t="shared" si="68"/>
        <v>6.4662261424137668E-3</v>
      </c>
      <c r="O187" s="12">
        <f t="shared" si="69"/>
        <v>2.2239846431216792E-2</v>
      </c>
      <c r="P187" s="12">
        <f t="shared" si="70"/>
        <v>-2.7759331249083141E-2</v>
      </c>
      <c r="Q187" s="12">
        <f t="shared" si="71"/>
        <v>3.5120681521660924E-2</v>
      </c>
      <c r="R187" s="12">
        <f t="shared" si="72"/>
        <v>-8.4034078738962625E-3</v>
      </c>
      <c r="S187" s="12">
        <f t="shared" si="73"/>
        <v>-7.1999965175448044E-2</v>
      </c>
      <c r="T187" s="12">
        <f t="shared" si="74"/>
        <v>-1.1750774789290319E-2</v>
      </c>
      <c r="U187" s="12">
        <f t="shared" si="75"/>
        <v>1.7718114269423602E-2</v>
      </c>
      <c r="V187" s="19">
        <f t="shared" si="76"/>
        <v>47.767627168516043</v>
      </c>
      <c r="W187" s="19">
        <f t="shared" si="77"/>
        <v>33.086256671372105</v>
      </c>
      <c r="X187" s="19">
        <f t="shared" si="78"/>
        <v>11.29850088631806</v>
      </c>
      <c r="Y187" s="19">
        <f t="shared" si="79"/>
        <v>274.72102255797358</v>
      </c>
      <c r="Z187" s="19">
        <f t="shared" si="80"/>
        <v>15.429243389572664</v>
      </c>
      <c r="AA187" s="19">
        <f t="shared" si="81"/>
        <v>452.12800036519877</v>
      </c>
      <c r="AB187" s="19">
        <f t="shared" si="82"/>
        <v>4513.960732187842</v>
      </c>
      <c r="AC187" s="19">
        <f t="shared" si="83"/>
        <v>8556.7984214299649</v>
      </c>
      <c r="AD187" s="21">
        <f t="shared" si="84"/>
        <v>6137.8369494224216</v>
      </c>
      <c r="AE187" s="21">
        <f t="shared" si="85"/>
        <v>20514.997720774714</v>
      </c>
      <c r="AF187" s="21">
        <f t="shared" si="86"/>
        <v>-28646.330981235918</v>
      </c>
      <c r="AG187" s="21">
        <f t="shared" si="87"/>
        <v>35419.90891365899</v>
      </c>
      <c r="AH187" s="21">
        <f t="shared" si="88"/>
        <v>-5844.8392429683963</v>
      </c>
      <c r="AI187" s="21">
        <f t="shared" si="89"/>
        <v>-122776.07403918711</v>
      </c>
      <c r="AJ187" s="21">
        <f t="shared" si="90"/>
        <v>-16101.971431446418</v>
      </c>
      <c r="AK187" s="21">
        <f t="shared" si="91"/>
        <v>29794.169934796446</v>
      </c>
      <c r="AL187" s="23">
        <f t="shared" si="92"/>
        <v>-81502.302176185272</v>
      </c>
      <c r="AM187" s="23"/>
    </row>
    <row r="188" spans="1:39" x14ac:dyDescent="0.3">
      <c r="A188" s="13">
        <f t="shared" si="67"/>
        <v>183</v>
      </c>
      <c r="B188" s="1">
        <v>45392</v>
      </c>
      <c r="C188" s="7">
        <v>2023</v>
      </c>
      <c r="D188" s="7">
        <v>10</v>
      </c>
      <c r="E188" s="77">
        <v>16.41</v>
      </c>
      <c r="F188" s="2">
        <v>53.057598114013672</v>
      </c>
      <c r="G188" s="2">
        <v>36.839183807373047</v>
      </c>
      <c r="H188" s="2">
        <v>14.954049110412599</v>
      </c>
      <c r="I188" s="2">
        <v>281.60000610351563</v>
      </c>
      <c r="J188" s="2">
        <v>13.090000152587891</v>
      </c>
      <c r="K188" s="2">
        <v>448.67770385742188</v>
      </c>
      <c r="L188" s="2">
        <v>182.4100036621094</v>
      </c>
      <c r="M188" s="2">
        <v>168.3800048828125</v>
      </c>
      <c r="N188" s="12">
        <f t="shared" si="68"/>
        <v>-3.4915505984833839E-4</v>
      </c>
      <c r="O188" s="12">
        <f t="shared" si="69"/>
        <v>-3.4300922252001875E-3</v>
      </c>
      <c r="P188" s="12">
        <f t="shared" si="70"/>
        <v>8.6666902101140142E-3</v>
      </c>
      <c r="Q188" s="12">
        <f t="shared" si="71"/>
        <v>6.638390689243967E-2</v>
      </c>
      <c r="R188" s="12">
        <f t="shared" si="72"/>
        <v>2.2656246682163594E-2</v>
      </c>
      <c r="S188" s="12">
        <f t="shared" si="73"/>
        <v>0</v>
      </c>
      <c r="T188" s="12">
        <f t="shared" si="74"/>
        <v>1.1207499333693471E-2</v>
      </c>
      <c r="U188" s="12">
        <f t="shared" si="75"/>
        <v>1.2192381575035549E-2</v>
      </c>
      <c r="V188" s="19">
        <f t="shared" si="76"/>
        <v>47.444164165163457</v>
      </c>
      <c r="W188" s="19">
        <f t="shared" si="77"/>
        <v>32.255412342529226</v>
      </c>
      <c r="X188" s="19">
        <f t="shared" si="78"/>
        <v>11.721811131373462</v>
      </c>
      <c r="Y188" s="19">
        <f t="shared" si="79"/>
        <v>283.01828238056265</v>
      </c>
      <c r="Z188" s="19">
        <f t="shared" si="80"/>
        <v>15.912531627498105</v>
      </c>
      <c r="AA188" s="19">
        <f t="shared" si="81"/>
        <v>487.20687866210938</v>
      </c>
      <c r="AB188" s="19">
        <f t="shared" si="82"/>
        <v>4618.8257249712742</v>
      </c>
      <c r="AC188" s="19">
        <f t="shared" si="83"/>
        <v>8510.3390137279366</v>
      </c>
      <c r="AD188" s="21">
        <f t="shared" si="84"/>
        <v>-331.42311762929921</v>
      </c>
      <c r="AE188" s="21">
        <f t="shared" si="85"/>
        <v>-3164.0656512473379</v>
      </c>
      <c r="AF188" s="21">
        <f t="shared" si="86"/>
        <v>8943.6187796838203</v>
      </c>
      <c r="AG188" s="21">
        <f t="shared" si="87"/>
        <v>66949.496239497457</v>
      </c>
      <c r="AH188" s="21">
        <f t="shared" si="88"/>
        <v>15758.144992298819</v>
      </c>
      <c r="AI188" s="21">
        <f t="shared" si="89"/>
        <v>0</v>
      </c>
      <c r="AJ188" s="21">
        <f t="shared" si="90"/>
        <v>15357.526403583233</v>
      </c>
      <c r="AK188" s="21">
        <f t="shared" si="91"/>
        <v>20502.28839439078</v>
      </c>
      <c r="AL188" s="23">
        <f t="shared" si="92"/>
        <v>124015.58604057749</v>
      </c>
      <c r="AM188" s="23"/>
    </row>
    <row r="189" spans="1:39" x14ac:dyDescent="0.3">
      <c r="A189" s="13">
        <f t="shared" si="67"/>
        <v>184</v>
      </c>
      <c r="B189" s="1">
        <v>45391</v>
      </c>
      <c r="C189" s="7">
        <v>2023</v>
      </c>
      <c r="D189" s="7">
        <v>10</v>
      </c>
      <c r="E189" s="77">
        <v>16.3826</v>
      </c>
      <c r="F189" s="2">
        <v>53.076129913330078</v>
      </c>
      <c r="G189" s="2">
        <v>36.965980529785163</v>
      </c>
      <c r="H189" s="2">
        <v>14.82556056976318</v>
      </c>
      <c r="I189" s="2">
        <v>264.07000732421881</v>
      </c>
      <c r="J189" s="2">
        <v>12.80000019073486</v>
      </c>
      <c r="K189" s="2">
        <v>448.67770385742188</v>
      </c>
      <c r="L189" s="2">
        <v>180.69000244140619</v>
      </c>
      <c r="M189" s="2">
        <v>166.6300048828125</v>
      </c>
      <c r="N189" s="12">
        <f t="shared" si="68"/>
        <v>-1.7441653150163106E-3</v>
      </c>
      <c r="O189" s="12">
        <f t="shared" si="69"/>
        <v>-2.8939546958464124E-3</v>
      </c>
      <c r="P189" s="12">
        <f t="shared" si="70"/>
        <v>-5.3051324558719415E-3</v>
      </c>
      <c r="Q189" s="12">
        <f t="shared" si="71"/>
        <v>2.0718240679434174E-2</v>
      </c>
      <c r="R189" s="12">
        <f t="shared" si="72"/>
        <v>2.4000015258788698E-2</v>
      </c>
      <c r="S189" s="12">
        <f t="shared" si="73"/>
        <v>-4.0511755047988429E-2</v>
      </c>
      <c r="T189" s="12">
        <f t="shared" si="74"/>
        <v>2.7127236451613967E-3</v>
      </c>
      <c r="U189" s="12">
        <f t="shared" si="75"/>
        <v>-4.4966689798803028E-2</v>
      </c>
      <c r="V189" s="19">
        <f t="shared" si="76"/>
        <v>47.377955952672785</v>
      </c>
      <c r="W189" s="19">
        <f t="shared" si="77"/>
        <v>32.272765201517537</v>
      </c>
      <c r="X189" s="19">
        <f t="shared" si="78"/>
        <v>11.559443256989097</v>
      </c>
      <c r="Y189" s="19">
        <f t="shared" si="79"/>
        <v>270.89861484635207</v>
      </c>
      <c r="Z189" s="19">
        <f t="shared" si="80"/>
        <v>15.933440667114258</v>
      </c>
      <c r="AA189" s="19">
        <f t="shared" si="81"/>
        <v>467.46927293605501</v>
      </c>
      <c r="AB189" s="19">
        <f t="shared" si="82"/>
        <v>4580.0246989663192</v>
      </c>
      <c r="AC189" s="19">
        <f t="shared" si="83"/>
        <v>8029.7553974550083</v>
      </c>
      <c r="AD189" s="21">
        <f t="shared" si="84"/>
        <v>-1655.5873674427346</v>
      </c>
      <c r="AE189" s="21">
        <f t="shared" si="85"/>
        <v>-2669.5091700804878</v>
      </c>
      <c r="AF189" s="21">
        <f t="shared" si="86"/>
        <v>-5474.648465647836</v>
      </c>
      <c r="AG189" s="21">
        <f t="shared" si="87"/>
        <v>20894.759609497261</v>
      </c>
      <c r="AH189" s="21">
        <f t="shared" si="88"/>
        <v>16692.779063140882</v>
      </c>
      <c r="AI189" s="21">
        <f t="shared" si="89"/>
        <v>-69081.620041190297</v>
      </c>
      <c r="AJ189" s="21">
        <f t="shared" si="90"/>
        <v>3717.2186020967274</v>
      </c>
      <c r="AK189" s="21">
        <f t="shared" si="91"/>
        <v>-75614.434860194888</v>
      </c>
      <c r="AL189" s="23">
        <f t="shared" si="92"/>
        <v>-113191.04262982137</v>
      </c>
      <c r="AM189" s="23"/>
    </row>
    <row r="190" spans="1:39" x14ac:dyDescent="0.3">
      <c r="A190" s="13">
        <f t="shared" si="67"/>
        <v>185</v>
      </c>
      <c r="B190" s="1">
        <v>45390</v>
      </c>
      <c r="C190" s="7">
        <v>2023</v>
      </c>
      <c r="D190" s="7">
        <v>9</v>
      </c>
      <c r="E190" s="77">
        <v>16.312999999999999</v>
      </c>
      <c r="F190" s="2">
        <v>53.168865203857422</v>
      </c>
      <c r="G190" s="2">
        <v>37.073268890380859</v>
      </c>
      <c r="H190" s="2">
        <v>14.90463161468506</v>
      </c>
      <c r="I190" s="2">
        <v>258.70999145507813</v>
      </c>
      <c r="J190" s="2">
        <v>12.5</v>
      </c>
      <c r="K190" s="2">
        <v>467.62188720703119</v>
      </c>
      <c r="L190" s="2">
        <v>180.9700012207031</v>
      </c>
      <c r="M190" s="2">
        <v>175.2200012207031</v>
      </c>
      <c r="N190" s="12">
        <f t="shared" si="68"/>
        <v>5.0832862985850102E-3</v>
      </c>
      <c r="O190" s="12">
        <f t="shared" si="69"/>
        <v>-2.7379783483319931E-2</v>
      </c>
      <c r="P190" s="12">
        <f t="shared" si="70"/>
        <v>2.6548676635281154E-2</v>
      </c>
      <c r="Q190" s="12">
        <f t="shared" si="71"/>
        <v>9.6414579140092549E-2</v>
      </c>
      <c r="R190" s="12">
        <f t="shared" si="72"/>
        <v>2.7115852229850024E-2</v>
      </c>
      <c r="S190" s="12">
        <f t="shared" si="73"/>
        <v>0</v>
      </c>
      <c r="T190" s="12">
        <f t="shared" si="74"/>
        <v>-2.0235458156595554E-3</v>
      </c>
      <c r="U190" s="12">
        <f t="shared" si="75"/>
        <v>-3.3732473112187966E-2</v>
      </c>
      <c r="V190" s="19">
        <f t="shared" si="76"/>
        <v>47.701991826623157</v>
      </c>
      <c r="W190" s="19">
        <f t="shared" si="77"/>
        <v>31.480246284453262</v>
      </c>
      <c r="X190" s="19">
        <f t="shared" si="78"/>
        <v>11.929619389110147</v>
      </c>
      <c r="Y190" s="19">
        <f t="shared" si="79"/>
        <v>290.98842261179703</v>
      </c>
      <c r="Z190" s="19">
        <f t="shared" si="80"/>
        <v>15.98192309169143</v>
      </c>
      <c r="AA190" s="19">
        <f t="shared" si="81"/>
        <v>487.20687866210938</v>
      </c>
      <c r="AB190" s="19">
        <f t="shared" si="82"/>
        <v>4558.3911536846135</v>
      </c>
      <c r="AC190" s="19">
        <f t="shared" si="83"/>
        <v>8124.2107542598114</v>
      </c>
      <c r="AD190" s="21">
        <f t="shared" si="84"/>
        <v>4825.1301115647038</v>
      </c>
      <c r="AE190" s="21">
        <f t="shared" si="85"/>
        <v>-25256.298306412315</v>
      </c>
      <c r="AF190" s="21">
        <f t="shared" si="86"/>
        <v>27396.992066701478</v>
      </c>
      <c r="AG190" s="21">
        <f t="shared" si="87"/>
        <v>97236.029118188104</v>
      </c>
      <c r="AH190" s="21">
        <f t="shared" si="88"/>
        <v>18859.943441740452</v>
      </c>
      <c r="AI190" s="21">
        <f t="shared" si="89"/>
        <v>0</v>
      </c>
      <c r="AJ190" s="21">
        <f t="shared" si="90"/>
        <v>-2772.844982414972</v>
      </c>
      <c r="AK190" s="21">
        <f t="shared" si="91"/>
        <v>-56723.363499234256</v>
      </c>
      <c r="AL190" s="23">
        <f t="shared" si="92"/>
        <v>63565.587950133195</v>
      </c>
      <c r="AM190" s="23"/>
    </row>
    <row r="191" spans="1:39" x14ac:dyDescent="0.3">
      <c r="A191" s="13">
        <f t="shared" si="67"/>
        <v>186</v>
      </c>
      <c r="B191" s="1">
        <v>45387</v>
      </c>
      <c r="C191" s="7">
        <v>2023</v>
      </c>
      <c r="D191" s="7">
        <v>9</v>
      </c>
      <c r="E191" s="77">
        <v>16.4497</v>
      </c>
      <c r="F191" s="2">
        <v>52.899959564208977</v>
      </c>
      <c r="G191" s="2">
        <v>38.116901397705078</v>
      </c>
      <c r="H191" s="2">
        <v>14.519166946411129</v>
      </c>
      <c r="I191" s="2">
        <v>235.96000671386719</v>
      </c>
      <c r="J191" s="2">
        <v>12.170000076293951</v>
      </c>
      <c r="K191" s="2">
        <v>467.62188720703119</v>
      </c>
      <c r="L191" s="2">
        <v>179.83000183105469</v>
      </c>
      <c r="M191" s="2">
        <v>179.83000183105469</v>
      </c>
      <c r="N191" s="12">
        <f t="shared" si="68"/>
        <v>2.107855060738073E-3</v>
      </c>
      <c r="O191" s="12">
        <f t="shared" si="69"/>
        <v>5.1440602435575133E-3</v>
      </c>
      <c r="P191" s="12">
        <f t="shared" si="70"/>
        <v>2.0464205477153108E-3</v>
      </c>
      <c r="Q191" s="12">
        <f t="shared" si="71"/>
        <v>2.3598830212481436E-2</v>
      </c>
      <c r="R191" s="12">
        <f t="shared" si="72"/>
        <v>9.9584965692662841E-3</v>
      </c>
      <c r="S191" s="12">
        <f t="shared" si="73"/>
        <v>0</v>
      </c>
      <c r="T191" s="12">
        <f t="shared" si="74"/>
        <v>4.7973943366708127E-4</v>
      </c>
      <c r="U191" s="12">
        <f t="shared" si="75"/>
        <v>4.0273677755036097E-3</v>
      </c>
      <c r="V191" s="19">
        <f t="shared" si="76"/>
        <v>47.560775672177733</v>
      </c>
      <c r="W191" s="19">
        <f t="shared" si="77"/>
        <v>32.532927066995491</v>
      </c>
      <c r="X191" s="19">
        <f t="shared" si="78"/>
        <v>11.644876350662864</v>
      </c>
      <c r="Y191" s="19">
        <f t="shared" si="79"/>
        <v>271.6631232908411</v>
      </c>
      <c r="Z191" s="19">
        <f t="shared" si="80"/>
        <v>15.714954630413233</v>
      </c>
      <c r="AA191" s="19">
        <f t="shared" si="81"/>
        <v>487.20687866210938</v>
      </c>
      <c r="AB191" s="19">
        <f t="shared" si="82"/>
        <v>4569.82524442677</v>
      </c>
      <c r="AC191" s="19">
        <f t="shared" si="83"/>
        <v>8441.6889855804639</v>
      </c>
      <c r="AD191" s="21">
        <f t="shared" si="84"/>
        <v>2000.8070226562324</v>
      </c>
      <c r="AE191" s="21">
        <f t="shared" si="85"/>
        <v>4745.103996041209</v>
      </c>
      <c r="AF191" s="21">
        <f t="shared" si="86"/>
        <v>2111.8102525827185</v>
      </c>
      <c r="AG191" s="21">
        <f t="shared" si="87"/>
        <v>23799.891698555552</v>
      </c>
      <c r="AH191" s="21">
        <f t="shared" si="88"/>
        <v>6926.4532226050715</v>
      </c>
      <c r="AI191" s="21">
        <f t="shared" si="89"/>
        <v>0</v>
      </c>
      <c r="AJ191" s="21">
        <f t="shared" si="90"/>
        <v>657.382240231982</v>
      </c>
      <c r="AK191" s="21">
        <f t="shared" si="91"/>
        <v>6772.2827648962266</v>
      </c>
      <c r="AL191" s="23">
        <f t="shared" si="92"/>
        <v>47013.731197568995</v>
      </c>
      <c r="AM191" s="23"/>
    </row>
    <row r="192" spans="1:39" x14ac:dyDescent="0.3">
      <c r="A192" s="13">
        <f t="shared" si="67"/>
        <v>187</v>
      </c>
      <c r="B192" s="1">
        <v>45386</v>
      </c>
      <c r="C192" s="7">
        <v>2023</v>
      </c>
      <c r="D192" s="7">
        <v>9</v>
      </c>
      <c r="E192" s="77">
        <v>16.582899999999999</v>
      </c>
      <c r="F192" s="2">
        <v>52.788688659667969</v>
      </c>
      <c r="G192" s="2">
        <v>37.921829223632813</v>
      </c>
      <c r="H192" s="2">
        <v>14.48951530456543</v>
      </c>
      <c r="I192" s="2">
        <v>230.52000427246091</v>
      </c>
      <c r="J192" s="2">
        <v>12.05000019073486</v>
      </c>
      <c r="K192" s="2">
        <v>467.62188720703119</v>
      </c>
      <c r="L192" s="2">
        <v>178.30000305175781</v>
      </c>
      <c r="M192" s="2">
        <v>177.66999816894531</v>
      </c>
      <c r="N192" s="12">
        <f t="shared" si="68"/>
        <v>1.1189978708233239E-2</v>
      </c>
      <c r="O192" s="12">
        <f t="shared" si="69"/>
        <v>1.0298312726133574E-3</v>
      </c>
      <c r="P192" s="12">
        <f t="shared" si="70"/>
        <v>1.6643506726530921E-2</v>
      </c>
      <c r="Q192" s="12">
        <f t="shared" si="71"/>
        <v>1.4166305224245335E-2</v>
      </c>
      <c r="R192" s="12">
        <f t="shared" si="72"/>
        <v>5.0042052345347088E-3</v>
      </c>
      <c r="S192" s="12">
        <f t="shared" si="73"/>
        <v>0</v>
      </c>
      <c r="T192" s="12">
        <f t="shared" si="74"/>
        <v>-4.9116569770134566E-3</v>
      </c>
      <c r="U192" s="12">
        <f t="shared" si="75"/>
        <v>3.2239237772031526E-2</v>
      </c>
      <c r="V192" s="19">
        <f t="shared" si="76"/>
        <v>47.991819938764507</v>
      </c>
      <c r="W192" s="19">
        <f t="shared" si="77"/>
        <v>32.399764153993537</v>
      </c>
      <c r="X192" s="19">
        <f t="shared" si="78"/>
        <v>11.814510471544576</v>
      </c>
      <c r="Y192" s="19">
        <f t="shared" si="79"/>
        <v>269.15973121653479</v>
      </c>
      <c r="Z192" s="19">
        <f t="shared" si="80"/>
        <v>15.637865855165908</v>
      </c>
      <c r="AA192" s="19">
        <f t="shared" si="81"/>
        <v>487.20687866210938</v>
      </c>
      <c r="AB192" s="19">
        <f t="shared" si="82"/>
        <v>4545.1993190340318</v>
      </c>
      <c r="AC192" s="19">
        <f t="shared" si="83"/>
        <v>8678.8895239880658</v>
      </c>
      <c r="AD192" s="21">
        <f t="shared" si="84"/>
        <v>10621.692354391711</v>
      </c>
      <c r="AE192" s="21">
        <f t="shared" si="85"/>
        <v>949.96097548553143</v>
      </c>
      <c r="AF192" s="21">
        <f t="shared" si="86"/>
        <v>17175.320186878747</v>
      </c>
      <c r="AG192" s="21">
        <f t="shared" si="87"/>
        <v>14287.001816191594</v>
      </c>
      <c r="AH192" s="21">
        <f t="shared" si="88"/>
        <v>3480.5849690496125</v>
      </c>
      <c r="AI192" s="21">
        <f t="shared" si="89"/>
        <v>0</v>
      </c>
      <c r="AJ192" s="21">
        <f t="shared" si="90"/>
        <v>-6730.3953775895025</v>
      </c>
      <c r="AK192" s="21">
        <f t="shared" si="91"/>
        <v>54212.390446416612</v>
      </c>
      <c r="AL192" s="23">
        <f t="shared" si="92"/>
        <v>93996.55537082431</v>
      </c>
      <c r="AM192" s="23"/>
    </row>
    <row r="193" spans="1:39" x14ac:dyDescent="0.3">
      <c r="A193" s="13">
        <f t="shared" si="67"/>
        <v>188</v>
      </c>
      <c r="B193" s="1">
        <v>45385</v>
      </c>
      <c r="C193" s="7">
        <v>2023</v>
      </c>
      <c r="D193" s="7">
        <v>9</v>
      </c>
      <c r="E193" s="77">
        <v>16.533999999999999</v>
      </c>
      <c r="F193" s="2">
        <v>52.204521179199219</v>
      </c>
      <c r="G193" s="2">
        <v>37.882816314697273</v>
      </c>
      <c r="H193" s="2">
        <v>14.25230693817139</v>
      </c>
      <c r="I193" s="2">
        <v>227.30000305175781</v>
      </c>
      <c r="J193" s="2">
        <v>11.989999771118161</v>
      </c>
      <c r="K193" s="2">
        <v>467.62188720703119</v>
      </c>
      <c r="L193" s="2">
        <v>179.71000671386719</v>
      </c>
      <c r="M193" s="2">
        <v>172.6300048828125</v>
      </c>
      <c r="N193" s="12">
        <f t="shared" si="68"/>
        <v>2.8762166268436751E-4</v>
      </c>
      <c r="O193" s="12">
        <f t="shared" si="69"/>
        <v>-1.044583060097215E-2</v>
      </c>
      <c r="P193" s="12">
        <f t="shared" si="70"/>
        <v>-6.9294596652957896E-4</v>
      </c>
      <c r="Q193" s="12">
        <f t="shared" si="71"/>
        <v>2.4473827259527736E-2</v>
      </c>
      <c r="R193" s="12">
        <f t="shared" si="72"/>
        <v>-1.5599386641795054E-2</v>
      </c>
      <c r="S193" s="12">
        <f t="shared" si="73"/>
        <v>0</v>
      </c>
      <c r="T193" s="12">
        <f t="shared" si="74"/>
        <v>3.7249054845780449E-3</v>
      </c>
      <c r="U193" s="12">
        <f t="shared" si="75"/>
        <v>9.5598546986661592E-3</v>
      </c>
      <c r="V193" s="19">
        <f t="shared" si="76"/>
        <v>47.474386056650182</v>
      </c>
      <c r="W193" s="19">
        <f t="shared" si="77"/>
        <v>32.028337922127434</v>
      </c>
      <c r="X193" s="19">
        <f t="shared" si="78"/>
        <v>11.613041912972751</v>
      </c>
      <c r="Y193" s="19">
        <f t="shared" si="79"/>
        <v>271.89534750178666</v>
      </c>
      <c r="Z193" s="19">
        <f t="shared" si="80"/>
        <v>15.317273956924605</v>
      </c>
      <c r="AA193" s="19">
        <f t="shared" si="81"/>
        <v>487.20687866210938</v>
      </c>
      <c r="AB193" s="19">
        <f t="shared" si="82"/>
        <v>4584.6479751201514</v>
      </c>
      <c r="AC193" s="19">
        <f t="shared" si="83"/>
        <v>8488.2051816734092</v>
      </c>
      <c r="AD193" s="21">
        <f t="shared" si="84"/>
        <v>273.01471210520845</v>
      </c>
      <c r="AE193" s="21">
        <f t="shared" si="85"/>
        <v>-9635.6866326983982</v>
      </c>
      <c r="AF193" s="21">
        <f t="shared" si="86"/>
        <v>-715.08781429935198</v>
      </c>
      <c r="AG193" s="21">
        <f t="shared" si="87"/>
        <v>24682.343700148682</v>
      </c>
      <c r="AH193" s="21">
        <f t="shared" si="88"/>
        <v>-10849.872882336591</v>
      </c>
      <c r="AI193" s="21">
        <f t="shared" si="89"/>
        <v>0</v>
      </c>
      <c r="AJ193" s="21">
        <f t="shared" si="90"/>
        <v>5104.2014482463856</v>
      </c>
      <c r="AK193" s="21">
        <f t="shared" si="91"/>
        <v>16075.521983485305</v>
      </c>
      <c r="AL193" s="23">
        <f t="shared" si="92"/>
        <v>24934.434514651242</v>
      </c>
      <c r="AM193" s="23"/>
    </row>
    <row r="194" spans="1:39" x14ac:dyDescent="0.3">
      <c r="A194" s="13">
        <f t="shared" si="67"/>
        <v>189</v>
      </c>
      <c r="B194" s="1">
        <v>45384</v>
      </c>
      <c r="C194" s="7">
        <v>2023</v>
      </c>
      <c r="D194" s="7">
        <v>9</v>
      </c>
      <c r="E194" s="77">
        <v>16.55</v>
      </c>
      <c r="F194" s="2">
        <v>52.189510345458977</v>
      </c>
      <c r="G194" s="2">
        <v>38.282711029052727</v>
      </c>
      <c r="H194" s="2">
        <v>14.262189865112299</v>
      </c>
      <c r="I194" s="2">
        <v>221.8699951171875</v>
      </c>
      <c r="J194" s="2">
        <v>12.180000305175779</v>
      </c>
      <c r="K194" s="2">
        <v>467.62188720703119</v>
      </c>
      <c r="L194" s="2">
        <v>178.8699951171875</v>
      </c>
      <c r="M194" s="2">
        <v>170.83000183105469</v>
      </c>
      <c r="N194" s="12">
        <f t="shared" si="68"/>
        <v>-8.8722118148754081E-4</v>
      </c>
      <c r="O194" s="12">
        <f t="shared" si="69"/>
        <v>9.516466183414396E-3</v>
      </c>
      <c r="P194" s="12">
        <f t="shared" si="70"/>
        <v>1.7630433532628942E-2</v>
      </c>
      <c r="Q194" s="12">
        <f t="shared" si="71"/>
        <v>-2.9694780180951508E-2</v>
      </c>
      <c r="R194" s="12">
        <f t="shared" si="72"/>
        <v>0</v>
      </c>
      <c r="S194" s="12">
        <f t="shared" si="73"/>
        <v>-1.8807817323846843E-2</v>
      </c>
      <c r="T194" s="12">
        <f t="shared" si="74"/>
        <v>3.062624210721232E-4</v>
      </c>
      <c r="U194" s="12">
        <f t="shared" si="75"/>
        <v>-1.519231103355756E-2</v>
      </c>
      <c r="V194" s="19">
        <f t="shared" si="76"/>
        <v>47.41862715137912</v>
      </c>
      <c r="W194" s="19">
        <f t="shared" si="77"/>
        <v>32.674446247354766</v>
      </c>
      <c r="X194" s="19">
        <f t="shared" si="78"/>
        <v>11.825979641423837</v>
      </c>
      <c r="Y194" s="19">
        <f t="shared" si="79"/>
        <v>257.51899941770239</v>
      </c>
      <c r="Z194" s="19">
        <f t="shared" si="80"/>
        <v>15.560000419616699</v>
      </c>
      <c r="AA194" s="19">
        <f t="shared" si="81"/>
        <v>478.04358068931083</v>
      </c>
      <c r="AB194" s="19">
        <f t="shared" si="82"/>
        <v>4569.0328649309768</v>
      </c>
      <c r="AC194" s="19">
        <f t="shared" si="83"/>
        <v>8280.0932401693444</v>
      </c>
      <c r="AD194" s="21">
        <f t="shared" si="84"/>
        <v>-842.16339331604217</v>
      </c>
      <c r="AE194" s="21">
        <f t="shared" si="85"/>
        <v>8778.4006362805412</v>
      </c>
      <c r="AF194" s="21">
        <f t="shared" si="86"/>
        <v>18193.782472157109</v>
      </c>
      <c r="AG194" s="21">
        <f t="shared" si="87"/>
        <v>-29947.779019371548</v>
      </c>
      <c r="AH194" s="21">
        <f t="shared" si="88"/>
        <v>0</v>
      </c>
      <c r="AI194" s="21">
        <f t="shared" si="89"/>
        <v>-32071.542904794911</v>
      </c>
      <c r="AJ194" s="21">
        <f t="shared" si="90"/>
        <v>419.66839149399675</v>
      </c>
      <c r="AK194" s="21">
        <f t="shared" si="91"/>
        <v>-25546.866317327658</v>
      </c>
      <c r="AL194" s="23">
        <f t="shared" si="92"/>
        <v>-61016.500134878515</v>
      </c>
      <c r="AM194" s="23"/>
    </row>
    <row r="195" spans="1:39" x14ac:dyDescent="0.3">
      <c r="A195" s="13">
        <f t="shared" si="67"/>
        <v>190</v>
      </c>
      <c r="B195" s="1">
        <v>45383</v>
      </c>
      <c r="C195" s="7">
        <v>2023</v>
      </c>
      <c r="D195" s="7">
        <v>9</v>
      </c>
      <c r="E195" s="77">
        <v>16.611799999999999</v>
      </c>
      <c r="F195" s="2">
        <v>52.235855102539063</v>
      </c>
      <c r="G195" s="2">
        <v>37.921829223632813</v>
      </c>
      <c r="H195" s="2">
        <v>14.015097618103029</v>
      </c>
      <c r="I195" s="2">
        <v>228.6600036621094</v>
      </c>
      <c r="J195" s="2">
        <v>12.180000305175779</v>
      </c>
      <c r="K195" s="2">
        <v>476.58541870117188</v>
      </c>
      <c r="L195" s="2">
        <v>178.1499938964844</v>
      </c>
      <c r="M195" s="2">
        <v>172.82000732421881</v>
      </c>
      <c r="N195" s="12">
        <f t="shared" si="68"/>
        <v>5.3266010162467126E-4</v>
      </c>
      <c r="O195" s="12">
        <f t="shared" si="69"/>
        <v>-3.3324914963266394E-3</v>
      </c>
      <c r="P195" s="12">
        <f t="shared" si="70"/>
        <v>7.1022597806493781E-3</v>
      </c>
      <c r="Q195" s="12">
        <f t="shared" si="71"/>
        <v>7.3571440527393506E-3</v>
      </c>
      <c r="R195" s="12">
        <f t="shared" si="72"/>
        <v>2.1812099598800039E-2</v>
      </c>
      <c r="S195" s="12">
        <f t="shared" si="73"/>
        <v>7.5342890222383607E-2</v>
      </c>
      <c r="T195" s="12">
        <f t="shared" si="74"/>
        <v>5.3743266961203684E-3</v>
      </c>
      <c r="U195" s="12">
        <f t="shared" si="75"/>
        <v>-1.0880138443925991E-2</v>
      </c>
      <c r="V195" s="19">
        <f t="shared" si="76"/>
        <v>47.486015761144209</v>
      </c>
      <c r="W195" s="19">
        <f t="shared" si="77"/>
        <v>32.258571329902004</v>
      </c>
      <c r="X195" s="19">
        <f t="shared" si="78"/>
        <v>11.703630737195343</v>
      </c>
      <c r="Y195" s="19">
        <f t="shared" si="79"/>
        <v>267.35257988317693</v>
      </c>
      <c r="Z195" s="19">
        <f t="shared" si="80"/>
        <v>15.899396698526749</v>
      </c>
      <c r="AA195" s="19">
        <f t="shared" si="81"/>
        <v>523.91445303673891</v>
      </c>
      <c r="AB195" s="19">
        <f t="shared" si="82"/>
        <v>4592.1819274773134</v>
      </c>
      <c r="AC195" s="19">
        <f t="shared" si="83"/>
        <v>8316.3492437626192</v>
      </c>
      <c r="AD195" s="21">
        <f t="shared" si="84"/>
        <v>505.60880198574409</v>
      </c>
      <c r="AE195" s="21">
        <f t="shared" si="85"/>
        <v>-3074.0345111231591</v>
      </c>
      <c r="AF195" s="21">
        <f t="shared" si="86"/>
        <v>7329.1997766668828</v>
      </c>
      <c r="AG195" s="21">
        <f t="shared" si="87"/>
        <v>7419.826749431706</v>
      </c>
      <c r="AH195" s="21">
        <f t="shared" si="88"/>
        <v>15171.013667279214</v>
      </c>
      <c r="AI195" s="21">
        <f t="shared" si="89"/>
        <v>128476.51031120335</v>
      </c>
      <c r="AJ195" s="21">
        <f t="shared" si="90"/>
        <v>7364.3871553949793</v>
      </c>
      <c r="AK195" s="21">
        <f t="shared" si="91"/>
        <v>-18295.665598672713</v>
      </c>
      <c r="AL195" s="23">
        <f t="shared" si="92"/>
        <v>144896.84635216597</v>
      </c>
      <c r="AM195" s="23"/>
    </row>
    <row r="196" spans="1:39" x14ac:dyDescent="0.3">
      <c r="A196" s="13">
        <f t="shared" si="67"/>
        <v>191</v>
      </c>
      <c r="B196" s="1">
        <v>45378</v>
      </c>
      <c r="C196" s="7">
        <v>2023</v>
      </c>
      <c r="D196" s="7">
        <v>9</v>
      </c>
      <c r="E196" s="77">
        <v>16.523</v>
      </c>
      <c r="F196" s="2">
        <v>52.208045959472663</v>
      </c>
      <c r="G196" s="2">
        <v>38.048625946044922</v>
      </c>
      <c r="H196" s="2">
        <v>13.91626071929932</v>
      </c>
      <c r="I196" s="2">
        <v>226.99000549316409</v>
      </c>
      <c r="J196" s="2">
        <v>11.920000076293951</v>
      </c>
      <c r="K196" s="2">
        <v>443.19390869140619</v>
      </c>
      <c r="L196" s="2">
        <v>178.1499938964844</v>
      </c>
      <c r="M196" s="2">
        <v>175.6600036621094</v>
      </c>
      <c r="N196" s="12">
        <f t="shared" si="68"/>
        <v>1.8809907821923266E-2</v>
      </c>
      <c r="O196" s="12">
        <f t="shared" si="69"/>
        <v>1.4300571520501126E-2</v>
      </c>
      <c r="P196" s="12">
        <f t="shared" si="70"/>
        <v>1.2221499186568119E-2</v>
      </c>
      <c r="Q196" s="12">
        <f t="shared" si="71"/>
        <v>2.1281432121077026E-2</v>
      </c>
      <c r="R196" s="12">
        <f t="shared" si="72"/>
        <v>4.286962012558182E-2</v>
      </c>
      <c r="S196" s="12">
        <f t="shared" si="73"/>
        <v>5.8333329082289609E-2</v>
      </c>
      <c r="T196" s="12">
        <f t="shared" si="74"/>
        <v>5.9724453004157407E-3</v>
      </c>
      <c r="U196" s="12">
        <f t="shared" si="75"/>
        <v>1.8429336223971138E-2</v>
      </c>
      <c r="V196" s="19">
        <f t="shared" si="76"/>
        <v>48.353467377594477</v>
      </c>
      <c r="W196" s="19">
        <f t="shared" si="77"/>
        <v>32.829290668337123</v>
      </c>
      <c r="X196" s="19">
        <f t="shared" si="78"/>
        <v>11.763121903142308</v>
      </c>
      <c r="Y196" s="19">
        <f t="shared" si="79"/>
        <v>271.04808585152665</v>
      </c>
      <c r="Z196" s="19">
        <f t="shared" si="80"/>
        <v>16.227051726759562</v>
      </c>
      <c r="AA196" s="19">
        <f t="shared" si="81"/>
        <v>515.62727784626134</v>
      </c>
      <c r="AB196" s="19">
        <f t="shared" si="82"/>
        <v>4594.9139143325574</v>
      </c>
      <c r="AC196" s="19">
        <f t="shared" si="83"/>
        <v>8562.7782529890483</v>
      </c>
      <c r="AD196" s="21">
        <f t="shared" si="84"/>
        <v>17854.641130991098</v>
      </c>
      <c r="AE196" s="21">
        <f t="shared" si="85"/>
        <v>13191.46663427772</v>
      </c>
      <c r="AF196" s="21">
        <f t="shared" si="86"/>
        <v>12612.015312757298</v>
      </c>
      <c r="AG196" s="21">
        <f t="shared" si="87"/>
        <v>21462.749429160645</v>
      </c>
      <c r="AH196" s="21">
        <f t="shared" si="88"/>
        <v>29817.193429285977</v>
      </c>
      <c r="AI196" s="21">
        <f t="shared" si="89"/>
        <v>99471.39714453186</v>
      </c>
      <c r="AJ196" s="21">
        <f t="shared" si="90"/>
        <v>8183.9832119681887</v>
      </c>
      <c r="AK196" s="21">
        <f t="shared" si="91"/>
        <v>30990.13624661311</v>
      </c>
      <c r="AL196" s="23">
        <f t="shared" si="92"/>
        <v>233583.58253958591</v>
      </c>
      <c r="AM196" s="23"/>
    </row>
    <row r="197" spans="1:39" x14ac:dyDescent="0.3">
      <c r="A197" s="13">
        <f t="shared" ref="A197:A255" si="93">+A198-1</f>
        <v>192</v>
      </c>
      <c r="B197" s="1">
        <v>45377</v>
      </c>
      <c r="C197" s="7">
        <v>2023</v>
      </c>
      <c r="D197" s="7">
        <v>9</v>
      </c>
      <c r="E197" s="77">
        <v>16.635000000000002</v>
      </c>
      <c r="F197" s="2">
        <v>51.244148254394531</v>
      </c>
      <c r="G197" s="2">
        <v>37.512180328369141</v>
      </c>
      <c r="H197" s="2">
        <v>13.74823665618896</v>
      </c>
      <c r="I197" s="2">
        <v>222.25999450683591</v>
      </c>
      <c r="J197" s="2">
        <v>11.430000305175779</v>
      </c>
      <c r="K197" s="2">
        <v>418.76589965820313</v>
      </c>
      <c r="L197" s="2">
        <v>175.8999938964844</v>
      </c>
      <c r="M197" s="2">
        <v>171.32000732421881</v>
      </c>
      <c r="N197" s="12">
        <f t="shared" si="68"/>
        <v>-8.4289122074368006E-3</v>
      </c>
      <c r="O197" s="12">
        <f t="shared" si="69"/>
        <v>4.4398815704720374E-3</v>
      </c>
      <c r="P197" s="12">
        <f t="shared" si="70"/>
        <v>-1.2073937568397364E-2</v>
      </c>
      <c r="Q197" s="12">
        <f t="shared" si="71"/>
        <v>-2.6584361562393743E-2</v>
      </c>
      <c r="R197" s="12">
        <f t="shared" si="72"/>
        <v>-3.2994873072561548E-2</v>
      </c>
      <c r="S197" s="12">
        <f t="shared" si="73"/>
        <v>9.3750017435920929E-2</v>
      </c>
      <c r="T197" s="12">
        <f t="shared" si="74"/>
        <v>6.1867681151717147E-3</v>
      </c>
      <c r="U197" s="12">
        <f t="shared" si="75"/>
        <v>4.4993204310280088E-2</v>
      </c>
      <c r="V197" s="19">
        <f t="shared" si="76"/>
        <v>47.060692949723439</v>
      </c>
      <c r="W197" s="19">
        <f t="shared" si="77"/>
        <v>32.510135315723467</v>
      </c>
      <c r="X197" s="19">
        <f t="shared" si="78"/>
        <v>11.480782331745724</v>
      </c>
      <c r="Y197" s="19">
        <f t="shared" si="79"/>
        <v>258.34450450008313</v>
      </c>
      <c r="Z197" s="19">
        <f t="shared" si="80"/>
        <v>15.046600180762441</v>
      </c>
      <c r="AA197" s="19">
        <f t="shared" si="81"/>
        <v>532.88253203158274</v>
      </c>
      <c r="AB197" s="19">
        <f t="shared" si="82"/>
        <v>4595.8928625018452</v>
      </c>
      <c r="AC197" s="19">
        <f t="shared" si="83"/>
        <v>8786.1226754976051</v>
      </c>
      <c r="AD197" s="21">
        <f t="shared" si="84"/>
        <v>-8000.8474264296583</v>
      </c>
      <c r="AE197" s="21">
        <f t="shared" si="85"/>
        <v>4095.5390847885269</v>
      </c>
      <c r="AF197" s="21">
        <f t="shared" si="86"/>
        <v>-12459.738627259338</v>
      </c>
      <c r="AG197" s="21">
        <f t="shared" si="87"/>
        <v>-26810.859706324722</v>
      </c>
      <c r="AH197" s="21">
        <f t="shared" si="88"/>
        <v>-22948.990676785332</v>
      </c>
      <c r="AI197" s="21">
        <f t="shared" si="89"/>
        <v>159864.78679315679</v>
      </c>
      <c r="AJ197" s="21">
        <f t="shared" si="90"/>
        <v>8477.6676627545385</v>
      </c>
      <c r="AK197" s="21">
        <f t="shared" si="91"/>
        <v>75659.020748324474</v>
      </c>
      <c r="AL197" s="23">
        <f t="shared" si="92"/>
        <v>177876.57785222528</v>
      </c>
      <c r="AM197" s="23"/>
    </row>
    <row r="198" spans="1:39" x14ac:dyDescent="0.3">
      <c r="A198" s="13">
        <f t="shared" si="93"/>
        <v>193</v>
      </c>
      <c r="B198" s="1">
        <v>45376</v>
      </c>
      <c r="C198" s="7">
        <v>2023</v>
      </c>
      <c r="D198" s="7">
        <v>9</v>
      </c>
      <c r="E198" s="77">
        <v>16.672999999999998</v>
      </c>
      <c r="F198" s="2">
        <v>51.679752349853523</v>
      </c>
      <c r="G198" s="2">
        <v>37.346366882324219</v>
      </c>
      <c r="H198" s="2">
        <v>13.91626071929932</v>
      </c>
      <c r="I198" s="2">
        <v>228.33000183105469</v>
      </c>
      <c r="J198" s="2">
        <v>11.819999694824221</v>
      </c>
      <c r="K198" s="2">
        <v>382.87167358398438</v>
      </c>
      <c r="L198" s="2">
        <v>174.41999816894531</v>
      </c>
      <c r="M198" s="2">
        <v>163.57000732421881</v>
      </c>
      <c r="N198" s="12">
        <f t="shared" ref="N198:N256" si="94">F198/F199-1</f>
        <v>0</v>
      </c>
      <c r="O198" s="12">
        <f t="shared" ref="O198:O256" si="95">G198/G199-1</f>
        <v>-1.4160759007902257E-2</v>
      </c>
      <c r="P198" s="12">
        <f t="shared" ref="P198:P256" si="96">H198/H199-1</f>
        <v>-1.4184644684164249E-3</v>
      </c>
      <c r="Q198" s="12">
        <f t="shared" ref="Q198:Q256" si="97">I198/I199-1</f>
        <v>2.0697384648975969E-2</v>
      </c>
      <c r="R198" s="12">
        <f t="shared" ref="R198:R256" si="98">J198/J199-1</f>
        <v>-1.5820194041354152E-2</v>
      </c>
      <c r="S198" s="12">
        <f t="shared" ref="S198:S256" si="99">K198/K199-1</f>
        <v>0</v>
      </c>
      <c r="T198" s="12">
        <f t="shared" ref="T198:T256" si="100">(L198*$E198)/(L199*$E199)-1</f>
        <v>-2.9115187191717573E-2</v>
      </c>
      <c r="U198" s="12">
        <f t="shared" ref="U198:U256" si="101">(M198*$E198)/(M199*$E199)-1</f>
        <v>1.5388222113190686E-3</v>
      </c>
      <c r="V198" s="19">
        <f t="shared" ref="V198:V256" si="102">F$5*(1+N198)</f>
        <v>47.460735321044922</v>
      </c>
      <c r="W198" s="19">
        <f t="shared" ref="W198:W256" si="103">G$5*(1+O198)</f>
        <v>31.908098943754045</v>
      </c>
      <c r="X198" s="19">
        <f t="shared" ref="X198:X256" si="104">H$5*(1+P198)</f>
        <v>11.604610593753055</v>
      </c>
      <c r="Y198" s="19">
        <f t="shared" ref="Y198:Y256" si="105">I$5*(1+Q198)</f>
        <v>270.89307965599579</v>
      </c>
      <c r="Z198" s="19">
        <f t="shared" ref="Z198:Z256" si="106">J$5*(1+R198)</f>
        <v>15.313838193694812</v>
      </c>
      <c r="AA198" s="19">
        <f t="shared" ref="AA198:AA256" si="107">K$5*(1+S198)</f>
        <v>487.20687866210938</v>
      </c>
      <c r="AB198" s="19">
        <f t="shared" ref="AB198:AB256" si="108">L$5*$E$5*(1+T198)</f>
        <v>4434.6464522243441</v>
      </c>
      <c r="AC198" s="19">
        <f t="shared" ref="AC198:AC256" si="109">M$5*$E$5*(1+U198)</f>
        <v>8420.7657235723418</v>
      </c>
      <c r="AD198" s="21">
        <f t="shared" ref="AD198:AD256" si="110">(V198-F$5)*AD$2</f>
        <v>0</v>
      </c>
      <c r="AE198" s="21">
        <f t="shared" ref="AE198:AE256" si="111">(W198-G$5)*AE$2</f>
        <v>-13062.49751634001</v>
      </c>
      <c r="AF198" s="21">
        <f t="shared" ref="AF198:AF256" si="112">(X198-H$5)*AF$2</f>
        <v>-1463.7889610083448</v>
      </c>
      <c r="AG198" s="21">
        <f t="shared" ref="AG198:AG256" si="113">(Y198-I$5)*AG$2</f>
        <v>20873.72588614338</v>
      </c>
      <c r="AH198" s="21">
        <f t="shared" ref="AH198:AH256" si="114">(Z198-J$5)*AH$2</f>
        <v>-11003.451498708368</v>
      </c>
      <c r="AI198" s="21">
        <f t="shared" ref="AI198:AI256" si="115">(AA198-K$5)*AI$2</f>
        <v>0</v>
      </c>
      <c r="AJ198" s="21">
        <f t="shared" ref="AJ198:AJ256" si="116">(AB198-L$5*$E$5)*AJ$2</f>
        <v>-39896.2554204958</v>
      </c>
      <c r="AK198" s="21">
        <f t="shared" ref="AK198:AK256" si="117">(AC198-M$5*$E$5)*AK$2</f>
        <v>2587.6303632718191</v>
      </c>
      <c r="AL198" s="23">
        <f t="shared" ref="AL198:AL256" si="118">SUM(AD198:AK198)</f>
        <v>-41964.637147137328</v>
      </c>
      <c r="AM198" s="23"/>
    </row>
    <row r="199" spans="1:39" x14ac:dyDescent="0.3">
      <c r="A199" s="13">
        <f t="shared" si="93"/>
        <v>194</v>
      </c>
      <c r="B199" s="1">
        <v>45373</v>
      </c>
      <c r="C199" s="7">
        <v>2023</v>
      </c>
      <c r="D199" s="7">
        <v>9</v>
      </c>
      <c r="E199" s="77">
        <v>16.757000000000001</v>
      </c>
      <c r="F199" s="2">
        <v>51.679752349853523</v>
      </c>
      <c r="G199" s="2">
        <v>37.882816314697273</v>
      </c>
      <c r="H199" s="2">
        <v>13.93602848052979</v>
      </c>
      <c r="I199" s="2">
        <v>223.69999694824219</v>
      </c>
      <c r="J199" s="2">
        <v>12.010000228881839</v>
      </c>
      <c r="K199" s="2">
        <v>382.87167358398438</v>
      </c>
      <c r="L199" s="2">
        <v>178.75</v>
      </c>
      <c r="M199" s="2">
        <v>162.5</v>
      </c>
      <c r="N199" s="12">
        <f t="shared" si="94"/>
        <v>3.2385689247267369E-3</v>
      </c>
      <c r="O199" s="12">
        <f t="shared" si="95"/>
        <v>-1.2709629198673134E-2</v>
      </c>
      <c r="P199" s="12">
        <f t="shared" si="96"/>
        <v>3.6764709012420349E-2</v>
      </c>
      <c r="Q199" s="12">
        <f t="shared" si="97"/>
        <v>8.3844240941952641E-3</v>
      </c>
      <c r="R199" s="12">
        <f t="shared" si="98"/>
        <v>-2.7530375877399593E-2</v>
      </c>
      <c r="S199" s="12">
        <f t="shared" si="99"/>
        <v>0</v>
      </c>
      <c r="T199" s="12">
        <f t="shared" si="100"/>
        <v>1.3722530617700457E-2</v>
      </c>
      <c r="U199" s="12">
        <f t="shared" si="101"/>
        <v>-3.9935781948133964E-2</v>
      </c>
      <c r="V199" s="19">
        <f t="shared" si="102"/>
        <v>47.614440183600337</v>
      </c>
      <c r="W199" s="19">
        <f t="shared" si="103"/>
        <v>31.955066838323258</v>
      </c>
      <c r="X199" s="19">
        <f t="shared" si="104"/>
        <v>12.048340868860686</v>
      </c>
      <c r="Y199" s="19">
        <f t="shared" si="105"/>
        <v>267.62521999990935</v>
      </c>
      <c r="Z199" s="19">
        <f t="shared" si="106"/>
        <v>15.131627759412156</v>
      </c>
      <c r="AA199" s="19">
        <f t="shared" si="107"/>
        <v>487.20687866210938</v>
      </c>
      <c r="AB199" s="19">
        <f t="shared" si="108"/>
        <v>4630.3134673004533</v>
      </c>
      <c r="AC199" s="19">
        <f t="shared" si="109"/>
        <v>8072.0544031928275</v>
      </c>
      <c r="AD199" s="21">
        <f t="shared" si="110"/>
        <v>3074.0972511082987</v>
      </c>
      <c r="AE199" s="21">
        <f t="shared" si="111"/>
        <v>-11723.912521117418</v>
      </c>
      <c r="AF199" s="21">
        <f t="shared" si="112"/>
        <v>37939.459468549314</v>
      </c>
      <c r="AG199" s="21">
        <f t="shared" si="113"/>
        <v>8455.8591930148959</v>
      </c>
      <c r="AH199" s="21">
        <f t="shared" si="114"/>
        <v>-19148.257911143071</v>
      </c>
      <c r="AI199" s="21">
        <f t="shared" si="115"/>
        <v>0</v>
      </c>
      <c r="AJ199" s="21">
        <f t="shared" si="116"/>
        <v>18803.849102336972</v>
      </c>
      <c r="AK199" s="21">
        <f t="shared" si="117"/>
        <v>-67154.633712631039</v>
      </c>
      <c r="AL199" s="23">
        <f t="shared" si="118"/>
        <v>-29753.539129882047</v>
      </c>
      <c r="AM199" s="23"/>
    </row>
    <row r="200" spans="1:39" x14ac:dyDescent="0.3">
      <c r="A200" s="13">
        <f t="shared" si="93"/>
        <v>195</v>
      </c>
      <c r="B200" s="1">
        <v>45372</v>
      </c>
      <c r="C200" s="7">
        <v>2023</v>
      </c>
      <c r="D200" s="7">
        <v>9</v>
      </c>
      <c r="E200" s="77">
        <v>16.735199999999999</v>
      </c>
      <c r="F200" s="2">
        <v>51.512924194335938</v>
      </c>
      <c r="G200" s="2">
        <v>38.370491027832031</v>
      </c>
      <c r="H200" s="2">
        <v>13.441843032836911</v>
      </c>
      <c r="I200" s="2">
        <v>221.8399963378906</v>
      </c>
      <c r="J200" s="2">
        <v>12.35000038146973</v>
      </c>
      <c r="K200" s="2">
        <v>382.87167358398438</v>
      </c>
      <c r="L200" s="2">
        <v>176.55999755859381</v>
      </c>
      <c r="M200" s="2">
        <v>169.47999572753909</v>
      </c>
      <c r="N200" s="12">
        <f t="shared" si="94"/>
        <v>1.4418717018142457E-2</v>
      </c>
      <c r="O200" s="12">
        <f t="shared" si="95"/>
        <v>5.6237823477958138E-3</v>
      </c>
      <c r="P200" s="12">
        <f t="shared" si="96"/>
        <v>2.9497614090312485E-3</v>
      </c>
      <c r="Q200" s="12">
        <f t="shared" si="97"/>
        <v>2.4002940190603894E-2</v>
      </c>
      <c r="R200" s="12">
        <f t="shared" si="98"/>
        <v>2.7454235535649518E-2</v>
      </c>
      <c r="S200" s="12">
        <f t="shared" si="99"/>
        <v>1.0526408205520754E-2</v>
      </c>
      <c r="T200" s="12">
        <f t="shared" si="100"/>
        <v>1.0408125457648909E-2</v>
      </c>
      <c r="U200" s="12">
        <f t="shared" si="101"/>
        <v>-4.1854227533976163E-2</v>
      </c>
      <c r="V200" s="19">
        <f t="shared" si="102"/>
        <v>48.145058233112024</v>
      </c>
      <c r="W200" s="19">
        <f t="shared" si="103"/>
        <v>32.548453959952333</v>
      </c>
      <c r="X200" s="19">
        <f t="shared" si="104"/>
        <v>11.655374160361916</v>
      </c>
      <c r="Y200" s="19">
        <f t="shared" si="105"/>
        <v>271.77037407656832</v>
      </c>
      <c r="Z200" s="19">
        <f t="shared" si="106"/>
        <v>15.987188336071661</v>
      </c>
      <c r="AA200" s="19">
        <f t="shared" si="107"/>
        <v>492.33541714744433</v>
      </c>
      <c r="AB200" s="19">
        <f t="shared" si="108"/>
        <v>4615.1744777000886</v>
      </c>
      <c r="AC200" s="19">
        <f t="shared" si="109"/>
        <v>8055.9244435012697</v>
      </c>
      <c r="AD200" s="21">
        <f t="shared" si="110"/>
        <v>13686.458241342052</v>
      </c>
      <c r="AE200" s="21">
        <f t="shared" si="111"/>
        <v>5187.6204453112114</v>
      </c>
      <c r="AF200" s="21">
        <f t="shared" si="112"/>
        <v>3044.0157538585167</v>
      </c>
      <c r="AG200" s="21">
        <f t="shared" si="113"/>
        <v>24207.444684318976</v>
      </c>
      <c r="AH200" s="21">
        <f t="shared" si="114"/>
        <v>19095.299865536788</v>
      </c>
      <c r="AI200" s="21">
        <f t="shared" si="115"/>
        <v>17949.884698672351</v>
      </c>
      <c r="AJ200" s="21">
        <f t="shared" si="116"/>
        <v>14262.152222227542</v>
      </c>
      <c r="AK200" s="21">
        <f t="shared" si="117"/>
        <v>-70380.625650942602</v>
      </c>
      <c r="AL200" s="23">
        <f t="shared" si="118"/>
        <v>27052.250260324829</v>
      </c>
      <c r="AM200" s="23"/>
    </row>
    <row r="201" spans="1:39" x14ac:dyDescent="0.3">
      <c r="A201" s="13">
        <f t="shared" si="93"/>
        <v>196</v>
      </c>
      <c r="B201" s="1">
        <v>45371</v>
      </c>
      <c r="C201" s="7">
        <v>2023</v>
      </c>
      <c r="D201" s="7">
        <v>9</v>
      </c>
      <c r="E201" s="77">
        <v>16.673300000000001</v>
      </c>
      <c r="F201" s="2">
        <v>50.780731201171882</v>
      </c>
      <c r="G201" s="2">
        <v>38.155910491943359</v>
      </c>
      <c r="H201" s="2">
        <v>13.402309417724609</v>
      </c>
      <c r="I201" s="2">
        <v>216.63999938964841</v>
      </c>
      <c r="J201" s="2">
        <v>12.02000045776367</v>
      </c>
      <c r="K201" s="2">
        <v>378.88339233398438</v>
      </c>
      <c r="L201" s="2">
        <v>175.38999938964841</v>
      </c>
      <c r="M201" s="2">
        <v>177.53999328613281</v>
      </c>
      <c r="N201" s="12">
        <f t="shared" si="94"/>
        <v>0</v>
      </c>
      <c r="O201" s="12">
        <f t="shared" si="95"/>
        <v>-7.8621402185324873E-3</v>
      </c>
      <c r="P201" s="12">
        <f t="shared" si="96"/>
        <v>-7.3205600319896647E-3</v>
      </c>
      <c r="Q201" s="12">
        <f t="shared" si="97"/>
        <v>4.6373585736896317E-3</v>
      </c>
      <c r="R201" s="12">
        <f t="shared" si="98"/>
        <v>-2.355807895756834E-2</v>
      </c>
      <c r="S201" s="12">
        <f t="shared" si="99"/>
        <v>7.6487321637504158E-2</v>
      </c>
      <c r="T201" s="12">
        <f t="shared" si="100"/>
        <v>1.2133867499826811E-2</v>
      </c>
      <c r="U201" s="12">
        <f t="shared" si="101"/>
        <v>-8.9437600021370356E-3</v>
      </c>
      <c r="V201" s="19">
        <f t="shared" si="102"/>
        <v>47.460735321044922</v>
      </c>
      <c r="W201" s="19">
        <f t="shared" si="103"/>
        <v>32.111962761690471</v>
      </c>
      <c r="X201" s="19">
        <f t="shared" si="104"/>
        <v>11.536021782258635</v>
      </c>
      <c r="Y201" s="19">
        <f t="shared" si="105"/>
        <v>266.63074883363743</v>
      </c>
      <c r="Z201" s="19">
        <f t="shared" si="106"/>
        <v>15.193436701151573</v>
      </c>
      <c r="AA201" s="19">
        <f t="shared" si="107"/>
        <v>524.47202789434255</v>
      </c>
      <c r="AB201" s="19">
        <f t="shared" si="108"/>
        <v>4623.0570356759026</v>
      </c>
      <c r="AC201" s="19">
        <f t="shared" si="109"/>
        <v>8332.6299798148466</v>
      </c>
      <c r="AD201" s="21">
        <f t="shared" si="110"/>
        <v>0</v>
      </c>
      <c r="AE201" s="21">
        <f t="shared" si="111"/>
        <v>-7252.3787051518621</v>
      </c>
      <c r="AF201" s="21">
        <f t="shared" si="112"/>
        <v>-7554.4754217128584</v>
      </c>
      <c r="AG201" s="21">
        <f t="shared" si="113"/>
        <v>4676.8687611815949</v>
      </c>
      <c r="AH201" s="21">
        <f t="shared" si="114"/>
        <v>-16385.398215391164</v>
      </c>
      <c r="AI201" s="21">
        <f t="shared" si="115"/>
        <v>130428.0223128161</v>
      </c>
      <c r="AJ201" s="21">
        <f t="shared" si="116"/>
        <v>16626.919614971757</v>
      </c>
      <c r="AK201" s="21">
        <f t="shared" si="117"/>
        <v>-15039.518388227225</v>
      </c>
      <c r="AL201" s="23">
        <f t="shared" si="118"/>
        <v>105500.03995848635</v>
      </c>
      <c r="AM201" s="23"/>
    </row>
    <row r="202" spans="1:39" x14ac:dyDescent="0.3">
      <c r="A202" s="13">
        <f t="shared" si="93"/>
        <v>197</v>
      </c>
      <c r="B202" s="1">
        <v>45370</v>
      </c>
      <c r="C202" s="7">
        <v>2023</v>
      </c>
      <c r="D202" s="7">
        <v>9</v>
      </c>
      <c r="E202" s="77">
        <v>16.802</v>
      </c>
      <c r="F202" s="2">
        <v>50.780731201171882</v>
      </c>
      <c r="G202" s="2">
        <v>38.458274841308587</v>
      </c>
      <c r="H202" s="2">
        <v>13.501145362854</v>
      </c>
      <c r="I202" s="2">
        <v>215.63999938964841</v>
      </c>
      <c r="J202" s="2">
        <v>12.310000419616699</v>
      </c>
      <c r="K202" s="2">
        <v>351.96270751953119</v>
      </c>
      <c r="L202" s="2">
        <v>171.96000671386719</v>
      </c>
      <c r="M202" s="2">
        <v>177.77000427246091</v>
      </c>
      <c r="N202" s="12">
        <f t="shared" si="94"/>
        <v>1.828325269406017E-3</v>
      </c>
      <c r="O202" s="12">
        <f t="shared" si="95"/>
        <v>-1.1035788719481965E-2</v>
      </c>
      <c r="P202" s="12">
        <f t="shared" si="96"/>
        <v>2.7067707138172192E-2</v>
      </c>
      <c r="Q202" s="12">
        <f t="shared" si="97"/>
        <v>1.2156753347998706E-2</v>
      </c>
      <c r="R202" s="12">
        <f t="shared" si="98"/>
        <v>-8.0579717183689725E-3</v>
      </c>
      <c r="S202" s="12">
        <f t="shared" si="99"/>
        <v>8.5712404289213229E-3</v>
      </c>
      <c r="T202" s="12">
        <f t="shared" si="100"/>
        <v>-1.2929312579972652E-2</v>
      </c>
      <c r="U202" s="12">
        <f t="shared" si="101"/>
        <v>2.0479011077199072E-2</v>
      </c>
      <c r="V202" s="19">
        <f t="shared" si="102"/>
        <v>47.547508982736979</v>
      </c>
      <c r="W202" s="19">
        <f t="shared" si="103"/>
        <v>32.009243082689778</v>
      </c>
      <c r="X202" s="19">
        <f t="shared" si="104"/>
        <v>11.93565109173834</v>
      </c>
      <c r="Y202" s="19">
        <f t="shared" si="105"/>
        <v>268.62639616084431</v>
      </c>
      <c r="Z202" s="19">
        <f t="shared" si="106"/>
        <v>15.434618376297619</v>
      </c>
      <c r="AA202" s="19">
        <f t="shared" si="107"/>
        <v>491.38284595774661</v>
      </c>
      <c r="AB202" s="19">
        <f t="shared" si="108"/>
        <v>4508.5776029398485</v>
      </c>
      <c r="AC202" s="19">
        <f t="shared" si="109"/>
        <v>8580.0115657331535</v>
      </c>
      <c r="AD202" s="21">
        <f t="shared" si="110"/>
        <v>1735.4732338411338</v>
      </c>
      <c r="AE202" s="21">
        <f t="shared" si="111"/>
        <v>-10179.8895566716</v>
      </c>
      <c r="AF202" s="21">
        <f t="shared" si="112"/>
        <v>27932.607260084944</v>
      </c>
      <c r="AG202" s="21">
        <f t="shared" si="113"/>
        <v>12260.328604567747</v>
      </c>
      <c r="AH202" s="21">
        <f t="shared" si="114"/>
        <v>-5604.577336362875</v>
      </c>
      <c r="AI202" s="21">
        <f t="shared" si="115"/>
        <v>14615.885534730325</v>
      </c>
      <c r="AJ202" s="21">
        <f t="shared" si="116"/>
        <v>-17716.910205844488</v>
      </c>
      <c r="AK202" s="21">
        <f t="shared" si="117"/>
        <v>34436.798795434152</v>
      </c>
      <c r="AL202" s="23">
        <f t="shared" si="118"/>
        <v>57479.71632977933</v>
      </c>
      <c r="AM202" s="23"/>
    </row>
    <row r="203" spans="1:39" x14ac:dyDescent="0.3">
      <c r="A203" s="13">
        <f t="shared" si="93"/>
        <v>198</v>
      </c>
      <c r="B203" s="1">
        <v>45366</v>
      </c>
      <c r="C203" s="7">
        <v>2023</v>
      </c>
      <c r="D203" s="7">
        <v>9</v>
      </c>
      <c r="E203" s="77">
        <v>16.693000000000001</v>
      </c>
      <c r="F203" s="2">
        <v>50.688056945800781</v>
      </c>
      <c r="G203" s="2">
        <v>38.887428283691413</v>
      </c>
      <c r="H203" s="2">
        <v>13.14533138275146</v>
      </c>
      <c r="I203" s="2">
        <v>213.05000305175781</v>
      </c>
      <c r="J203" s="2">
        <v>12.409999847412109</v>
      </c>
      <c r="K203" s="2">
        <v>348.97158813476563</v>
      </c>
      <c r="L203" s="2">
        <v>175.3500061035156</v>
      </c>
      <c r="M203" s="2">
        <v>175.3399963378906</v>
      </c>
      <c r="N203" s="12">
        <f t="shared" si="94"/>
        <v>-2.1893521117242187E-3</v>
      </c>
      <c r="O203" s="12">
        <f t="shared" si="95"/>
        <v>5.0415213689876115E-3</v>
      </c>
      <c r="P203" s="12">
        <f t="shared" si="96"/>
        <v>-2.9984809046934568E-3</v>
      </c>
      <c r="Q203" s="12">
        <f t="shared" si="97"/>
        <v>2.3475611153900289E-4</v>
      </c>
      <c r="R203" s="12">
        <f t="shared" si="98"/>
        <v>-3.2128483908299144E-3</v>
      </c>
      <c r="S203" s="12">
        <f t="shared" si="99"/>
        <v>8.6889049710929145E-2</v>
      </c>
      <c r="T203" s="12">
        <f t="shared" si="100"/>
        <v>-8.4917356991424109E-3</v>
      </c>
      <c r="U203" s="12">
        <f t="shared" si="101"/>
        <v>-1.8704189319772357E-2</v>
      </c>
      <c r="V203" s="19">
        <f t="shared" si="102"/>
        <v>47.356827059945807</v>
      </c>
      <c r="W203" s="19">
        <f t="shared" si="103"/>
        <v>32.529608249464893</v>
      </c>
      <c r="X203" s="19">
        <f t="shared" si="104"/>
        <v>11.586249073113718</v>
      </c>
      <c r="Y203" s="19">
        <f t="shared" si="105"/>
        <v>265.46229816705397</v>
      </c>
      <c r="Z203" s="19">
        <f t="shared" si="106"/>
        <v>15.51000849730722</v>
      </c>
      <c r="AA203" s="19">
        <f t="shared" si="107"/>
        <v>529.53982136168804</v>
      </c>
      <c r="AB203" s="19">
        <f t="shared" si="108"/>
        <v>4528.8468298465141</v>
      </c>
      <c r="AC203" s="19">
        <f t="shared" si="109"/>
        <v>8250.565973085857</v>
      </c>
      <c r="AD203" s="21">
        <f t="shared" si="110"/>
        <v>-2078.165221982289</v>
      </c>
      <c r="AE203" s="21">
        <f t="shared" si="111"/>
        <v>4650.5176964191651</v>
      </c>
      <c r="AF203" s="21">
        <f t="shared" si="112"/>
        <v>-3094.2919937814354</v>
      </c>
      <c r="AG203" s="21">
        <f t="shared" si="113"/>
        <v>236.7562281644723</v>
      </c>
      <c r="AH203" s="21">
        <f t="shared" si="114"/>
        <v>-2234.6389272337074</v>
      </c>
      <c r="AI203" s="21">
        <f t="shared" si="115"/>
        <v>148165.29944852533</v>
      </c>
      <c r="AJ203" s="21">
        <f t="shared" si="116"/>
        <v>-11636.142133844805</v>
      </c>
      <c r="AK203" s="21">
        <f t="shared" si="117"/>
        <v>-31452.31973402515</v>
      </c>
      <c r="AL203" s="23">
        <f t="shared" si="118"/>
        <v>102557.01536224158</v>
      </c>
      <c r="AM203" s="23"/>
    </row>
    <row r="204" spans="1:39" x14ac:dyDescent="0.3">
      <c r="A204" s="13">
        <f t="shared" si="93"/>
        <v>199</v>
      </c>
      <c r="B204" s="1">
        <v>45365</v>
      </c>
      <c r="C204" s="7">
        <v>2023</v>
      </c>
      <c r="D204" s="7">
        <v>9</v>
      </c>
      <c r="E204" s="77">
        <v>16.696000000000002</v>
      </c>
      <c r="F204" s="2">
        <v>50.799274444580078</v>
      </c>
      <c r="G204" s="2">
        <v>38.692359924316413</v>
      </c>
      <c r="H204" s="2">
        <v>13.184865951538089</v>
      </c>
      <c r="I204" s="2">
        <v>213</v>
      </c>
      <c r="J204" s="2">
        <v>12.44999980926514</v>
      </c>
      <c r="K204" s="2">
        <v>321.07379150390619</v>
      </c>
      <c r="L204" s="2">
        <v>176.82000732421881</v>
      </c>
      <c r="M204" s="2">
        <v>178.6499938964844</v>
      </c>
      <c r="N204" s="12">
        <f t="shared" si="94"/>
        <v>-3.2734651351824517E-3</v>
      </c>
      <c r="O204" s="12">
        <f t="shared" si="95"/>
        <v>9.9287551553268738E-3</v>
      </c>
      <c r="P204" s="12">
        <f t="shared" si="96"/>
        <v>6.0331423335511225E-3</v>
      </c>
      <c r="Q204" s="12">
        <f t="shared" si="97"/>
        <v>-9.3944946159580933E-3</v>
      </c>
      <c r="R204" s="12">
        <f t="shared" si="98"/>
        <v>-2.0456351542209483E-2</v>
      </c>
      <c r="S204" s="12">
        <f t="shared" si="99"/>
        <v>-2.1215843899825226E-2</v>
      </c>
      <c r="T204" s="12">
        <f t="shared" si="100"/>
        <v>2.130952298721267E-2</v>
      </c>
      <c r="U204" s="12">
        <f t="shared" si="101"/>
        <v>1.4169097650309492E-2</v>
      </c>
      <c r="V204" s="19">
        <f t="shared" si="102"/>
        <v>47.305374258681361</v>
      </c>
      <c r="W204" s="19">
        <f t="shared" si="103"/>
        <v>32.687790570406833</v>
      </c>
      <c r="X204" s="19">
        <f t="shared" si="104"/>
        <v>11.691206422093265</v>
      </c>
      <c r="Y204" s="19">
        <f t="shared" si="105"/>
        <v>262.90669508274857</v>
      </c>
      <c r="Z204" s="19">
        <f t="shared" si="106"/>
        <v>15.241699581036093</v>
      </c>
      <c r="AA204" s="19">
        <f t="shared" si="107"/>
        <v>476.87037357749296</v>
      </c>
      <c r="AB204" s="19">
        <f t="shared" si="108"/>
        <v>4664.9680713797889</v>
      </c>
      <c r="AC204" s="19">
        <f t="shared" si="109"/>
        <v>8526.9589016471582</v>
      </c>
      <c r="AD204" s="21">
        <f t="shared" si="110"/>
        <v>-3107.2212472712126</v>
      </c>
      <c r="AE204" s="21">
        <f t="shared" si="111"/>
        <v>9158.7138432644479</v>
      </c>
      <c r="AF204" s="21">
        <f t="shared" si="112"/>
        <v>6225.9205956022797</v>
      </c>
      <c r="AG204" s="21">
        <f t="shared" si="113"/>
        <v>-9474.5354921960607</v>
      </c>
      <c r="AH204" s="21">
        <f t="shared" si="114"/>
        <v>-14228.047484553112</v>
      </c>
      <c r="AI204" s="21">
        <f t="shared" si="115"/>
        <v>-36177.767796157466</v>
      </c>
      <c r="AJ204" s="21">
        <f t="shared" si="116"/>
        <v>29200.230326137626</v>
      </c>
      <c r="AK204" s="21">
        <f t="shared" si="117"/>
        <v>23826.265978235097</v>
      </c>
      <c r="AL204" s="23">
        <f t="shared" si="118"/>
        <v>5423.5587230615965</v>
      </c>
      <c r="AM204" s="23"/>
    </row>
    <row r="205" spans="1:39" x14ac:dyDescent="0.3">
      <c r="A205" s="13">
        <f t="shared" si="93"/>
        <v>200</v>
      </c>
      <c r="B205" s="1">
        <v>45364</v>
      </c>
      <c r="C205" s="7">
        <v>2023</v>
      </c>
      <c r="D205" s="7">
        <v>9</v>
      </c>
      <c r="E205" s="77">
        <v>16.659500000000001</v>
      </c>
      <c r="F205" s="2">
        <v>50.966110229492188</v>
      </c>
      <c r="G205" s="2">
        <v>38.311969757080078</v>
      </c>
      <c r="H205" s="2">
        <v>13.10579681396484</v>
      </c>
      <c r="I205" s="2">
        <v>215.02000427246091</v>
      </c>
      <c r="J205" s="2">
        <v>12.710000038146971</v>
      </c>
      <c r="K205" s="2">
        <v>328.03329467773438</v>
      </c>
      <c r="L205" s="2">
        <v>173.50999450683591</v>
      </c>
      <c r="M205" s="2">
        <v>176.53999328613281</v>
      </c>
      <c r="N205" s="12">
        <f t="shared" si="94"/>
        <v>-4.5256016247131603E-3</v>
      </c>
      <c r="O205" s="12">
        <f t="shared" si="95"/>
        <v>-1.4303670637520471E-2</v>
      </c>
      <c r="P205" s="12">
        <f t="shared" si="96"/>
        <v>1.1441700818269451E-2</v>
      </c>
      <c r="Q205" s="12">
        <f t="shared" si="97"/>
        <v>-9.8544821954332784E-3</v>
      </c>
      <c r="R205" s="12">
        <f t="shared" si="98"/>
        <v>3.165587280709059E-2</v>
      </c>
      <c r="S205" s="12">
        <f t="shared" si="99"/>
        <v>2.8735902248892886E-2</v>
      </c>
      <c r="T205" s="12">
        <f t="shared" si="100"/>
        <v>-1.1513519511115233E-2</v>
      </c>
      <c r="U205" s="12">
        <f t="shared" si="101"/>
        <v>-3.1089418862358942E-2</v>
      </c>
      <c r="V205" s="19">
        <f t="shared" si="102"/>
        <v>47.245946940165922</v>
      </c>
      <c r="W205" s="19">
        <f t="shared" si="103"/>
        <v>31.903473404184851</v>
      </c>
      <c r="X205" s="19">
        <f t="shared" si="104"/>
        <v>11.754059792454537</v>
      </c>
      <c r="Y205" s="19">
        <f t="shared" si="105"/>
        <v>262.78461438196337</v>
      </c>
      <c r="Z205" s="19">
        <f t="shared" si="106"/>
        <v>16.052565813778362</v>
      </c>
      <c r="AA205" s="19">
        <f t="shared" si="107"/>
        <v>501.20720790233196</v>
      </c>
      <c r="AB205" s="19">
        <f t="shared" si="108"/>
        <v>4515.0444274560659</v>
      </c>
      <c r="AC205" s="19">
        <f t="shared" si="109"/>
        <v>8146.4330986551704</v>
      </c>
      <c r="AD205" s="21">
        <f t="shared" si="110"/>
        <v>-4295.767617579997</v>
      </c>
      <c r="AE205" s="21">
        <f t="shared" si="111"/>
        <v>-13194.325394062031</v>
      </c>
      <c r="AF205" s="21">
        <f t="shared" si="112"/>
        <v>11807.299883683305</v>
      </c>
      <c r="AG205" s="21">
        <f t="shared" si="113"/>
        <v>-9938.4421551798368</v>
      </c>
      <c r="AH205" s="21">
        <f t="shared" si="114"/>
        <v>22017.673119026305</v>
      </c>
      <c r="AI205" s="21">
        <f t="shared" si="115"/>
        <v>49001.152340779045</v>
      </c>
      <c r="AJ205" s="21">
        <f t="shared" si="116"/>
        <v>-15776.862850979251</v>
      </c>
      <c r="AK205" s="21">
        <f t="shared" si="117"/>
        <v>-52278.894620162464</v>
      </c>
      <c r="AL205" s="23">
        <f t="shared" si="118"/>
        <v>-12658.16729447493</v>
      </c>
      <c r="AM205" s="23"/>
    </row>
    <row r="206" spans="1:39" x14ac:dyDescent="0.3">
      <c r="A206" s="13">
        <f t="shared" si="93"/>
        <v>201</v>
      </c>
      <c r="B206" s="1">
        <v>45363</v>
      </c>
      <c r="C206" s="7">
        <v>2023</v>
      </c>
      <c r="D206" s="7">
        <v>9</v>
      </c>
      <c r="E206" s="77">
        <v>16.794499999999999</v>
      </c>
      <c r="F206" s="2">
        <v>51.197811126708977</v>
      </c>
      <c r="G206" s="2">
        <v>38.867923736572273</v>
      </c>
      <c r="H206" s="2">
        <v>12.957540512084959</v>
      </c>
      <c r="I206" s="2">
        <v>217.1600036621094</v>
      </c>
      <c r="J206" s="2">
        <v>12.319999694824221</v>
      </c>
      <c r="K206" s="2">
        <v>318.87026977539063</v>
      </c>
      <c r="L206" s="2">
        <v>174.1199951171875</v>
      </c>
      <c r="M206" s="2">
        <v>180.74000549316409</v>
      </c>
      <c r="N206" s="12">
        <f t="shared" si="94"/>
        <v>1.6320217778036383E-3</v>
      </c>
      <c r="O206" s="12">
        <f t="shared" si="95"/>
        <v>-2.2533285337528186E-3</v>
      </c>
      <c r="P206" s="12">
        <f t="shared" si="96"/>
        <v>-9.0703076841842645E-3</v>
      </c>
      <c r="Q206" s="12">
        <f t="shared" si="97"/>
        <v>1.3960897972298936E-2</v>
      </c>
      <c r="R206" s="12">
        <f t="shared" si="98"/>
        <v>1.7341044104091319E-2</v>
      </c>
      <c r="S206" s="12">
        <f t="shared" si="99"/>
        <v>0</v>
      </c>
      <c r="T206" s="12">
        <f t="shared" si="100"/>
        <v>-1.857843899328937E-2</v>
      </c>
      <c r="U206" s="12">
        <f t="shared" si="101"/>
        <v>-3.8444940175509368E-2</v>
      </c>
      <c r="V206" s="19">
        <f t="shared" si="102"/>
        <v>47.538192274679439</v>
      </c>
      <c r="W206" s="19">
        <f t="shared" si="103"/>
        <v>32.293499984752046</v>
      </c>
      <c r="X206" s="19">
        <f t="shared" si="104"/>
        <v>11.515687799084949</v>
      </c>
      <c r="Y206" s="19">
        <f t="shared" si="105"/>
        <v>269.10521613312193</v>
      </c>
      <c r="Z206" s="19">
        <f t="shared" si="106"/>
        <v>15.829827073152952</v>
      </c>
      <c r="AA206" s="19">
        <f t="shared" si="107"/>
        <v>487.20687866210938</v>
      </c>
      <c r="AB206" s="19">
        <f t="shared" si="108"/>
        <v>4482.7744612319048</v>
      </c>
      <c r="AC206" s="19">
        <f t="shared" si="109"/>
        <v>8084.5891437538257</v>
      </c>
      <c r="AD206" s="21">
        <f t="shared" si="110"/>
        <v>1549.1390726903376</v>
      </c>
      <c r="AE206" s="21">
        <f t="shared" si="111"/>
        <v>-2078.5678478969735</v>
      </c>
      <c r="AF206" s="21">
        <f t="shared" si="112"/>
        <v>-9360.1331275361317</v>
      </c>
      <c r="AG206" s="21">
        <f t="shared" si="113"/>
        <v>14079.844499222701</v>
      </c>
      <c r="AH206" s="21">
        <f t="shared" si="114"/>
        <v>12061.2514130705</v>
      </c>
      <c r="AI206" s="21">
        <f t="shared" si="115"/>
        <v>0</v>
      </c>
      <c r="AJ206" s="21">
        <f t="shared" si="116"/>
        <v>-25457.852718227605</v>
      </c>
      <c r="AK206" s="21">
        <f t="shared" si="117"/>
        <v>-64647.685600431396</v>
      </c>
      <c r="AL206" s="23">
        <f t="shared" si="118"/>
        <v>-73854.004309108568</v>
      </c>
      <c r="AM206" s="23"/>
    </row>
    <row r="207" spans="1:39" x14ac:dyDescent="0.3">
      <c r="A207" s="13">
        <f t="shared" si="93"/>
        <v>202</v>
      </c>
      <c r="B207" s="1">
        <v>45362</v>
      </c>
      <c r="C207" s="7">
        <v>2023</v>
      </c>
      <c r="D207" s="7">
        <v>9</v>
      </c>
      <c r="E207" s="77">
        <v>16.779</v>
      </c>
      <c r="F207" s="2">
        <v>51.114391326904297</v>
      </c>
      <c r="G207" s="2">
        <v>38.955703735351563</v>
      </c>
      <c r="H207" s="2">
        <v>13.076145172119141</v>
      </c>
      <c r="I207" s="2">
        <v>214.16999816894531</v>
      </c>
      <c r="J207" s="2">
        <v>12.10999965667725</v>
      </c>
      <c r="K207" s="2">
        <v>318.87026977539063</v>
      </c>
      <c r="L207" s="2">
        <v>177.58000183105469</v>
      </c>
      <c r="M207" s="2">
        <v>188.13999938964841</v>
      </c>
      <c r="N207" s="12">
        <f t="shared" si="94"/>
        <v>-2.3515153175726056E-3</v>
      </c>
      <c r="O207" s="12">
        <f t="shared" si="95"/>
        <v>-5.0053253764903438E-4</v>
      </c>
      <c r="P207" s="12">
        <f t="shared" si="96"/>
        <v>-8.9888483408032682E-3</v>
      </c>
      <c r="Q207" s="12">
        <f t="shared" si="97"/>
        <v>-9.572730630938775E-3</v>
      </c>
      <c r="R207" s="12">
        <f t="shared" si="98"/>
        <v>-2.2598924849618673E-2</v>
      </c>
      <c r="S207" s="12">
        <f t="shared" si="99"/>
        <v>-4.5343253701408015E-2</v>
      </c>
      <c r="T207" s="12">
        <f t="shared" si="100"/>
        <v>-5.3634954704557813E-3</v>
      </c>
      <c r="U207" s="12">
        <f t="shared" si="101"/>
        <v>-7.3207003328425224E-2</v>
      </c>
      <c r="V207" s="19">
        <f t="shared" si="102"/>
        <v>47.349130674954225</v>
      </c>
      <c r="W207" s="19">
        <f t="shared" si="103"/>
        <v>32.350231737502739</v>
      </c>
      <c r="X207" s="19">
        <f t="shared" si="104"/>
        <v>11.516634445828879</v>
      </c>
      <c r="Y207" s="19">
        <f t="shared" si="105"/>
        <v>262.85939124546053</v>
      </c>
      <c r="Z207" s="19">
        <f t="shared" si="106"/>
        <v>15.208361139473746</v>
      </c>
      <c r="AA207" s="19">
        <f t="shared" si="107"/>
        <v>465.11533355786224</v>
      </c>
      <c r="AB207" s="19">
        <f t="shared" si="108"/>
        <v>4543.1354861822983</v>
      </c>
      <c r="AC207" s="19">
        <f t="shared" si="109"/>
        <v>7792.3157107256175</v>
      </c>
      <c r="AD207" s="21">
        <f t="shared" si="110"/>
        <v>-2232.092921813944</v>
      </c>
      <c r="AE207" s="21">
        <f t="shared" si="111"/>
        <v>-461.71289450222378</v>
      </c>
      <c r="AF207" s="21">
        <f t="shared" si="112"/>
        <v>-9276.0708966751208</v>
      </c>
      <c r="AG207" s="21">
        <f t="shared" si="113"/>
        <v>-9654.2900738906155</v>
      </c>
      <c r="AH207" s="21">
        <f t="shared" si="114"/>
        <v>-15718.275822389993</v>
      </c>
      <c r="AI207" s="21">
        <f t="shared" si="115"/>
        <v>-77320.407864864959</v>
      </c>
      <c r="AJ207" s="21">
        <f t="shared" si="116"/>
        <v>-7349.5452331095294</v>
      </c>
      <c r="AK207" s="21">
        <f t="shared" si="117"/>
        <v>-123102.37220607305</v>
      </c>
      <c r="AL207" s="23">
        <f t="shared" si="118"/>
        <v>-245114.76791331943</v>
      </c>
      <c r="AM207" s="23"/>
    </row>
    <row r="208" spans="1:39" x14ac:dyDescent="0.3">
      <c r="A208" s="13">
        <f t="shared" si="93"/>
        <v>203</v>
      </c>
      <c r="B208" s="1">
        <v>45359</v>
      </c>
      <c r="C208" s="7">
        <v>2023</v>
      </c>
      <c r="D208" s="7">
        <v>9</v>
      </c>
      <c r="E208" s="77">
        <v>16.808900000000001</v>
      </c>
      <c r="F208" s="2">
        <v>51.234870910644531</v>
      </c>
      <c r="G208" s="2">
        <v>38.975212097167969</v>
      </c>
      <c r="H208" s="2">
        <v>13.19475078582764</v>
      </c>
      <c r="I208" s="2">
        <v>216.24000549316409</v>
      </c>
      <c r="J208" s="2">
        <v>12.39000034332275</v>
      </c>
      <c r="K208" s="2">
        <v>334.015625</v>
      </c>
      <c r="L208" s="2">
        <v>178.2200012207031</v>
      </c>
      <c r="M208" s="2">
        <v>202.63999938964841</v>
      </c>
      <c r="N208" s="12">
        <f t="shared" si="94"/>
        <v>1.811865672660673E-3</v>
      </c>
      <c r="O208" s="12">
        <f t="shared" si="95"/>
        <v>2.3565579621251942E-2</v>
      </c>
      <c r="P208" s="12">
        <f t="shared" si="96"/>
        <v>2.3773127057848287E-2</v>
      </c>
      <c r="Q208" s="12">
        <f t="shared" si="97"/>
        <v>6.1418543433131578E-3</v>
      </c>
      <c r="R208" s="12">
        <f t="shared" si="98"/>
        <v>2.4272400872837885E-3</v>
      </c>
      <c r="S208" s="12">
        <f t="shared" si="99"/>
        <v>0</v>
      </c>
      <c r="T208" s="12">
        <f t="shared" si="100"/>
        <v>4.6080961004146825E-3</v>
      </c>
      <c r="U208" s="12">
        <f t="shared" si="101"/>
        <v>1.2913684189519437E-4</v>
      </c>
      <c r="V208" s="19">
        <f t="shared" si="102"/>
        <v>47.546727798172356</v>
      </c>
      <c r="W208" s="19">
        <f t="shared" si="103"/>
        <v>33.129165924769332</v>
      </c>
      <c r="X208" s="19">
        <f t="shared" si="104"/>
        <v>11.897364464616057</v>
      </c>
      <c r="Y208" s="19">
        <f t="shared" si="105"/>
        <v>267.03004200171279</v>
      </c>
      <c r="Z208" s="19">
        <f t="shared" si="106"/>
        <v>15.597768276393346</v>
      </c>
      <c r="AA208" s="19">
        <f t="shared" si="107"/>
        <v>487.20687866210938</v>
      </c>
      <c r="AB208" s="19">
        <f t="shared" si="108"/>
        <v>4588.6820665792911</v>
      </c>
      <c r="AC208" s="19">
        <f t="shared" si="109"/>
        <v>8408.9133320557994</v>
      </c>
      <c r="AD208" s="21">
        <f t="shared" si="110"/>
        <v>1719.8495425486726</v>
      </c>
      <c r="AE208" s="21">
        <f t="shared" si="111"/>
        <v>21737.911442595676</v>
      </c>
      <c r="AF208" s="21">
        <f t="shared" si="112"/>
        <v>24532.754771626271</v>
      </c>
      <c r="AG208" s="21">
        <f t="shared" si="113"/>
        <v>6194.1827998679628</v>
      </c>
      <c r="AH208" s="21">
        <f t="shared" si="114"/>
        <v>1688.223197916104</v>
      </c>
      <c r="AI208" s="21">
        <f t="shared" si="115"/>
        <v>0</v>
      </c>
      <c r="AJ208" s="21">
        <f t="shared" si="116"/>
        <v>6314.428885988309</v>
      </c>
      <c r="AK208" s="21">
        <f t="shared" si="117"/>
        <v>217.1520599633368</v>
      </c>
      <c r="AL208" s="23">
        <f t="shared" si="118"/>
        <v>62404.502700506331</v>
      </c>
      <c r="AM208" s="23"/>
    </row>
    <row r="209" spans="1:39" x14ac:dyDescent="0.3">
      <c r="A209" s="13">
        <f t="shared" si="93"/>
        <v>204</v>
      </c>
      <c r="B209" s="1">
        <v>45358</v>
      </c>
      <c r="C209" s="7">
        <v>2023</v>
      </c>
      <c r="D209" s="7">
        <v>9</v>
      </c>
      <c r="E209" s="77">
        <v>16.87</v>
      </c>
      <c r="F209" s="2">
        <v>51.142208099365227</v>
      </c>
      <c r="G209" s="2">
        <v>38.077884674072273</v>
      </c>
      <c r="H209" s="2">
        <v>12.88835430145264</v>
      </c>
      <c r="I209" s="2">
        <v>214.91999816894531</v>
      </c>
      <c r="J209" s="2">
        <v>12.35999965667725</v>
      </c>
      <c r="K209" s="2">
        <v>334.015625</v>
      </c>
      <c r="L209" s="2">
        <v>176.75999450683591</v>
      </c>
      <c r="M209" s="2">
        <v>201.8800048828125</v>
      </c>
      <c r="N209" s="12">
        <f t="shared" si="94"/>
        <v>2.1794858473580536E-3</v>
      </c>
      <c r="O209" s="12">
        <f t="shared" si="95"/>
        <v>-2.0817617552730927E-2</v>
      </c>
      <c r="P209" s="12">
        <f t="shared" si="96"/>
        <v>-1.1372231906126462E-2</v>
      </c>
      <c r="Q209" s="12">
        <f t="shared" si="97"/>
        <v>1.9580334216564577E-3</v>
      </c>
      <c r="R209" s="12">
        <f t="shared" si="98"/>
        <v>-4.8309516302841304E-3</v>
      </c>
      <c r="S209" s="12">
        <f t="shared" si="99"/>
        <v>0</v>
      </c>
      <c r="T209" s="12">
        <f t="shared" si="100"/>
        <v>2.0366578856650497E-2</v>
      </c>
      <c r="U209" s="12">
        <f t="shared" si="101"/>
        <v>-1.2063022389680045E-3</v>
      </c>
      <c r="V209" s="19">
        <f t="shared" si="102"/>
        <v>47.564175321982347</v>
      </c>
      <c r="W209" s="19">
        <f t="shared" si="103"/>
        <v>31.692640183064814</v>
      </c>
      <c r="X209" s="19">
        <f t="shared" si="104"/>
        <v>11.488936919701077</v>
      </c>
      <c r="Y209" s="19">
        <f t="shared" si="105"/>
        <v>265.91965595464109</v>
      </c>
      <c r="Z209" s="19">
        <f t="shared" si="106"/>
        <v>15.484830810222331</v>
      </c>
      <c r="AA209" s="19">
        <f t="shared" si="107"/>
        <v>487.20687866210938</v>
      </c>
      <c r="AB209" s="19">
        <f t="shared" si="108"/>
        <v>4660.661047736945</v>
      </c>
      <c r="AC209" s="19">
        <f t="shared" si="109"/>
        <v>8397.685190531316</v>
      </c>
      <c r="AD209" s="21">
        <f t="shared" si="110"/>
        <v>2068.8000187485045</v>
      </c>
      <c r="AE209" s="21">
        <f t="shared" si="111"/>
        <v>-19203.072195983084</v>
      </c>
      <c r="AF209" s="21">
        <f t="shared" si="112"/>
        <v>-11735.611216823985</v>
      </c>
      <c r="AG209" s="21">
        <f t="shared" si="113"/>
        <v>1974.7158209955046</v>
      </c>
      <c r="AH209" s="21">
        <f t="shared" si="114"/>
        <v>-3360.0815399282747</v>
      </c>
      <c r="AI209" s="21">
        <f t="shared" si="115"/>
        <v>0</v>
      </c>
      <c r="AJ209" s="21">
        <f t="shared" si="116"/>
        <v>27908.123233284459</v>
      </c>
      <c r="AK209" s="21">
        <f t="shared" si="117"/>
        <v>-2028.4762449333357</v>
      </c>
      <c r="AL209" s="23">
        <f t="shared" si="118"/>
        <v>-4375.6021246402088</v>
      </c>
      <c r="AM209" s="23"/>
    </row>
    <row r="210" spans="1:39" x14ac:dyDescent="0.3">
      <c r="A210" s="13">
        <f t="shared" si="93"/>
        <v>205</v>
      </c>
      <c r="B210" s="1">
        <v>45357</v>
      </c>
      <c r="C210" s="7">
        <v>2023</v>
      </c>
      <c r="D210" s="7">
        <v>9</v>
      </c>
      <c r="E210" s="77">
        <v>16.876999999999999</v>
      </c>
      <c r="F210" s="2">
        <v>51.030986785888672</v>
      </c>
      <c r="G210" s="2">
        <v>38.887428283691413</v>
      </c>
      <c r="H210" s="2">
        <v>13.0366096496582</v>
      </c>
      <c r="I210" s="2">
        <v>214.5</v>
      </c>
      <c r="J210" s="2">
        <v>12.420000076293951</v>
      </c>
      <c r="K210" s="2">
        <v>334.015625</v>
      </c>
      <c r="L210" s="2">
        <v>173.1600036621094</v>
      </c>
      <c r="M210" s="2">
        <v>202.03999328613281</v>
      </c>
      <c r="N210" s="12">
        <f t="shared" si="94"/>
        <v>-1.5906853910267249E-2</v>
      </c>
      <c r="O210" s="12">
        <f t="shared" si="95"/>
        <v>-4.1356110590657247E-2</v>
      </c>
      <c r="P210" s="12">
        <f t="shared" si="96"/>
        <v>-3.2281800396931182E-2</v>
      </c>
      <c r="Q210" s="12">
        <f t="shared" si="97"/>
        <v>-2.5111295712062498E-3</v>
      </c>
      <c r="R210" s="12">
        <f t="shared" si="98"/>
        <v>-1.035857469841972E-2</v>
      </c>
      <c r="S210" s="12">
        <f t="shared" si="99"/>
        <v>0</v>
      </c>
      <c r="T210" s="12">
        <f t="shared" si="100"/>
        <v>-6.0530560203677641E-3</v>
      </c>
      <c r="U210" s="12">
        <f t="shared" si="101"/>
        <v>7.6489239101624751E-3</v>
      </c>
      <c r="V210" s="19">
        <f t="shared" si="102"/>
        <v>46.705784337819196</v>
      </c>
      <c r="W210" s="19">
        <f t="shared" si="103"/>
        <v>31.027882440869188</v>
      </c>
      <c r="X210" s="19">
        <f t="shared" si="104"/>
        <v>11.245944844056471</v>
      </c>
      <c r="Y210" s="19">
        <f t="shared" si="105"/>
        <v>264.73354012361295</v>
      </c>
      <c r="Z210" s="19">
        <f t="shared" si="106"/>
        <v>15.398820992962657</v>
      </c>
      <c r="AA210" s="19">
        <f t="shared" si="107"/>
        <v>487.20687866210938</v>
      </c>
      <c r="AB210" s="19">
        <f t="shared" si="108"/>
        <v>4539.9858259899474</v>
      </c>
      <c r="AC210" s="19">
        <f t="shared" si="109"/>
        <v>8472.1384051021105</v>
      </c>
      <c r="AD210" s="21">
        <f t="shared" si="110"/>
        <v>-15099.019664514515</v>
      </c>
      <c r="AE210" s="21">
        <f t="shared" si="111"/>
        <v>-38148.667848558413</v>
      </c>
      <c r="AF210" s="21">
        <f t="shared" si="112"/>
        <v>-33313.307534065018</v>
      </c>
      <c r="AG210" s="21">
        <f t="shared" si="113"/>
        <v>-2532.5243369113991</v>
      </c>
      <c r="AH210" s="21">
        <f t="shared" si="114"/>
        <v>-7204.7203714357001</v>
      </c>
      <c r="AI210" s="21">
        <f t="shared" si="115"/>
        <v>0</v>
      </c>
      <c r="AJ210" s="21">
        <f t="shared" si="116"/>
        <v>-8294.4432908147974</v>
      </c>
      <c r="AK210" s="21">
        <f t="shared" si="117"/>
        <v>12862.166669225553</v>
      </c>
      <c r="AL210" s="23">
        <f t="shared" si="118"/>
        <v>-91730.516377074309</v>
      </c>
      <c r="AM210" s="23"/>
    </row>
    <row r="211" spans="1:39" x14ac:dyDescent="0.3">
      <c r="A211" s="13">
        <f t="shared" si="93"/>
        <v>206</v>
      </c>
      <c r="B211" s="1">
        <v>45356</v>
      </c>
      <c r="C211" s="7">
        <v>2023</v>
      </c>
      <c r="D211" s="7">
        <v>8</v>
      </c>
      <c r="E211" s="77">
        <v>16.942599999999999</v>
      </c>
      <c r="F211" s="2">
        <v>51.855850219726563</v>
      </c>
      <c r="G211" s="2">
        <v>40.565040588378913</v>
      </c>
      <c r="H211" s="2">
        <v>13.471493721008301</v>
      </c>
      <c r="I211" s="2">
        <v>215.03999328613281</v>
      </c>
      <c r="J211" s="2">
        <v>12.55000019073486</v>
      </c>
      <c r="K211" s="2">
        <v>334.015625</v>
      </c>
      <c r="L211" s="2">
        <v>173.53999328613281</v>
      </c>
      <c r="M211" s="2">
        <v>199.72999572753909</v>
      </c>
      <c r="N211" s="12">
        <f t="shared" si="94"/>
        <v>1.0736335584606849E-3</v>
      </c>
      <c r="O211" s="12">
        <f t="shared" si="95"/>
        <v>-9.5261283461229862E-3</v>
      </c>
      <c r="P211" s="12">
        <f t="shared" si="96"/>
        <v>-1.5884475628869521E-2</v>
      </c>
      <c r="Q211" s="12">
        <f t="shared" si="97"/>
        <v>9.5774332682292407E-3</v>
      </c>
      <c r="R211" s="12">
        <f t="shared" si="98"/>
        <v>3.1974389385438506E-3</v>
      </c>
      <c r="S211" s="12">
        <f t="shared" si="99"/>
        <v>5.70406159287562E-3</v>
      </c>
      <c r="T211" s="12">
        <f t="shared" si="100"/>
        <v>-7.8294779657215319E-3</v>
      </c>
      <c r="U211" s="12">
        <f t="shared" si="101"/>
        <v>6.2733282215932107E-4</v>
      </c>
      <c r="V211" s="19">
        <f t="shared" si="102"/>
        <v>47.511690759194813</v>
      </c>
      <c r="W211" s="19">
        <f t="shared" si="103"/>
        <v>32.058105402793942</v>
      </c>
      <c r="X211" s="19">
        <f t="shared" si="104"/>
        <v>11.43649970807302</v>
      </c>
      <c r="Y211" s="19">
        <f t="shared" si="105"/>
        <v>267.9418446274164</v>
      </c>
      <c r="Z211" s="19">
        <f t="shared" si="106"/>
        <v>15.60975257084214</v>
      </c>
      <c r="AA211" s="19">
        <f t="shared" si="107"/>
        <v>489.98593670647074</v>
      </c>
      <c r="AB211" s="19">
        <f t="shared" si="108"/>
        <v>4531.8717807667763</v>
      </c>
      <c r="AC211" s="19">
        <f t="shared" si="109"/>
        <v>8413.1020779548016</v>
      </c>
      <c r="AD211" s="21">
        <f t="shared" si="110"/>
        <v>1019.1087629978313</v>
      </c>
      <c r="AE211" s="21">
        <f t="shared" si="111"/>
        <v>-8787.3134337029442</v>
      </c>
      <c r="AF211" s="21">
        <f t="shared" si="112"/>
        <v>-16392.035609395421</v>
      </c>
      <c r="AG211" s="21">
        <f t="shared" si="113"/>
        <v>9659.032777541699</v>
      </c>
      <c r="AH211" s="21">
        <f t="shared" si="114"/>
        <v>2223.9211597772064</v>
      </c>
      <c r="AI211" s="21">
        <f t="shared" si="115"/>
        <v>9726.7031552647713</v>
      </c>
      <c r="AJ211" s="21">
        <f t="shared" si="116"/>
        <v>-10728.656857766146</v>
      </c>
      <c r="AK211" s="21">
        <f t="shared" si="117"/>
        <v>1054.9012397637853</v>
      </c>
      <c r="AL211" s="23">
        <f t="shared" si="118"/>
        <v>-12224.338805519217</v>
      </c>
      <c r="AM211" s="23"/>
    </row>
    <row r="212" spans="1:39" x14ac:dyDescent="0.3">
      <c r="A212" s="13">
        <f t="shared" si="93"/>
        <v>207</v>
      </c>
      <c r="B212" s="1">
        <v>45355</v>
      </c>
      <c r="C212" s="7">
        <v>2023</v>
      </c>
      <c r="D212" s="7">
        <v>8</v>
      </c>
      <c r="E212" s="77">
        <v>16.96</v>
      </c>
      <c r="F212" s="2">
        <v>51.800235748291023</v>
      </c>
      <c r="G212" s="2">
        <v>40.955184936523438</v>
      </c>
      <c r="H212" s="2">
        <v>13.68893527984619</v>
      </c>
      <c r="I212" s="2">
        <v>213</v>
      </c>
      <c r="J212" s="2">
        <v>12.510000228881839</v>
      </c>
      <c r="K212" s="2">
        <v>332.12118530273438</v>
      </c>
      <c r="L212" s="2">
        <v>174.72999572753909</v>
      </c>
      <c r="M212" s="2">
        <v>199.3999938964844</v>
      </c>
      <c r="N212" s="12">
        <f t="shared" si="94"/>
        <v>-9.0427419212416593E-3</v>
      </c>
      <c r="O212" s="12">
        <f t="shared" si="95"/>
        <v>-2.1668150029237498E-2</v>
      </c>
      <c r="P212" s="12">
        <f t="shared" si="96"/>
        <v>-1.0714266514838311E-2</v>
      </c>
      <c r="Q212" s="12">
        <f t="shared" si="97"/>
        <v>-4.6920365680769294E-5</v>
      </c>
      <c r="R212" s="12">
        <f t="shared" si="98"/>
        <v>-9.5011785013267014E-3</v>
      </c>
      <c r="S212" s="12">
        <f t="shared" si="99"/>
        <v>1.2461816197700371E-2</v>
      </c>
      <c r="T212" s="12">
        <f t="shared" si="100"/>
        <v>-4.4677557745065322E-3</v>
      </c>
      <c r="U212" s="12">
        <f t="shared" si="101"/>
        <v>3.5602004663148668E-2</v>
      </c>
      <c r="V212" s="19">
        <f t="shared" si="102"/>
        <v>47.031560140144357</v>
      </c>
      <c r="W212" s="19">
        <f t="shared" si="103"/>
        <v>31.66511148133862</v>
      </c>
      <c r="X212" s="19">
        <f t="shared" si="104"/>
        <v>11.496583197824977</v>
      </c>
      <c r="Y212" s="19">
        <f t="shared" si="105"/>
        <v>265.38754123171907</v>
      </c>
      <c r="Z212" s="19">
        <f t="shared" si="106"/>
        <v>15.412162078149203</v>
      </c>
      <c r="AA212" s="19">
        <f t="shared" si="107"/>
        <v>493.27836123425186</v>
      </c>
      <c r="AB212" s="19">
        <f t="shared" si="108"/>
        <v>4547.2268972460561</v>
      </c>
      <c r="AC212" s="19">
        <f t="shared" si="109"/>
        <v>8707.1630881725887</v>
      </c>
      <c r="AD212" s="21">
        <f t="shared" si="110"/>
        <v>-8583.5036180112929</v>
      </c>
      <c r="AE212" s="21">
        <f t="shared" si="111"/>
        <v>-19987.640195179607</v>
      </c>
      <c r="AF212" s="21">
        <f t="shared" si="112"/>
        <v>-11056.62171942165</v>
      </c>
      <c r="AG212" s="21">
        <f t="shared" si="113"/>
        <v>-47.320126108161276</v>
      </c>
      <c r="AH212" s="21">
        <f t="shared" si="114"/>
        <v>-6608.3738635970794</v>
      </c>
      <c r="AI212" s="21">
        <f t="shared" si="115"/>
        <v>21250.189002498701</v>
      </c>
      <c r="AJ212" s="21">
        <f t="shared" si="116"/>
        <v>-6122.1219139822097</v>
      </c>
      <c r="AK212" s="21">
        <f t="shared" si="117"/>
        <v>59867.103283321194</v>
      </c>
      <c r="AL212" s="23">
        <f t="shared" si="118"/>
        <v>28711.710849519888</v>
      </c>
      <c r="AM212" s="23"/>
    </row>
    <row r="213" spans="1:39" x14ac:dyDescent="0.3">
      <c r="A213" s="13">
        <f t="shared" si="93"/>
        <v>208</v>
      </c>
      <c r="B213" s="1">
        <v>45352</v>
      </c>
      <c r="C213" s="7">
        <v>2023</v>
      </c>
      <c r="D213" s="7">
        <v>8</v>
      </c>
      <c r="E213" s="77">
        <v>17.0108</v>
      </c>
      <c r="F213" s="2">
        <v>52.272926330566413</v>
      </c>
      <c r="G213" s="2">
        <v>41.862262725830078</v>
      </c>
      <c r="H213" s="2">
        <v>13.83719062805176</v>
      </c>
      <c r="I213" s="2">
        <v>213.00999450683591</v>
      </c>
      <c r="J213" s="2">
        <v>12.63000011444092</v>
      </c>
      <c r="K213" s="2">
        <v>328.03329467773438</v>
      </c>
      <c r="L213" s="2">
        <v>174.99000549316409</v>
      </c>
      <c r="M213" s="2">
        <v>191.9700012207031</v>
      </c>
      <c r="N213" s="12">
        <f t="shared" si="94"/>
        <v>-7.9154438794513116E-3</v>
      </c>
      <c r="O213" s="12">
        <f t="shared" si="95"/>
        <v>1.2264105866385044E-2</v>
      </c>
      <c r="P213" s="12">
        <f t="shared" si="96"/>
        <v>2.1152390392542797E-2</v>
      </c>
      <c r="Q213" s="12">
        <f t="shared" si="97"/>
        <v>2.2584845918032226E-3</v>
      </c>
      <c r="R213" s="12">
        <f t="shared" si="98"/>
        <v>2.3809311161060442E-3</v>
      </c>
      <c r="S213" s="12">
        <f t="shared" si="99"/>
        <v>-6.9855377799621365E-4</v>
      </c>
      <c r="T213" s="12">
        <f t="shared" si="100"/>
        <v>1.0265177463408826E-4</v>
      </c>
      <c r="U213" s="12">
        <f t="shared" si="101"/>
        <v>-2.973572988501505E-2</v>
      </c>
      <c r="V213" s="19">
        <f t="shared" si="102"/>
        <v>47.085062534133698</v>
      </c>
      <c r="W213" s="19">
        <f t="shared" si="103"/>
        <v>32.763377540836025</v>
      </c>
      <c r="X213" s="19">
        <f t="shared" si="104"/>
        <v>11.86690863563515</v>
      </c>
      <c r="Y213" s="19">
        <f t="shared" si="105"/>
        <v>265.99939569336425</v>
      </c>
      <c r="Z213" s="19">
        <f t="shared" si="106"/>
        <v>15.597047708782387</v>
      </c>
      <c r="AA213" s="19">
        <f t="shared" si="107"/>
        <v>486.86653845635419</v>
      </c>
      <c r="AB213" s="19">
        <f t="shared" si="108"/>
        <v>4568.102846025593</v>
      </c>
      <c r="AC213" s="19">
        <f t="shared" si="109"/>
        <v>8157.814682162465</v>
      </c>
      <c r="AD213" s="21">
        <f t="shared" si="110"/>
        <v>-7513.4557382244793</v>
      </c>
      <c r="AE213" s="21">
        <f t="shared" si="111"/>
        <v>11312.942500496432</v>
      </c>
      <c r="AF213" s="21">
        <f t="shared" si="112"/>
        <v>21828.277158121735</v>
      </c>
      <c r="AG213" s="21">
        <f t="shared" si="113"/>
        <v>2277.7268281435227</v>
      </c>
      <c r="AH213" s="21">
        <f t="shared" si="114"/>
        <v>1656.0138257062586</v>
      </c>
      <c r="AI213" s="21">
        <f t="shared" si="115"/>
        <v>-1191.1907201431404</v>
      </c>
      <c r="AJ213" s="21">
        <f t="shared" si="116"/>
        <v>140.66271987885557</v>
      </c>
      <c r="AK213" s="21">
        <f t="shared" si="117"/>
        <v>-50002.577918703537</v>
      </c>
      <c r="AL213" s="23">
        <f t="shared" si="118"/>
        <v>-21491.601344724353</v>
      </c>
      <c r="AM213" s="23"/>
    </row>
    <row r="214" spans="1:39" x14ac:dyDescent="0.3">
      <c r="A214" s="13">
        <f t="shared" si="93"/>
        <v>209</v>
      </c>
      <c r="B214" s="1">
        <v>45351</v>
      </c>
      <c r="C214" s="7">
        <v>2023</v>
      </c>
      <c r="D214" s="7">
        <v>8</v>
      </c>
      <c r="E214" s="77">
        <v>17.048999999999999</v>
      </c>
      <c r="F214" s="2">
        <v>52.689990997314453</v>
      </c>
      <c r="G214" s="2">
        <v>41.355079650878913</v>
      </c>
      <c r="H214" s="2">
        <v>13.550563812255859</v>
      </c>
      <c r="I214" s="2">
        <v>212.5299987792969</v>
      </c>
      <c r="J214" s="2">
        <v>12.60000038146973</v>
      </c>
      <c r="K214" s="2">
        <v>328.26260375976563</v>
      </c>
      <c r="L214" s="2">
        <v>174.58000183105469</v>
      </c>
      <c r="M214" s="2">
        <v>197.4100036621094</v>
      </c>
      <c r="N214" s="12">
        <f t="shared" si="94"/>
        <v>2.1151820138283206E-3</v>
      </c>
      <c r="O214" s="12">
        <f t="shared" si="95"/>
        <v>2.5145069893121486E-2</v>
      </c>
      <c r="P214" s="12">
        <f t="shared" si="96"/>
        <v>1.1061854334983634E-2</v>
      </c>
      <c r="Q214" s="12">
        <f t="shared" si="97"/>
        <v>-1.3232454447506758E-2</v>
      </c>
      <c r="R214" s="12">
        <f t="shared" si="98"/>
        <v>0</v>
      </c>
      <c r="S214" s="12">
        <f t="shared" si="99"/>
        <v>0</v>
      </c>
      <c r="T214" s="12">
        <f t="shared" si="100"/>
        <v>3.3057804399256208E-2</v>
      </c>
      <c r="U214" s="12">
        <f t="shared" si="101"/>
        <v>1.1134696703756441E-2</v>
      </c>
      <c r="V214" s="19">
        <f t="shared" si="102"/>
        <v>47.561123414759059</v>
      </c>
      <c r="W214" s="19">
        <f t="shared" si="103"/>
        <v>33.180288389548465</v>
      </c>
      <c r="X214" s="19">
        <f t="shared" si="104"/>
        <v>11.749645560499415</v>
      </c>
      <c r="Y214" s="19">
        <f t="shared" si="105"/>
        <v>261.88810056688055</v>
      </c>
      <c r="Z214" s="19">
        <f t="shared" si="106"/>
        <v>15.560000419616699</v>
      </c>
      <c r="AA214" s="19">
        <f t="shared" si="107"/>
        <v>487.20687866210938</v>
      </c>
      <c r="AB214" s="19">
        <f t="shared" si="108"/>
        <v>4718.6299206499962</v>
      </c>
      <c r="AC214" s="19">
        <f t="shared" si="109"/>
        <v>8501.4461817049669</v>
      </c>
      <c r="AD214" s="21">
        <f t="shared" si="110"/>
        <v>2007.7618742827497</v>
      </c>
      <c r="AE214" s="21">
        <f t="shared" si="111"/>
        <v>23194.901688800986</v>
      </c>
      <c r="AF214" s="21">
        <f t="shared" si="112"/>
        <v>11415.31608606844</v>
      </c>
      <c r="AG214" s="21">
        <f t="shared" si="113"/>
        <v>-13345.194652494523</v>
      </c>
      <c r="AH214" s="21">
        <f t="shared" si="114"/>
        <v>0</v>
      </c>
      <c r="AI214" s="21">
        <f t="shared" si="115"/>
        <v>0</v>
      </c>
      <c r="AJ214" s="21">
        <f t="shared" si="116"/>
        <v>45298.785107199816</v>
      </c>
      <c r="AK214" s="21">
        <f t="shared" si="117"/>
        <v>18723.721989796832</v>
      </c>
      <c r="AL214" s="23">
        <f t="shared" si="118"/>
        <v>87295.292093654294</v>
      </c>
      <c r="AM214" s="23"/>
    </row>
    <row r="215" spans="1:39" x14ac:dyDescent="0.3">
      <c r="A215" s="13">
        <f t="shared" si="93"/>
        <v>210</v>
      </c>
      <c r="B215" s="1">
        <v>45350</v>
      </c>
      <c r="C215" s="7">
        <v>2023</v>
      </c>
      <c r="D215" s="7">
        <v>8</v>
      </c>
      <c r="E215" s="77">
        <v>17.0898</v>
      </c>
      <c r="F215" s="2">
        <v>52.578777313232422</v>
      </c>
      <c r="G215" s="2">
        <v>40.340709686279297</v>
      </c>
      <c r="H215" s="2">
        <v>13.402309417724609</v>
      </c>
      <c r="I215" s="2">
        <v>215.3800048828125</v>
      </c>
      <c r="J215" s="2">
        <v>12.60000038146973</v>
      </c>
      <c r="K215" s="2">
        <v>328.26260375976563</v>
      </c>
      <c r="L215" s="2">
        <v>168.5899963378906</v>
      </c>
      <c r="M215" s="2">
        <v>194.77000427246091</v>
      </c>
      <c r="N215" s="12">
        <f t="shared" si="94"/>
        <v>-2.987591678636492E-3</v>
      </c>
      <c r="O215" s="12">
        <f t="shared" si="95"/>
        <v>-2.3607209799423989E-2</v>
      </c>
      <c r="P215" s="12">
        <f t="shared" si="96"/>
        <v>9.6799909876046364E-3</v>
      </c>
      <c r="Q215" s="12">
        <f t="shared" si="97"/>
        <v>3.2607240120809955E-3</v>
      </c>
      <c r="R215" s="12">
        <f t="shared" si="98"/>
        <v>-2.7026983239412994E-2</v>
      </c>
      <c r="S215" s="12">
        <f t="shared" si="99"/>
        <v>0</v>
      </c>
      <c r="T215" s="12">
        <f t="shared" si="100"/>
        <v>1.0877146973260921E-2</v>
      </c>
      <c r="U215" s="12">
        <f t="shared" si="101"/>
        <v>7.0453047175160766E-3</v>
      </c>
      <c r="V215" s="19">
        <f t="shared" si="102"/>
        <v>47.318942023137801</v>
      </c>
      <c r="W215" s="19">
        <f t="shared" si="103"/>
        <v>31.602351034774635</v>
      </c>
      <c r="X215" s="19">
        <f t="shared" si="104"/>
        <v>11.733586795671988</v>
      </c>
      <c r="Y215" s="19">
        <f t="shared" si="105"/>
        <v>266.26539002938881</v>
      </c>
      <c r="Z215" s="19">
        <f t="shared" si="106"/>
        <v>15.13946054907046</v>
      </c>
      <c r="AA215" s="19">
        <f t="shared" si="107"/>
        <v>487.20687866210938</v>
      </c>
      <c r="AB215" s="19">
        <f t="shared" si="108"/>
        <v>4617.3167963075957</v>
      </c>
      <c r="AC215" s="19">
        <f t="shared" si="109"/>
        <v>8467.0632790113377</v>
      </c>
      <c r="AD215" s="21">
        <f t="shared" si="110"/>
        <v>-2835.8659581424208</v>
      </c>
      <c r="AE215" s="21">
        <f t="shared" si="111"/>
        <v>-21776.312922253175</v>
      </c>
      <c r="AF215" s="21">
        <f t="shared" si="112"/>
        <v>9989.2977693928951</v>
      </c>
      <c r="AG215" s="21">
        <f t="shared" si="113"/>
        <v>3288.5053050368583</v>
      </c>
      <c r="AH215" s="21">
        <f t="shared" si="114"/>
        <v>-18798.132213416899</v>
      </c>
      <c r="AI215" s="21">
        <f t="shared" si="115"/>
        <v>0</v>
      </c>
      <c r="AJ215" s="21">
        <f t="shared" si="116"/>
        <v>14904.847804479687</v>
      </c>
      <c r="AK215" s="21">
        <f t="shared" si="117"/>
        <v>11847.141451071002</v>
      </c>
      <c r="AL215" s="23">
        <f t="shared" si="118"/>
        <v>-3380.5187638320531</v>
      </c>
      <c r="AM215" s="23"/>
    </row>
    <row r="216" spans="1:39" x14ac:dyDescent="0.3">
      <c r="A216" s="13">
        <f t="shared" si="93"/>
        <v>211</v>
      </c>
      <c r="B216" s="1">
        <v>45349</v>
      </c>
      <c r="C216" s="7">
        <v>2023</v>
      </c>
      <c r="D216" s="7">
        <v>8</v>
      </c>
      <c r="E216" s="77">
        <v>17.058700000000002</v>
      </c>
      <c r="F216" s="2">
        <v>52.736331939697273</v>
      </c>
      <c r="G216" s="2">
        <v>41.316066741943359</v>
      </c>
      <c r="H216" s="2">
        <v>13.273818969726561</v>
      </c>
      <c r="I216" s="2">
        <v>214.67999267578119</v>
      </c>
      <c r="J216" s="2">
        <v>12.94999980926514</v>
      </c>
      <c r="K216" s="2">
        <v>328.26260375976563</v>
      </c>
      <c r="L216" s="2">
        <v>167.08000183105469</v>
      </c>
      <c r="M216" s="2">
        <v>193.75999450683591</v>
      </c>
      <c r="N216" s="12">
        <f t="shared" si="94"/>
        <v>1.7604794359045162E-3</v>
      </c>
      <c r="O216" s="12">
        <f t="shared" si="95"/>
        <v>-8.4269562626083649E-3</v>
      </c>
      <c r="P216" s="12">
        <f t="shared" si="96"/>
        <v>2.9872842073586092E-3</v>
      </c>
      <c r="Q216" s="12">
        <f t="shared" si="97"/>
        <v>-1.1511189263792576E-2</v>
      </c>
      <c r="R216" s="12">
        <f t="shared" si="98"/>
        <v>9.3530698575738924E-3</v>
      </c>
      <c r="S216" s="12">
        <f t="shared" si="99"/>
        <v>-5.9342895178625898E-2</v>
      </c>
      <c r="T216" s="12">
        <f t="shared" si="100"/>
        <v>-1.6393859829025859E-2</v>
      </c>
      <c r="U216" s="12">
        <f t="shared" si="101"/>
        <v>-3.2981503068007512E-2</v>
      </c>
      <c r="V216" s="19">
        <f t="shared" si="102"/>
        <v>47.544288969590525</v>
      </c>
      <c r="W216" s="19">
        <f t="shared" si="103"/>
        <v>32.093681681500101</v>
      </c>
      <c r="X216" s="19">
        <f t="shared" si="104"/>
        <v>11.655810216354825</v>
      </c>
      <c r="Y216" s="19">
        <f t="shared" si="105"/>
        <v>262.34492433613252</v>
      </c>
      <c r="Z216" s="19">
        <f t="shared" si="106"/>
        <v>15.705534190525253</v>
      </c>
      <c r="AA216" s="19">
        <f t="shared" si="107"/>
        <v>458.2946119313583</v>
      </c>
      <c r="AB216" s="19">
        <f t="shared" si="108"/>
        <v>4492.7528192333884</v>
      </c>
      <c r="AC216" s="19">
        <f t="shared" si="109"/>
        <v>8130.5247809028342</v>
      </c>
      <c r="AD216" s="21">
        <f t="shared" si="110"/>
        <v>1671.0729709120642</v>
      </c>
      <c r="AE216" s="21">
        <f t="shared" si="111"/>
        <v>-7773.3894905774041</v>
      </c>
      <c r="AF216" s="21">
        <f t="shared" si="112"/>
        <v>3082.7375260288036</v>
      </c>
      <c r="AG216" s="21">
        <f t="shared" si="113"/>
        <v>-11609.264329337042</v>
      </c>
      <c r="AH216" s="21">
        <f t="shared" si="114"/>
        <v>6505.359559612335</v>
      </c>
      <c r="AI216" s="21">
        <f t="shared" si="115"/>
        <v>-101192.93355762874</v>
      </c>
      <c r="AJ216" s="21">
        <f t="shared" si="116"/>
        <v>-22464.345317782499</v>
      </c>
      <c r="AK216" s="21">
        <f t="shared" si="117"/>
        <v>-55460.558170629702</v>
      </c>
      <c r="AL216" s="23">
        <f t="shared" si="118"/>
        <v>-187241.32080940218</v>
      </c>
      <c r="AM216" s="23"/>
    </row>
    <row r="217" spans="1:39" x14ac:dyDescent="0.3">
      <c r="A217" s="13">
        <f t="shared" si="93"/>
        <v>212</v>
      </c>
      <c r="B217" s="1">
        <v>45348</v>
      </c>
      <c r="C217" s="7">
        <v>2023</v>
      </c>
      <c r="D217" s="7">
        <v>8</v>
      </c>
      <c r="E217" s="77">
        <v>17.0944</v>
      </c>
      <c r="F217" s="2">
        <v>52.643653869628913</v>
      </c>
      <c r="G217" s="2">
        <v>41.667194366455078</v>
      </c>
      <c r="H217" s="2">
        <v>13.23428440093994</v>
      </c>
      <c r="I217" s="2">
        <v>217.17999267578119</v>
      </c>
      <c r="J217" s="2">
        <v>12.829999923706049</v>
      </c>
      <c r="K217" s="2">
        <v>348.97158813476563</v>
      </c>
      <c r="L217" s="2">
        <v>169.50999450683591</v>
      </c>
      <c r="M217" s="2">
        <v>199.94999694824219</v>
      </c>
      <c r="N217" s="12">
        <f t="shared" si="94"/>
        <v>-1.9327483980187132E-3</v>
      </c>
      <c r="O217" s="12">
        <f t="shared" si="95"/>
        <v>2.9149582962262555E-2</v>
      </c>
      <c r="P217" s="12">
        <f t="shared" si="96"/>
        <v>1.8250902415554604E-2</v>
      </c>
      <c r="Q217" s="12">
        <f t="shared" si="97"/>
        <v>4.0219829273111518E-3</v>
      </c>
      <c r="R217" s="12">
        <f t="shared" si="98"/>
        <v>1.2628243602891942E-2</v>
      </c>
      <c r="S217" s="12">
        <f t="shared" si="99"/>
        <v>0</v>
      </c>
      <c r="T217" s="12">
        <f t="shared" si="100"/>
        <v>-2.4432245588212886E-3</v>
      </c>
      <c r="U217" s="12">
        <f t="shared" si="101"/>
        <v>-3.2290910454478849E-3</v>
      </c>
      <c r="V217" s="19">
        <f t="shared" si="102"/>
        <v>47.369005660884383</v>
      </c>
      <c r="W217" s="19">
        <f t="shared" si="103"/>
        <v>33.309900190254552</v>
      </c>
      <c r="X217" s="19">
        <f t="shared" si="104"/>
        <v>11.833190169072999</v>
      </c>
      <c r="Y217" s="19">
        <f t="shared" si="105"/>
        <v>266.4674281408445</v>
      </c>
      <c r="Z217" s="19">
        <f t="shared" si="106"/>
        <v>15.75649589537672</v>
      </c>
      <c r="AA217" s="19">
        <f t="shared" si="107"/>
        <v>487.20687866210938</v>
      </c>
      <c r="AB217" s="19">
        <f t="shared" si="108"/>
        <v>4556.4742148007381</v>
      </c>
      <c r="AC217" s="19">
        <f t="shared" si="109"/>
        <v>8380.6779310323564</v>
      </c>
      <c r="AD217" s="21">
        <f t="shared" si="110"/>
        <v>-1834.5932032107726</v>
      </c>
      <c r="AE217" s="21">
        <f t="shared" si="111"/>
        <v>26888.838008924464</v>
      </c>
      <c r="AF217" s="21">
        <f t="shared" si="112"/>
        <v>18834.07732740272</v>
      </c>
      <c r="AG217" s="21">
        <f t="shared" si="113"/>
        <v>4056.2501285684903</v>
      </c>
      <c r="AH217" s="21">
        <f t="shared" si="114"/>
        <v>8783.3477664729107</v>
      </c>
      <c r="AI217" s="21">
        <f t="shared" si="115"/>
        <v>0</v>
      </c>
      <c r="AJ217" s="21">
        <f t="shared" si="116"/>
        <v>-3347.9266475776058</v>
      </c>
      <c r="AK217" s="21">
        <f t="shared" si="117"/>
        <v>-5429.9281447252724</v>
      </c>
      <c r="AL217" s="23">
        <f t="shared" si="118"/>
        <v>47950.065235854927</v>
      </c>
      <c r="AM217" s="23"/>
    </row>
    <row r="218" spans="1:39" x14ac:dyDescent="0.3">
      <c r="A218" s="13">
        <f t="shared" si="93"/>
        <v>213</v>
      </c>
      <c r="B218" s="1">
        <v>45345</v>
      </c>
      <c r="C218" s="7">
        <v>2023</v>
      </c>
      <c r="D218" s="7">
        <v>8</v>
      </c>
      <c r="E218" s="77">
        <v>17.106999999999999</v>
      </c>
      <c r="F218" s="2">
        <v>52.745597839355469</v>
      </c>
      <c r="G218" s="2">
        <v>40.487014770507813</v>
      </c>
      <c r="H218" s="2">
        <v>12.9970760345459</v>
      </c>
      <c r="I218" s="2">
        <v>216.30999755859381</v>
      </c>
      <c r="J218" s="2">
        <v>12.670000076293951</v>
      </c>
      <c r="K218" s="2">
        <v>348.97158813476563</v>
      </c>
      <c r="L218" s="2">
        <v>169.80000305175781</v>
      </c>
      <c r="M218" s="2">
        <v>200.44999694824219</v>
      </c>
      <c r="N218" s="12">
        <f t="shared" si="94"/>
        <v>-1.7571296802199043E-4</v>
      </c>
      <c r="O218" s="12">
        <f t="shared" si="95"/>
        <v>-2.2834173001001656E-2</v>
      </c>
      <c r="P218" s="12">
        <f t="shared" si="96"/>
        <v>1.231715921759835E-2</v>
      </c>
      <c r="Q218" s="12">
        <f t="shared" si="97"/>
        <v>7.4024365777236589E-4</v>
      </c>
      <c r="R218" s="12">
        <f t="shared" si="98"/>
        <v>1.7670704449737284E-2</v>
      </c>
      <c r="S218" s="12">
        <f t="shared" si="99"/>
        <v>2.0408252500044854E-2</v>
      </c>
      <c r="T218" s="12">
        <f t="shared" si="100"/>
        <v>-6.3786046713361078E-3</v>
      </c>
      <c r="U218" s="12">
        <f t="shared" si="101"/>
        <v>6.2770929743826809E-2</v>
      </c>
      <c r="V218" s="19">
        <f t="shared" si="102"/>
        <v>47.452395854377158</v>
      </c>
      <c r="W218" s="19">
        <f t="shared" si="103"/>
        <v>31.627371477891103</v>
      </c>
      <c r="X218" s="19">
        <f t="shared" si="104"/>
        <v>11.764233577422265</v>
      </c>
      <c r="Y218" s="19">
        <f t="shared" si="105"/>
        <v>265.59645455873908</v>
      </c>
      <c r="Z218" s="19">
        <f t="shared" si="106"/>
        <v>15.834956588269534</v>
      </c>
      <c r="AA218" s="19">
        <f t="shared" si="107"/>
        <v>497.14991966160443</v>
      </c>
      <c r="AB218" s="19">
        <f t="shared" si="108"/>
        <v>4538.4988389128011</v>
      </c>
      <c r="AC218" s="19">
        <f t="shared" si="109"/>
        <v>8935.594725560888</v>
      </c>
      <c r="AD218" s="21">
        <f t="shared" si="110"/>
        <v>-166.78933335526835</v>
      </c>
      <c r="AE218" s="21">
        <f t="shared" si="111"/>
        <v>-21063.230293433851</v>
      </c>
      <c r="AF218" s="21">
        <f t="shared" si="112"/>
        <v>12710.731988817564</v>
      </c>
      <c r="AG218" s="21">
        <f t="shared" si="113"/>
        <v>746.55051656789055</v>
      </c>
      <c r="AH218" s="21">
        <f t="shared" si="114"/>
        <v>12290.540738781734</v>
      </c>
      <c r="AI218" s="21">
        <f t="shared" si="115"/>
        <v>34800.64349823269</v>
      </c>
      <c r="AJ218" s="21">
        <f t="shared" si="116"/>
        <v>-8740.5394139586861</v>
      </c>
      <c r="AK218" s="21">
        <f t="shared" si="117"/>
        <v>105553.43076098106</v>
      </c>
      <c r="AL218" s="23">
        <f t="shared" si="118"/>
        <v>136131.33846263314</v>
      </c>
      <c r="AM218" s="23"/>
    </row>
    <row r="219" spans="1:39" x14ac:dyDescent="0.3">
      <c r="A219" s="13">
        <f t="shared" si="93"/>
        <v>214</v>
      </c>
      <c r="B219" s="1">
        <v>45344</v>
      </c>
      <c r="C219" s="7">
        <v>2023</v>
      </c>
      <c r="D219" s="7">
        <v>8</v>
      </c>
      <c r="E219" s="77">
        <v>17.097999999999999</v>
      </c>
      <c r="F219" s="2">
        <v>52.754867553710938</v>
      </c>
      <c r="G219" s="2">
        <v>41.43310546875</v>
      </c>
      <c r="H219" s="2">
        <v>12.838936805725099</v>
      </c>
      <c r="I219" s="2">
        <v>216.1499938964844</v>
      </c>
      <c r="J219" s="2">
        <v>12.44999980926514</v>
      </c>
      <c r="K219" s="2">
        <v>341.99212646484381</v>
      </c>
      <c r="L219" s="2">
        <v>170.97999572753909</v>
      </c>
      <c r="M219" s="2">
        <v>188.71000671386719</v>
      </c>
      <c r="N219" s="12">
        <f t="shared" si="94"/>
        <v>5.1209714023192632E-3</v>
      </c>
      <c r="O219" s="12">
        <f t="shared" si="95"/>
        <v>3.3064077654119117E-3</v>
      </c>
      <c r="P219" s="12">
        <f t="shared" si="96"/>
        <v>-9.1532576146872158E-3</v>
      </c>
      <c r="Q219" s="12">
        <f t="shared" si="97"/>
        <v>4.1345322510459859E-3</v>
      </c>
      <c r="R219" s="12">
        <f t="shared" si="98"/>
        <v>1.9656000849168853E-2</v>
      </c>
      <c r="S219" s="12">
        <f t="shared" si="99"/>
        <v>0</v>
      </c>
      <c r="T219" s="12">
        <f t="shared" si="100"/>
        <v>1.7434150677584803E-2</v>
      </c>
      <c r="U219" s="12">
        <f t="shared" si="101"/>
        <v>2.9085584336995707E-2</v>
      </c>
      <c r="V219" s="19">
        <f t="shared" si="102"/>
        <v>47.703780389357036</v>
      </c>
      <c r="W219" s="19">
        <f t="shared" si="103"/>
        <v>32.473448812672913</v>
      </c>
      <c r="X219" s="19">
        <f t="shared" si="104"/>
        <v>11.514723830086911</v>
      </c>
      <c r="Y219" s="19">
        <f t="shared" si="105"/>
        <v>266.49729873067679</v>
      </c>
      <c r="Z219" s="19">
        <f t="shared" si="106"/>
        <v>15.865847801077752</v>
      </c>
      <c r="AA219" s="19">
        <f t="shared" si="107"/>
        <v>487.20687866210938</v>
      </c>
      <c r="AB219" s="19">
        <f t="shared" si="108"/>
        <v>4647.2667891708006</v>
      </c>
      <c r="AC219" s="19">
        <f t="shared" si="109"/>
        <v>8652.374149685209</v>
      </c>
      <c r="AD219" s="21">
        <f t="shared" si="110"/>
        <v>4860.901366242274</v>
      </c>
      <c r="AE219" s="21">
        <f t="shared" si="111"/>
        <v>3049.9737478477477</v>
      </c>
      <c r="AF219" s="21">
        <f t="shared" si="112"/>
        <v>-9445.733574561893</v>
      </c>
      <c r="AG219" s="21">
        <f t="shared" si="113"/>
        <v>4169.7583699311735</v>
      </c>
      <c r="AH219" s="21">
        <f t="shared" si="114"/>
        <v>13671.377951309067</v>
      </c>
      <c r="AI219" s="21">
        <f t="shared" si="115"/>
        <v>0</v>
      </c>
      <c r="AJ219" s="21">
        <f t="shared" si="116"/>
        <v>23889.845663441156</v>
      </c>
      <c r="AK219" s="21">
        <f t="shared" si="117"/>
        <v>48909.315585845252</v>
      </c>
      <c r="AL219" s="23">
        <f t="shared" si="118"/>
        <v>89105.43911005478</v>
      </c>
      <c r="AM219" s="23"/>
    </row>
    <row r="220" spans="1:39" x14ac:dyDescent="0.3">
      <c r="A220" s="13">
        <f t="shared" si="93"/>
        <v>215</v>
      </c>
      <c r="B220" s="1">
        <v>45343</v>
      </c>
      <c r="C220" s="7">
        <v>2023</v>
      </c>
      <c r="D220" s="7">
        <v>8</v>
      </c>
      <c r="E220" s="77">
        <v>17.0382</v>
      </c>
      <c r="F220" s="2">
        <v>52.486087799072273</v>
      </c>
      <c r="G220" s="2">
        <v>41.296562194824219</v>
      </c>
      <c r="H220" s="2">
        <v>12.957540512084959</v>
      </c>
      <c r="I220" s="2">
        <v>215.25999450683591</v>
      </c>
      <c r="J220" s="2">
        <v>12.210000038146971</v>
      </c>
      <c r="K220" s="2">
        <v>341.99212646484381</v>
      </c>
      <c r="L220" s="2">
        <v>168.63999938964841</v>
      </c>
      <c r="M220" s="2">
        <v>184.02000427246091</v>
      </c>
      <c r="N220" s="12">
        <f t="shared" si="94"/>
        <v>-8.2312497287916342E-3</v>
      </c>
      <c r="O220" s="12">
        <f t="shared" si="95"/>
        <v>-6.1031266451111454E-3</v>
      </c>
      <c r="P220" s="12">
        <f t="shared" si="96"/>
        <v>-1.7241391781204429E-2</v>
      </c>
      <c r="Q220" s="12">
        <f t="shared" si="97"/>
        <v>-1.3699910621599476E-2</v>
      </c>
      <c r="R220" s="12">
        <f t="shared" si="98"/>
        <v>-5.0544295169773323E-2</v>
      </c>
      <c r="S220" s="12">
        <f t="shared" si="99"/>
        <v>0</v>
      </c>
      <c r="T220" s="12">
        <f t="shared" si="100"/>
        <v>-2.203167755131219E-2</v>
      </c>
      <c r="U220" s="12">
        <f t="shared" si="101"/>
        <v>-2.2408887143976153E-2</v>
      </c>
      <c r="V220" s="19">
        <f t="shared" si="102"/>
        <v>47.070074156305317</v>
      </c>
      <c r="W220" s="19">
        <f t="shared" si="103"/>
        <v>32.168895755235802</v>
      </c>
      <c r="X220" s="19">
        <f t="shared" si="104"/>
        <v>11.420730856961791</v>
      </c>
      <c r="Y220" s="19">
        <f t="shared" si="105"/>
        <v>261.7640377011295</v>
      </c>
      <c r="Z220" s="19">
        <f t="shared" si="106"/>
        <v>14.773531165565796</v>
      </c>
      <c r="AA220" s="19">
        <f t="shared" si="107"/>
        <v>487.20687866210938</v>
      </c>
      <c r="AB220" s="19">
        <f t="shared" si="108"/>
        <v>4467.0013314867556</v>
      </c>
      <c r="AC220" s="19">
        <f t="shared" si="109"/>
        <v>8219.4175125744914</v>
      </c>
      <c r="AD220" s="21">
        <f t="shared" si="110"/>
        <v>-7813.2232947920957</v>
      </c>
      <c r="AE220" s="21">
        <f t="shared" si="111"/>
        <v>-5629.7883891099264</v>
      </c>
      <c r="AF220" s="21">
        <f t="shared" si="112"/>
        <v>-17792.30958807256</v>
      </c>
      <c r="AG220" s="21">
        <f t="shared" si="113"/>
        <v>-13816.63354234854</v>
      </c>
      <c r="AH220" s="21">
        <f t="shared" si="114"/>
        <v>-35155.175656075378</v>
      </c>
      <c r="AI220" s="21">
        <f t="shared" si="115"/>
        <v>0</v>
      </c>
      <c r="AJ220" s="21">
        <f t="shared" si="116"/>
        <v>-30189.791641772354</v>
      </c>
      <c r="AK220" s="21">
        <f t="shared" si="117"/>
        <v>-37682.011836298261</v>
      </c>
      <c r="AL220" s="23">
        <f t="shared" si="118"/>
        <v>-148078.93394846912</v>
      </c>
      <c r="AM220" s="23"/>
    </row>
    <row r="221" spans="1:39" x14ac:dyDescent="0.3">
      <c r="A221" s="13">
        <f t="shared" si="93"/>
        <v>216</v>
      </c>
      <c r="B221" s="1">
        <v>45342</v>
      </c>
      <c r="C221" s="7">
        <v>2023</v>
      </c>
      <c r="D221" s="7">
        <v>8</v>
      </c>
      <c r="E221" s="77">
        <v>17.047999999999998</v>
      </c>
      <c r="F221" s="2">
        <v>52.921699523925781</v>
      </c>
      <c r="G221" s="2">
        <v>41.550148010253913</v>
      </c>
      <c r="H221" s="2">
        <v>13.184865951538089</v>
      </c>
      <c r="I221" s="2">
        <v>218.25</v>
      </c>
      <c r="J221" s="2">
        <v>12.85999965667725</v>
      </c>
      <c r="K221" s="2">
        <v>341.99212646484381</v>
      </c>
      <c r="L221" s="2">
        <v>172.3399963378906</v>
      </c>
      <c r="M221" s="2">
        <v>188.1300048828125</v>
      </c>
      <c r="N221" s="12">
        <f t="shared" si="94"/>
        <v>1.5787035369183577E-3</v>
      </c>
      <c r="O221" s="12">
        <f t="shared" si="95"/>
        <v>2.3472009811986716E-4</v>
      </c>
      <c r="P221" s="12">
        <f t="shared" si="96"/>
        <v>1.6768292010269414E-2</v>
      </c>
      <c r="Q221" s="12">
        <f t="shared" si="97"/>
        <v>1.3654741882601629E-2</v>
      </c>
      <c r="R221" s="12">
        <f t="shared" si="98"/>
        <v>5.4730019572322153E-3</v>
      </c>
      <c r="S221" s="12">
        <f t="shared" si="99"/>
        <v>-4.0072043823546899E-3</v>
      </c>
      <c r="T221" s="12">
        <f t="shared" si="100"/>
        <v>-1.1689354277322317E-2</v>
      </c>
      <c r="U221" s="12">
        <f t="shared" si="101"/>
        <v>-2.7704310176843383E-2</v>
      </c>
      <c r="V221" s="19">
        <f t="shared" si="102"/>
        <v>47.535661751761005</v>
      </c>
      <c r="W221" s="19">
        <f t="shared" si="103"/>
        <v>32.374029242080823</v>
      </c>
      <c r="X221" s="19">
        <f t="shared" si="104"/>
        <v>11.815960613144526</v>
      </c>
      <c r="Y221" s="19">
        <f t="shared" si="105"/>
        <v>269.02396230878492</v>
      </c>
      <c r="Z221" s="19">
        <f t="shared" si="106"/>
        <v>15.645160332367796</v>
      </c>
      <c r="AA221" s="19">
        <f t="shared" si="107"/>
        <v>485.25454112282119</v>
      </c>
      <c r="AB221" s="19">
        <f t="shared" si="108"/>
        <v>4514.2412786047798</v>
      </c>
      <c r="AC221" s="19">
        <f t="shared" si="109"/>
        <v>8174.8945087946395</v>
      </c>
      <c r="AD221" s="21">
        <f t="shared" si="110"/>
        <v>1498.528614321657</v>
      </c>
      <c r="AE221" s="21">
        <f t="shared" si="111"/>
        <v>216.515985973178</v>
      </c>
      <c r="AF221" s="21">
        <f t="shared" si="112"/>
        <v>17304.092760954281</v>
      </c>
      <c r="AG221" s="21">
        <f t="shared" si="113"/>
        <v>13771.079966742058</v>
      </c>
      <c r="AH221" s="21">
        <f t="shared" si="114"/>
        <v>3806.648099974032</v>
      </c>
      <c r="AI221" s="21">
        <f t="shared" si="115"/>
        <v>-6833.1813875086309</v>
      </c>
      <c r="AJ221" s="21">
        <f t="shared" si="116"/>
        <v>-16017.807506365079</v>
      </c>
      <c r="AK221" s="21">
        <f t="shared" si="117"/>
        <v>-46586.612592268648</v>
      </c>
      <c r="AL221" s="23">
        <f t="shared" si="118"/>
        <v>-32840.73605817715</v>
      </c>
      <c r="AM221" s="23"/>
    </row>
    <row r="222" spans="1:39" x14ac:dyDescent="0.3">
      <c r="A222" s="13">
        <f t="shared" si="93"/>
        <v>217</v>
      </c>
      <c r="B222" s="1">
        <v>45341</v>
      </c>
      <c r="C222" s="7">
        <v>2023</v>
      </c>
      <c r="D222" s="7">
        <v>8</v>
      </c>
      <c r="E222" s="77">
        <v>17.041</v>
      </c>
      <c r="F222" s="2">
        <v>52.838283538818359</v>
      </c>
      <c r="G222" s="2">
        <v>41.540397644042969</v>
      </c>
      <c r="H222" s="2">
        <v>12.967424392700201</v>
      </c>
      <c r="I222" s="2">
        <v>215.30999755859381</v>
      </c>
      <c r="J222" s="2">
        <v>12.789999961853029</v>
      </c>
      <c r="K222" s="2">
        <v>343.36807250976563</v>
      </c>
      <c r="L222" s="2">
        <v>174.44999694824219</v>
      </c>
      <c r="M222" s="2">
        <v>193.57000732421881</v>
      </c>
      <c r="N222" s="12">
        <f t="shared" si="94"/>
        <v>-7.1402095829136147E-3</v>
      </c>
      <c r="O222" s="12">
        <f t="shared" si="95"/>
        <v>-6.9946292591163139E-3</v>
      </c>
      <c r="P222" s="12">
        <f t="shared" si="96"/>
        <v>-3.9531532755897714E-2</v>
      </c>
      <c r="Q222" s="12">
        <f t="shared" si="97"/>
        <v>-7.8794888959649034E-3</v>
      </c>
      <c r="R222" s="12">
        <f t="shared" si="98"/>
        <v>-8.527105420935932E-3</v>
      </c>
      <c r="S222" s="12">
        <f t="shared" si="99"/>
        <v>0</v>
      </c>
      <c r="T222" s="12">
        <f t="shared" si="100"/>
        <v>2.6540803075969288E-2</v>
      </c>
      <c r="U222" s="12">
        <f t="shared" si="101"/>
        <v>2.0555421386535988E-2</v>
      </c>
      <c r="V222" s="19">
        <f t="shared" si="102"/>
        <v>47.121855723893468</v>
      </c>
      <c r="W222" s="19">
        <f t="shared" si="103"/>
        <v>32.140040996332445</v>
      </c>
      <c r="X222" s="19">
        <f t="shared" si="104"/>
        <v>11.16169501773663</v>
      </c>
      <c r="Y222" s="19">
        <f t="shared" si="105"/>
        <v>263.3087775915879</v>
      </c>
      <c r="Z222" s="19">
        <f t="shared" si="106"/>
        <v>15.42731865568882</v>
      </c>
      <c r="AA222" s="19">
        <f t="shared" si="107"/>
        <v>487.20687866210938</v>
      </c>
      <c r="AB222" s="19">
        <f t="shared" si="108"/>
        <v>4688.8626440213084</v>
      </c>
      <c r="AC222" s="19">
        <f t="shared" si="109"/>
        <v>8580.6540104387623</v>
      </c>
      <c r="AD222" s="21">
        <f t="shared" si="110"/>
        <v>-6777.5919430290796</v>
      </c>
      <c r="AE222" s="21">
        <f t="shared" si="111"/>
        <v>-6452.1490178555996</v>
      </c>
      <c r="AF222" s="21">
        <f t="shared" si="112"/>
        <v>-40794.692111266879</v>
      </c>
      <c r="AG222" s="21">
        <f t="shared" si="113"/>
        <v>-7946.6219586066127</v>
      </c>
      <c r="AH222" s="21">
        <f t="shared" si="114"/>
        <v>-5930.8748475761913</v>
      </c>
      <c r="AI222" s="21">
        <f t="shared" si="115"/>
        <v>0</v>
      </c>
      <c r="AJ222" s="21">
        <f t="shared" si="116"/>
        <v>36368.602118593481</v>
      </c>
      <c r="AK222" s="21">
        <f t="shared" si="117"/>
        <v>34565.287736555911</v>
      </c>
      <c r="AL222" s="23">
        <f t="shared" si="118"/>
        <v>3031.9599768150219</v>
      </c>
      <c r="AM222" s="23"/>
    </row>
    <row r="223" spans="1:39" x14ac:dyDescent="0.3">
      <c r="A223" s="13">
        <f t="shared" si="93"/>
        <v>218</v>
      </c>
      <c r="B223" s="1">
        <v>45338</v>
      </c>
      <c r="C223" s="7">
        <v>2023</v>
      </c>
      <c r="D223" s="7">
        <v>8</v>
      </c>
      <c r="E223" s="77">
        <v>17.050999999999998</v>
      </c>
      <c r="F223" s="2">
        <v>53.218273162841797</v>
      </c>
      <c r="G223" s="2">
        <v>41.833003997802727</v>
      </c>
      <c r="H223" s="2">
        <v>13.501145362854</v>
      </c>
      <c r="I223" s="2">
        <v>217.02000427246091</v>
      </c>
      <c r="J223" s="2">
        <v>12.89999961853027</v>
      </c>
      <c r="K223" s="2">
        <v>343.36807250976563</v>
      </c>
      <c r="L223" s="2">
        <v>169.8399963378906</v>
      </c>
      <c r="M223" s="2">
        <v>189.55999755859381</v>
      </c>
      <c r="N223" s="12">
        <f t="shared" si="94"/>
        <v>-1.6107072616107665E-2</v>
      </c>
      <c r="O223" s="12">
        <f t="shared" si="95"/>
        <v>9.4140305819301329E-3</v>
      </c>
      <c r="P223" s="12">
        <f t="shared" si="96"/>
        <v>-8.3836268584671081E-2</v>
      </c>
      <c r="Q223" s="12">
        <f t="shared" si="97"/>
        <v>-1.336607724890071E-2</v>
      </c>
      <c r="R223" s="12">
        <f t="shared" si="98"/>
        <v>-1.6018309965402766E-2</v>
      </c>
      <c r="S223" s="12">
        <f t="shared" si="99"/>
        <v>0</v>
      </c>
      <c r="T223" s="12">
        <f t="shared" si="100"/>
        <v>-3.3448061616356828E-3</v>
      </c>
      <c r="U223" s="12">
        <f t="shared" si="101"/>
        <v>1.1267173992370649E-2</v>
      </c>
      <c r="V223" s="19">
        <f t="shared" si="102"/>
        <v>46.696281810814988</v>
      </c>
      <c r="W223" s="19">
        <f t="shared" si="103"/>
        <v>32.67113077240549</v>
      </c>
      <c r="X223" s="19">
        <f t="shared" si="104"/>
        <v>10.646825486849181</v>
      </c>
      <c r="Y223" s="19">
        <f t="shared" si="105"/>
        <v>261.85263707620618</v>
      </c>
      <c r="Z223" s="19">
        <f t="shared" si="106"/>
        <v>15.310755509833482</v>
      </c>
      <c r="AA223" s="19">
        <f t="shared" si="107"/>
        <v>487.20687866210938</v>
      </c>
      <c r="AB223" s="19">
        <f t="shared" si="108"/>
        <v>4552.3561200447321</v>
      </c>
      <c r="AC223" s="19">
        <f t="shared" si="109"/>
        <v>8502.5600279048085</v>
      </c>
      <c r="AD223" s="21">
        <f t="shared" si="110"/>
        <v>-15289.070204598687</v>
      </c>
      <c r="AE223" s="21">
        <f t="shared" si="111"/>
        <v>8683.9096002261977</v>
      </c>
      <c r="AF223" s="21">
        <f t="shared" si="112"/>
        <v>-86515.106454072331</v>
      </c>
      <c r="AG223" s="21">
        <f t="shared" si="113"/>
        <v>-13479.955917057145</v>
      </c>
      <c r="AH223" s="21">
        <f t="shared" si="114"/>
        <v>-11141.247467309789</v>
      </c>
      <c r="AI223" s="21">
        <f t="shared" si="115"/>
        <v>0</v>
      </c>
      <c r="AJ223" s="21">
        <f t="shared" si="116"/>
        <v>-4583.3550743794149</v>
      </c>
      <c r="AK223" s="21">
        <f t="shared" si="117"/>
        <v>18946.491229765161</v>
      </c>
      <c r="AL223" s="23">
        <f t="shared" si="118"/>
        <v>-103378.33428742601</v>
      </c>
      <c r="AM223" s="23"/>
    </row>
    <row r="224" spans="1:39" x14ac:dyDescent="0.3">
      <c r="A224" s="13">
        <f t="shared" si="93"/>
        <v>219</v>
      </c>
      <c r="B224" s="1">
        <v>45337</v>
      </c>
      <c r="C224" s="7">
        <v>2023</v>
      </c>
      <c r="D224" s="7">
        <v>8</v>
      </c>
      <c r="E224" s="77">
        <v>17.039000000000001</v>
      </c>
      <c r="F224" s="2">
        <v>54.089496612548828</v>
      </c>
      <c r="G224" s="2">
        <v>41.442859649658203</v>
      </c>
      <c r="H224" s="2">
        <v>14.736607551574711</v>
      </c>
      <c r="I224" s="2">
        <v>219.96000671386719</v>
      </c>
      <c r="J224" s="2">
        <v>13.10999965667725</v>
      </c>
      <c r="K224" s="2">
        <v>343.36807250976563</v>
      </c>
      <c r="L224" s="2">
        <v>170.5299987792969</v>
      </c>
      <c r="M224" s="2">
        <v>187.58000183105469</v>
      </c>
      <c r="N224" s="12">
        <f t="shared" si="94"/>
        <v>1.7126562119873512E-4</v>
      </c>
      <c r="O224" s="12">
        <f t="shared" si="95"/>
        <v>3.6341404760017459E-2</v>
      </c>
      <c r="P224" s="12">
        <f t="shared" si="96"/>
        <v>7.4323010280117341E-3</v>
      </c>
      <c r="Q224" s="12">
        <f t="shared" si="97"/>
        <v>-7.4454848244214222E-3</v>
      </c>
      <c r="R224" s="12">
        <f t="shared" si="98"/>
        <v>-2.5278822112226207E-2</v>
      </c>
      <c r="S224" s="12">
        <f t="shared" si="99"/>
        <v>0</v>
      </c>
      <c r="T224" s="12">
        <f t="shared" si="100"/>
        <v>6.1507727607568174E-3</v>
      </c>
      <c r="U224" s="12">
        <f t="shared" si="101"/>
        <v>1.1380009440556282E-2</v>
      </c>
      <c r="V224" s="19">
        <f t="shared" si="102"/>
        <v>47.468863713362232</v>
      </c>
      <c r="W224" s="19">
        <f t="shared" si="103"/>
        <v>33.542673802793729</v>
      </c>
      <c r="X224" s="19">
        <f t="shared" si="104"/>
        <v>11.70746617778706</v>
      </c>
      <c r="Y224" s="19">
        <f t="shared" si="105"/>
        <v>263.42396226952656</v>
      </c>
      <c r="Z224" s="19">
        <f t="shared" si="106"/>
        <v>15.166661936943044</v>
      </c>
      <c r="AA224" s="19">
        <f t="shared" si="107"/>
        <v>487.20687866210938</v>
      </c>
      <c r="AB224" s="19">
        <f t="shared" si="108"/>
        <v>4595.7284488982468</v>
      </c>
      <c r="AC224" s="19">
        <f t="shared" si="109"/>
        <v>8503.5087288971354</v>
      </c>
      <c r="AD224" s="21">
        <f t="shared" si="110"/>
        <v>162.56784634620658</v>
      </c>
      <c r="AE224" s="21">
        <f t="shared" si="111"/>
        <v>33522.885966290996</v>
      </c>
      <c r="AF224" s="21">
        <f t="shared" si="112"/>
        <v>7669.786901211306</v>
      </c>
      <c r="AG224" s="21">
        <f t="shared" si="113"/>
        <v>-7508.9201824397151</v>
      </c>
      <c r="AH224" s="21">
        <f t="shared" si="114"/>
        <v>-17582.23017551241</v>
      </c>
      <c r="AI224" s="21">
        <f t="shared" si="115"/>
        <v>0</v>
      </c>
      <c r="AJ224" s="21">
        <f t="shared" si="116"/>
        <v>8428.343581675017</v>
      </c>
      <c r="AK224" s="21">
        <f t="shared" si="117"/>
        <v>19136.231428230531</v>
      </c>
      <c r="AL224" s="23">
        <f t="shared" si="118"/>
        <v>43828.665365801935</v>
      </c>
      <c r="AM224" s="23"/>
    </row>
    <row r="225" spans="1:39" x14ac:dyDescent="0.3">
      <c r="A225" s="13">
        <f t="shared" si="93"/>
        <v>220</v>
      </c>
      <c r="B225" s="1">
        <v>45336</v>
      </c>
      <c r="C225" s="7">
        <v>2023</v>
      </c>
      <c r="D225" s="7">
        <v>8</v>
      </c>
      <c r="E225" s="77">
        <v>17.073</v>
      </c>
      <c r="F225" s="2">
        <v>54.080234527587891</v>
      </c>
      <c r="G225" s="2">
        <v>39.989582061767578</v>
      </c>
      <c r="H225" s="2">
        <v>14.627888679504389</v>
      </c>
      <c r="I225" s="2">
        <v>221.61000061035159</v>
      </c>
      <c r="J225" s="2">
        <v>13.44999980926514</v>
      </c>
      <c r="K225" s="2">
        <v>343.36807250976563</v>
      </c>
      <c r="L225" s="2">
        <v>169.1499938964844</v>
      </c>
      <c r="M225" s="2">
        <v>185.1000061035156</v>
      </c>
      <c r="N225" s="12">
        <f t="shared" si="94"/>
        <v>7.0764107588778824E-3</v>
      </c>
      <c r="O225" s="12">
        <f t="shared" si="95"/>
        <v>1.6864993430602659E-2</v>
      </c>
      <c r="P225" s="12">
        <f t="shared" si="96"/>
        <v>4.7523553141688435E-3</v>
      </c>
      <c r="Q225" s="12">
        <f t="shared" si="97"/>
        <v>1.7773468446564245E-2</v>
      </c>
      <c r="R225" s="12">
        <f t="shared" si="98"/>
        <v>-3.2374087885961411E-2</v>
      </c>
      <c r="S225" s="12">
        <f t="shared" si="99"/>
        <v>1.587031440873754E-2</v>
      </c>
      <c r="T225" s="12">
        <f t="shared" si="100"/>
        <v>-2.132915796460999E-2</v>
      </c>
      <c r="U225" s="12">
        <f t="shared" si="101"/>
        <v>-2.0804009161034309E-2</v>
      </c>
      <c r="V225" s="19">
        <f t="shared" si="102"/>
        <v>47.796586979095018</v>
      </c>
      <c r="W225" s="19">
        <f t="shared" si="103"/>
        <v>32.912291856196823</v>
      </c>
      <c r="X225" s="19">
        <f t="shared" si="104"/>
        <v>11.676322274845786</v>
      </c>
      <c r="Y225" s="19">
        <f t="shared" si="105"/>
        <v>270.11707231372191</v>
      </c>
      <c r="Z225" s="19">
        <f t="shared" si="106"/>
        <v>15.056259598526431</v>
      </c>
      <c r="AA225" s="19">
        <f t="shared" si="107"/>
        <v>494.93900500857671</v>
      </c>
      <c r="AB225" s="19">
        <f t="shared" si="108"/>
        <v>4470.2101838157723</v>
      </c>
      <c r="AC225" s="19">
        <f t="shared" si="109"/>
        <v>8232.9110499287744</v>
      </c>
      <c r="AD225" s="21">
        <f t="shared" si="110"/>
        <v>6717.0331610019221</v>
      </c>
      <c r="AE225" s="21">
        <f t="shared" si="111"/>
        <v>15557.000488279187</v>
      </c>
      <c r="AF225" s="21">
        <f t="shared" si="112"/>
        <v>4904.2083200261841</v>
      </c>
      <c r="AG225" s="21">
        <f t="shared" si="113"/>
        <v>17924.897985502615</v>
      </c>
      <c r="AH225" s="21">
        <f t="shared" si="114"/>
        <v>-22517.214702734993</v>
      </c>
      <c r="AI225" s="21">
        <f t="shared" si="115"/>
        <v>27062.442212635688</v>
      </c>
      <c r="AJ225" s="21">
        <f t="shared" si="116"/>
        <v>-29227.135943067333</v>
      </c>
      <c r="AK225" s="21">
        <f t="shared" si="117"/>
        <v>-34983.304365441654</v>
      </c>
      <c r="AL225" s="23">
        <f t="shared" si="118"/>
        <v>-14562.072843798378</v>
      </c>
      <c r="AM225" s="23"/>
    </row>
    <row r="226" spans="1:39" x14ac:dyDescent="0.3">
      <c r="A226" s="13">
        <f t="shared" si="93"/>
        <v>221</v>
      </c>
      <c r="B226" s="1">
        <v>45335</v>
      </c>
      <c r="C226" s="7">
        <v>2023</v>
      </c>
      <c r="D226" s="7">
        <v>8</v>
      </c>
      <c r="E226" s="77">
        <v>17.175000000000001</v>
      </c>
      <c r="F226" s="2">
        <v>53.700229644775391</v>
      </c>
      <c r="G226" s="2">
        <v>39.326343536376953</v>
      </c>
      <c r="H226" s="2">
        <v>14.558700561523439</v>
      </c>
      <c r="I226" s="2">
        <v>217.74000549316409</v>
      </c>
      <c r="J226" s="2">
        <v>13.89999961853027</v>
      </c>
      <c r="K226" s="2">
        <v>338.00384521484381</v>
      </c>
      <c r="L226" s="2">
        <v>171.80999755859381</v>
      </c>
      <c r="M226" s="2">
        <v>187.9100036621094</v>
      </c>
      <c r="N226" s="12">
        <f t="shared" si="94"/>
        <v>7.8272531739465023E-3</v>
      </c>
      <c r="O226" s="12">
        <f t="shared" si="95"/>
        <v>-4.4444388648472444E-3</v>
      </c>
      <c r="P226" s="12">
        <f t="shared" si="96"/>
        <v>2.505216108689301E-2</v>
      </c>
      <c r="Q226" s="12">
        <f t="shared" si="97"/>
        <v>-3.5609856185675803E-2</v>
      </c>
      <c r="R226" s="12">
        <f t="shared" si="98"/>
        <v>1.238165200013186E-2</v>
      </c>
      <c r="S226" s="12">
        <f t="shared" si="99"/>
        <v>0</v>
      </c>
      <c r="T226" s="12">
        <f t="shared" si="100"/>
        <v>8.5657685197721545E-2</v>
      </c>
      <c r="U226" s="12">
        <f t="shared" si="101"/>
        <v>1.418562483664676E-3</v>
      </c>
      <c r="V226" s="19">
        <f t="shared" si="102"/>
        <v>47.832222512224405</v>
      </c>
      <c r="W226" s="19">
        <f t="shared" si="103"/>
        <v>32.222581560799995</v>
      </c>
      <c r="X226" s="19">
        <f t="shared" si="104"/>
        <v>11.912228240196809</v>
      </c>
      <c r="Y226" s="19">
        <f t="shared" si="105"/>
        <v>255.94913828215132</v>
      </c>
      <c r="Z226" s="19">
        <f t="shared" si="106"/>
        <v>15.752658929934299</v>
      </c>
      <c r="AA226" s="19">
        <f t="shared" si="107"/>
        <v>487.20687866210938</v>
      </c>
      <c r="AB226" s="19">
        <f t="shared" si="108"/>
        <v>4958.8869230184118</v>
      </c>
      <c r="AC226" s="19">
        <f t="shared" si="109"/>
        <v>8419.7546005183976</v>
      </c>
      <c r="AD226" s="21">
        <f t="shared" si="110"/>
        <v>7429.7438235896607</v>
      </c>
      <c r="AE226" s="21">
        <f t="shared" si="111"/>
        <v>-4099.7429305304286</v>
      </c>
      <c r="AF226" s="21">
        <f t="shared" si="112"/>
        <v>25852.658043197021</v>
      </c>
      <c r="AG226" s="21">
        <f t="shared" si="113"/>
        <v>-35913.251334465596</v>
      </c>
      <c r="AH226" s="21">
        <f t="shared" si="114"/>
        <v>8611.8354111966983</v>
      </c>
      <c r="AI226" s="21">
        <f t="shared" si="115"/>
        <v>0</v>
      </c>
      <c r="AJ226" s="21">
        <f t="shared" si="116"/>
        <v>117375.88581772451</v>
      </c>
      <c r="AK226" s="21">
        <f t="shared" si="117"/>
        <v>2385.4057524829841</v>
      </c>
      <c r="AL226" s="23">
        <f t="shared" si="118"/>
        <v>121642.53458319485</v>
      </c>
      <c r="AM226" s="23"/>
    </row>
    <row r="227" spans="1:39" x14ac:dyDescent="0.3">
      <c r="A227" s="13">
        <f t="shared" si="93"/>
        <v>222</v>
      </c>
      <c r="B227" s="1">
        <v>45334</v>
      </c>
      <c r="C227" s="7">
        <v>2023</v>
      </c>
      <c r="D227" s="7">
        <v>8</v>
      </c>
      <c r="E227" s="77">
        <v>17.064399999999999</v>
      </c>
      <c r="F227" s="2">
        <v>53.283168792724609</v>
      </c>
      <c r="G227" s="2">
        <v>39.501907348632813</v>
      </c>
      <c r="H227" s="2">
        <v>14.20288753509521</v>
      </c>
      <c r="I227" s="2">
        <v>225.7799987792969</v>
      </c>
      <c r="J227" s="2">
        <v>13.72999954223633</v>
      </c>
      <c r="K227" s="2">
        <v>338.00384521484381</v>
      </c>
      <c r="L227" s="2">
        <v>159.2799987792969</v>
      </c>
      <c r="M227" s="2">
        <v>188.86000061035159</v>
      </c>
      <c r="N227" s="12">
        <f t="shared" si="94"/>
        <v>7.536109321625295E-3</v>
      </c>
      <c r="O227" s="12">
        <f t="shared" si="95"/>
        <v>6.4613548696925704E-3</v>
      </c>
      <c r="P227" s="12">
        <f t="shared" si="96"/>
        <v>7.0076959699356678E-3</v>
      </c>
      <c r="Q227" s="12">
        <f t="shared" si="97"/>
        <v>-1.1944448963315812E-3</v>
      </c>
      <c r="R227" s="12">
        <f t="shared" si="98"/>
        <v>1.4587530294465356E-3</v>
      </c>
      <c r="S227" s="12">
        <f t="shared" si="99"/>
        <v>0</v>
      </c>
      <c r="T227" s="12">
        <f t="shared" si="100"/>
        <v>2.5591497794151152E-2</v>
      </c>
      <c r="U227" s="12">
        <f t="shared" si="101"/>
        <v>7.6977508457620747E-3</v>
      </c>
      <c r="V227" s="19">
        <f t="shared" si="102"/>
        <v>47.818404610909042</v>
      </c>
      <c r="W227" s="19">
        <f t="shared" si="103"/>
        <v>32.575563194186465</v>
      </c>
      <c r="X227" s="19">
        <f t="shared" si="104"/>
        <v>11.7025318021955</v>
      </c>
      <c r="Y227" s="19">
        <f t="shared" si="105"/>
        <v>265.08298822828829</v>
      </c>
      <c r="Z227" s="19">
        <f t="shared" si="106"/>
        <v>15.582698617367004</v>
      </c>
      <c r="AA227" s="19">
        <f t="shared" si="107"/>
        <v>487.20687866210938</v>
      </c>
      <c r="AB227" s="19">
        <f t="shared" si="108"/>
        <v>4684.5265649678977</v>
      </c>
      <c r="AC227" s="19">
        <f t="shared" si="109"/>
        <v>8472.5489335574894</v>
      </c>
      <c r="AD227" s="21">
        <f t="shared" si="110"/>
        <v>7153.3857972823971</v>
      </c>
      <c r="AE227" s="21">
        <f t="shared" si="111"/>
        <v>5960.2336209839705</v>
      </c>
      <c r="AF227" s="21">
        <f t="shared" si="112"/>
        <v>7231.6143486807714</v>
      </c>
      <c r="AG227" s="21">
        <f t="shared" si="113"/>
        <v>-1204.6215391451369</v>
      </c>
      <c r="AH227" s="21">
        <f t="shared" si="114"/>
        <v>1014.6094394386391</v>
      </c>
      <c r="AI227" s="21">
        <f t="shared" si="115"/>
        <v>0</v>
      </c>
      <c r="AJ227" s="21">
        <f t="shared" si="116"/>
        <v>35067.778402570271</v>
      </c>
      <c r="AK227" s="21">
        <f t="shared" si="117"/>
        <v>12944.272360301329</v>
      </c>
      <c r="AL227" s="23">
        <f t="shared" si="118"/>
        <v>68167.272430112236</v>
      </c>
      <c r="AM227" s="23"/>
    </row>
    <row r="228" spans="1:39" x14ac:dyDescent="0.3">
      <c r="A228" s="13">
        <f t="shared" si="93"/>
        <v>223</v>
      </c>
      <c r="B228" s="1">
        <v>45331</v>
      </c>
      <c r="C228" s="7">
        <v>2023</v>
      </c>
      <c r="D228" s="7">
        <v>8</v>
      </c>
      <c r="E228" s="77">
        <v>17.076000000000001</v>
      </c>
      <c r="F228" s="2">
        <v>52.884624481201172</v>
      </c>
      <c r="G228" s="2">
        <v>39.248310089111328</v>
      </c>
      <c r="H228" s="2">
        <v>14.1040506362915</v>
      </c>
      <c r="I228" s="2">
        <v>226.05000305175781</v>
      </c>
      <c r="J228" s="2">
        <v>13.710000038146971</v>
      </c>
      <c r="K228" s="2">
        <v>338.00384521484381</v>
      </c>
      <c r="L228" s="2">
        <v>155.19999694824219</v>
      </c>
      <c r="M228" s="2">
        <v>187.28999328613281</v>
      </c>
      <c r="N228" s="12">
        <f t="shared" si="94"/>
        <v>-2.2731244078793011E-3</v>
      </c>
      <c r="O228" s="12">
        <f t="shared" si="95"/>
        <v>-6.9102239404048582E-3</v>
      </c>
      <c r="P228" s="12">
        <f t="shared" si="96"/>
        <v>-5.5749431148838235E-3</v>
      </c>
      <c r="Q228" s="12">
        <f t="shared" si="97"/>
        <v>-2.9786695900180571E-2</v>
      </c>
      <c r="R228" s="12">
        <f t="shared" si="98"/>
        <v>-1.0822483567524022E-2</v>
      </c>
      <c r="S228" s="12">
        <f t="shared" si="99"/>
        <v>0</v>
      </c>
      <c r="T228" s="12">
        <f t="shared" si="100"/>
        <v>-2.7589493379808872E-2</v>
      </c>
      <c r="U228" s="12">
        <f t="shared" si="101"/>
        <v>-2.613938246798575E-2</v>
      </c>
      <c r="V228" s="19">
        <f t="shared" si="102"/>
        <v>47.352851165170755</v>
      </c>
      <c r="W228" s="19">
        <f t="shared" si="103"/>
        <v>32.142772895356991</v>
      </c>
      <c r="X228" s="19">
        <f t="shared" si="104"/>
        <v>11.556307761768657</v>
      </c>
      <c r="Y228" s="19">
        <f t="shared" si="105"/>
        <v>257.49460498638001</v>
      </c>
      <c r="Z228" s="19">
        <f t="shared" si="106"/>
        <v>15.39160257076473</v>
      </c>
      <c r="AA228" s="19">
        <f t="shared" si="107"/>
        <v>487.20687866210938</v>
      </c>
      <c r="AB228" s="19">
        <f t="shared" si="108"/>
        <v>4441.6152631078839</v>
      </c>
      <c r="AC228" s="19">
        <f t="shared" si="109"/>
        <v>8188.0521511329771</v>
      </c>
      <c r="AD228" s="21">
        <f t="shared" si="110"/>
        <v>-2157.6831174833442</v>
      </c>
      <c r="AE228" s="21">
        <f t="shared" si="111"/>
        <v>-6374.2898956560339</v>
      </c>
      <c r="AF228" s="21">
        <f t="shared" si="112"/>
        <v>-5753.0804412228381</v>
      </c>
      <c r="AG228" s="21">
        <f t="shared" si="113"/>
        <v>-30040.477858396582</v>
      </c>
      <c r="AH228" s="21">
        <f t="shared" si="114"/>
        <v>-7527.3838436830074</v>
      </c>
      <c r="AI228" s="21">
        <f t="shared" si="115"/>
        <v>0</v>
      </c>
      <c r="AJ228" s="21">
        <f t="shared" si="116"/>
        <v>-37805.612155433846</v>
      </c>
      <c r="AK228" s="21">
        <f t="shared" si="117"/>
        <v>-43955.084124601126</v>
      </c>
      <c r="AL228" s="23">
        <f t="shared" si="118"/>
        <v>-133613.61143647679</v>
      </c>
      <c r="AM228" s="23"/>
    </row>
    <row r="229" spans="1:39" x14ac:dyDescent="0.3">
      <c r="A229" s="13">
        <f t="shared" si="93"/>
        <v>224</v>
      </c>
      <c r="B229" s="1">
        <v>45330</v>
      </c>
      <c r="C229" s="7">
        <v>2023</v>
      </c>
      <c r="D229" s="7">
        <v>8</v>
      </c>
      <c r="E229" s="77">
        <v>17.140799999999999</v>
      </c>
      <c r="F229" s="2">
        <v>53.005111694335938</v>
      </c>
      <c r="G229" s="2">
        <v>39.521411895751953</v>
      </c>
      <c r="H229" s="2">
        <v>14.183120727539061</v>
      </c>
      <c r="I229" s="2">
        <v>232.99000549316409</v>
      </c>
      <c r="J229" s="2">
        <v>13.85999965667725</v>
      </c>
      <c r="K229" s="2">
        <v>338.00384521484381</v>
      </c>
      <c r="L229" s="2">
        <v>159</v>
      </c>
      <c r="M229" s="2">
        <v>191.5899963378906</v>
      </c>
      <c r="N229" s="12">
        <f t="shared" si="94"/>
        <v>6.1575226592269772E-3</v>
      </c>
      <c r="O229" s="12">
        <f t="shared" si="95"/>
        <v>-9.8616001036788692E-4</v>
      </c>
      <c r="P229" s="12">
        <f t="shared" si="96"/>
        <v>2.0949412468396211E-3</v>
      </c>
      <c r="Q229" s="12">
        <f t="shared" si="97"/>
        <v>-1.9030731835336434E-2</v>
      </c>
      <c r="R229" s="12">
        <f t="shared" si="98"/>
        <v>-3.0090994144412853E-2</v>
      </c>
      <c r="S229" s="12">
        <f t="shared" si="99"/>
        <v>0</v>
      </c>
      <c r="T229" s="12">
        <f t="shared" si="100"/>
        <v>-7.3664674993532131E-3</v>
      </c>
      <c r="U229" s="12">
        <f t="shared" si="101"/>
        <v>1.0222720301494181E-2</v>
      </c>
      <c r="V229" s="19">
        <f t="shared" si="102"/>
        <v>47.752975874207827</v>
      </c>
      <c r="W229" s="19">
        <f t="shared" si="103"/>
        <v>32.334513708837406</v>
      </c>
      <c r="X229" s="19">
        <f t="shared" si="104"/>
        <v>11.645440214302477</v>
      </c>
      <c r="Y229" s="19">
        <f t="shared" si="105"/>
        <v>260.34923778354045</v>
      </c>
      <c r="Z229" s="19">
        <f t="shared" si="106"/>
        <v>15.091784538102951</v>
      </c>
      <c r="AA229" s="19">
        <f t="shared" si="107"/>
        <v>487.20687866210938</v>
      </c>
      <c r="AB229" s="19">
        <f t="shared" si="108"/>
        <v>4533.9866431015607</v>
      </c>
      <c r="AC229" s="19">
        <f t="shared" si="109"/>
        <v>8493.7784413652353</v>
      </c>
      <c r="AD229" s="21">
        <f t="shared" si="110"/>
        <v>5844.8110632581065</v>
      </c>
      <c r="AE229" s="21">
        <f t="shared" si="111"/>
        <v>-909.67671146421128</v>
      </c>
      <c r="AF229" s="21">
        <f t="shared" si="112"/>
        <v>2161.8813437803356</v>
      </c>
      <c r="AG229" s="21">
        <f t="shared" si="113"/>
        <v>-19192.873229186931</v>
      </c>
      <c r="AH229" s="21">
        <f t="shared" si="114"/>
        <v>-20929.249903664539</v>
      </c>
      <c r="AI229" s="21">
        <f t="shared" si="115"/>
        <v>0</v>
      </c>
      <c r="AJ229" s="21">
        <f t="shared" si="116"/>
        <v>-10094.198157330811</v>
      </c>
      <c r="AK229" s="21">
        <f t="shared" si="117"/>
        <v>17190.17392185051</v>
      </c>
      <c r="AL229" s="23">
        <f t="shared" si="118"/>
        <v>-25929.131672757547</v>
      </c>
      <c r="AM229" s="23"/>
    </row>
    <row r="230" spans="1:39" x14ac:dyDescent="0.3">
      <c r="A230" s="13">
        <f t="shared" si="93"/>
        <v>225</v>
      </c>
      <c r="B230" s="1">
        <v>45329</v>
      </c>
      <c r="C230" s="7">
        <v>2023</v>
      </c>
      <c r="D230" s="7">
        <v>8</v>
      </c>
      <c r="E230" s="77">
        <v>17.026</v>
      </c>
      <c r="F230" s="2">
        <v>52.680728912353523</v>
      </c>
      <c r="G230" s="2">
        <v>39.5604248046875</v>
      </c>
      <c r="H230" s="2">
        <v>14.153470039367679</v>
      </c>
      <c r="I230" s="2">
        <v>237.50999450683591</v>
      </c>
      <c r="J230" s="2">
        <v>14.289999961853029</v>
      </c>
      <c r="K230" s="2">
        <v>338.00384521484381</v>
      </c>
      <c r="L230" s="2">
        <v>161.25999450683591</v>
      </c>
      <c r="M230" s="2">
        <v>190.92999267578119</v>
      </c>
      <c r="N230" s="12">
        <f t="shared" si="94"/>
        <v>5.8386248746702396E-3</v>
      </c>
      <c r="O230" s="12">
        <f t="shared" si="95"/>
        <v>-2.9499449631393837E-3</v>
      </c>
      <c r="P230" s="12">
        <f t="shared" si="96"/>
        <v>1.2729862075930631E-2</v>
      </c>
      <c r="Q230" s="12">
        <f t="shared" si="97"/>
        <v>6.9431304530642279E-2</v>
      </c>
      <c r="R230" s="12">
        <f t="shared" si="98"/>
        <v>2.2906205347716702E-2</v>
      </c>
      <c r="S230" s="12">
        <f t="shared" si="99"/>
        <v>0</v>
      </c>
      <c r="T230" s="12">
        <f t="shared" si="100"/>
        <v>1.3091950067724456E-2</v>
      </c>
      <c r="U230" s="12">
        <f t="shared" si="101"/>
        <v>4.1542877093835973E-2</v>
      </c>
      <c r="V230" s="19">
        <f t="shared" si="102"/>
        <v>47.737840750860514</v>
      </c>
      <c r="W230" s="19">
        <f t="shared" si="103"/>
        <v>32.270952996327907</v>
      </c>
      <c r="X230" s="19">
        <f t="shared" si="104"/>
        <v>11.769029636423422</v>
      </c>
      <c r="Y230" s="19">
        <f t="shared" si="105"/>
        <v>283.82706169514177</v>
      </c>
      <c r="Z230" s="19">
        <f t="shared" si="106"/>
        <v>15.916420984438997</v>
      </c>
      <c r="AA230" s="19">
        <f t="shared" si="107"/>
        <v>487.20687866210938</v>
      </c>
      <c r="AB230" s="19">
        <f t="shared" si="108"/>
        <v>4627.4332061593768</v>
      </c>
      <c r="AC230" s="19">
        <f t="shared" si="109"/>
        <v>8757.1129191956061</v>
      </c>
      <c r="AD230" s="21">
        <f t="shared" si="110"/>
        <v>5542.1085963118348</v>
      </c>
      <c r="AE230" s="21">
        <f t="shared" si="111"/>
        <v>-2721.1570179849396</v>
      </c>
      <c r="AF230" s="21">
        <f t="shared" si="112"/>
        <v>13136.622028120275</v>
      </c>
      <c r="AG230" s="21">
        <f t="shared" si="113"/>
        <v>70022.857634898086</v>
      </c>
      <c r="AH230" s="21">
        <f t="shared" si="114"/>
        <v>15931.999247556691</v>
      </c>
      <c r="AI230" s="21">
        <f t="shared" si="115"/>
        <v>0</v>
      </c>
      <c r="AJ230" s="21">
        <f t="shared" si="116"/>
        <v>17939.770760014017</v>
      </c>
      <c r="AK230" s="21">
        <f t="shared" si="117"/>
        <v>69857.069487924673</v>
      </c>
      <c r="AL230" s="23">
        <f t="shared" si="118"/>
        <v>189709.27073684061</v>
      </c>
      <c r="AM230" s="23"/>
    </row>
    <row r="231" spans="1:39" x14ac:dyDescent="0.3">
      <c r="A231" s="13">
        <f t="shared" si="93"/>
        <v>226</v>
      </c>
      <c r="B231" s="1">
        <v>45328</v>
      </c>
      <c r="C231" s="7">
        <v>2023</v>
      </c>
      <c r="D231" s="7">
        <v>8</v>
      </c>
      <c r="E231" s="77">
        <v>17.032</v>
      </c>
      <c r="F231" s="2">
        <v>52.374931335449219</v>
      </c>
      <c r="G231" s="2">
        <v>39.677471160888672</v>
      </c>
      <c r="H231" s="2">
        <v>13.97556304931641</v>
      </c>
      <c r="I231" s="2">
        <v>222.0899963378906</v>
      </c>
      <c r="J231" s="2">
        <v>13.97000026702881</v>
      </c>
      <c r="K231" s="2">
        <v>338.00384521484381</v>
      </c>
      <c r="L231" s="2">
        <v>159.1199951171875</v>
      </c>
      <c r="M231" s="2">
        <v>183.25</v>
      </c>
      <c r="N231" s="12">
        <f t="shared" si="94"/>
        <v>1.0366471765017149E-2</v>
      </c>
      <c r="O231" s="12">
        <f t="shared" si="95"/>
        <v>-1.9286317798908659E-2</v>
      </c>
      <c r="P231" s="12">
        <f t="shared" si="96"/>
        <v>1.1444983917720863E-2</v>
      </c>
      <c r="Q231" s="12">
        <f t="shared" si="97"/>
        <v>1.6104629618511002E-2</v>
      </c>
      <c r="R231" s="12">
        <f t="shared" si="98"/>
        <v>-1.2720802569191614E-2</v>
      </c>
      <c r="S231" s="12">
        <f t="shared" si="99"/>
        <v>6.2696004471192834E-2</v>
      </c>
      <c r="T231" s="12">
        <f t="shared" si="100"/>
        <v>3.9102465770548545E-3</v>
      </c>
      <c r="U231" s="12">
        <f t="shared" si="101"/>
        <v>-1.3544970171422976E-3</v>
      </c>
      <c r="V231" s="19">
        <f t="shared" si="102"/>
        <v>47.952735693697484</v>
      </c>
      <c r="W231" s="19">
        <f t="shared" si="103"/>
        <v>31.742202892709376</v>
      </c>
      <c r="X231" s="19">
        <f t="shared" si="104"/>
        <v>11.754097945664183</v>
      </c>
      <c r="Y231" s="19">
        <f t="shared" si="105"/>
        <v>269.67416249894234</v>
      </c>
      <c r="Z231" s="19">
        <f t="shared" si="106"/>
        <v>15.362064726302217</v>
      </c>
      <c r="AA231" s="19">
        <f t="shared" si="107"/>
        <v>517.75280330510486</v>
      </c>
      <c r="AB231" s="19">
        <f t="shared" si="108"/>
        <v>4585.4945453902401</v>
      </c>
      <c r="AC231" s="19">
        <f t="shared" si="109"/>
        <v>8396.4391943893934</v>
      </c>
      <c r="AD231" s="21">
        <f t="shared" si="110"/>
        <v>9840.0074530512429</v>
      </c>
      <c r="AE231" s="21">
        <f t="shared" si="111"/>
        <v>-17790.534971113077</v>
      </c>
      <c r="AF231" s="21">
        <f t="shared" si="112"/>
        <v>11810.687888699857</v>
      </c>
      <c r="AG231" s="21">
        <f t="shared" si="113"/>
        <v>16241.840689340257</v>
      </c>
      <c r="AH231" s="21">
        <f t="shared" si="114"/>
        <v>-8847.7254911573655</v>
      </c>
      <c r="AI231" s="21">
        <f t="shared" si="115"/>
        <v>106910.7362504842</v>
      </c>
      <c r="AJ231" s="21">
        <f t="shared" si="116"/>
        <v>5358.1725292729971</v>
      </c>
      <c r="AK231" s="21">
        <f t="shared" si="117"/>
        <v>-2277.6754733178677</v>
      </c>
      <c r="AL231" s="23">
        <f t="shared" si="118"/>
        <v>121245.50887526025</v>
      </c>
      <c r="AM231" s="23"/>
    </row>
    <row r="232" spans="1:39" x14ac:dyDescent="0.3">
      <c r="A232" s="13">
        <f t="shared" si="93"/>
        <v>227</v>
      </c>
      <c r="B232" s="1">
        <v>45324</v>
      </c>
      <c r="C232" s="7">
        <v>2023</v>
      </c>
      <c r="D232" s="7">
        <v>8</v>
      </c>
      <c r="E232" s="77">
        <v>17.113</v>
      </c>
      <c r="F232" s="2">
        <v>51.837558746337891</v>
      </c>
      <c r="G232" s="2">
        <v>40.457752227783203</v>
      </c>
      <c r="H232" s="2">
        <v>13.817422866821291</v>
      </c>
      <c r="I232" s="2">
        <v>218.57000732421881</v>
      </c>
      <c r="J232" s="2">
        <v>14.14999961853027</v>
      </c>
      <c r="K232" s="2">
        <v>318.06259155273438</v>
      </c>
      <c r="L232" s="2">
        <v>157.75</v>
      </c>
      <c r="M232" s="2">
        <v>182.6300048828125</v>
      </c>
      <c r="N232" s="12">
        <f t="shared" si="94"/>
        <v>1.4873766491067197E-2</v>
      </c>
      <c r="O232" s="12">
        <f t="shared" si="95"/>
        <v>3.725925297822763E-2</v>
      </c>
      <c r="P232" s="12">
        <f t="shared" si="96"/>
        <v>4.4062712286879302E-2</v>
      </c>
      <c r="Q232" s="12">
        <f t="shared" si="97"/>
        <v>-1.2782234192783015E-2</v>
      </c>
      <c r="R232" s="12">
        <f t="shared" si="98"/>
        <v>-2.0761259148426747E-2</v>
      </c>
      <c r="S232" s="12">
        <f t="shared" si="99"/>
        <v>0</v>
      </c>
      <c r="T232" s="12">
        <f t="shared" si="100"/>
        <v>7.5526947119062271E-3</v>
      </c>
      <c r="U232" s="12">
        <f t="shared" si="101"/>
        <v>-0.11955511794504725</v>
      </c>
      <c r="V232" s="19">
        <f t="shared" si="102"/>
        <v>48.166655215704488</v>
      </c>
      <c r="W232" s="19">
        <f t="shared" si="103"/>
        <v>33.572381274909091</v>
      </c>
      <c r="X232" s="19">
        <f t="shared" si="104"/>
        <v>12.133151656060898</v>
      </c>
      <c r="Y232" s="19">
        <f t="shared" si="105"/>
        <v>262.00758901973632</v>
      </c>
      <c r="Z232" s="19">
        <f t="shared" si="106"/>
        <v>15.236955218555408</v>
      </c>
      <c r="AA232" s="19">
        <f t="shared" si="107"/>
        <v>487.20687866210938</v>
      </c>
      <c r="AB232" s="19">
        <f t="shared" si="108"/>
        <v>4602.1319152260157</v>
      </c>
      <c r="AC232" s="19">
        <f t="shared" si="109"/>
        <v>7402.6287547530756</v>
      </c>
      <c r="AD232" s="21">
        <f t="shared" si="110"/>
        <v>14118.397893191315</v>
      </c>
      <c r="AE232" s="21">
        <f t="shared" si="111"/>
        <v>34369.548921578818</v>
      </c>
      <c r="AF232" s="21">
        <f t="shared" si="112"/>
        <v>45470.657371928115</v>
      </c>
      <c r="AG232" s="21">
        <f t="shared" si="113"/>
        <v>-12891.138531642628</v>
      </c>
      <c r="AH232" s="21">
        <f t="shared" si="114"/>
        <v>-14440.120487439697</v>
      </c>
      <c r="AI232" s="21">
        <f t="shared" si="115"/>
        <v>0</v>
      </c>
      <c r="AJ232" s="21">
        <f t="shared" si="116"/>
        <v>10349.38348000569</v>
      </c>
      <c r="AK232" s="21">
        <f t="shared" si="117"/>
        <v>-201039.76340058143</v>
      </c>
      <c r="AL232" s="23">
        <f t="shared" si="118"/>
        <v>-124063.03475295982</v>
      </c>
      <c r="AM232" s="23"/>
    </row>
    <row r="233" spans="1:39" x14ac:dyDescent="0.3">
      <c r="A233" s="13">
        <f t="shared" si="93"/>
        <v>228</v>
      </c>
      <c r="B233" s="1">
        <v>45323</v>
      </c>
      <c r="C233" s="7">
        <v>2023</v>
      </c>
      <c r="D233" s="7">
        <v>8</v>
      </c>
      <c r="E233" s="77">
        <v>17.079999999999998</v>
      </c>
      <c r="F233" s="2">
        <v>51.077838897705078</v>
      </c>
      <c r="G233" s="2">
        <v>39.004474639892578</v>
      </c>
      <c r="H233" s="2">
        <v>13.23428440093994</v>
      </c>
      <c r="I233" s="2">
        <v>221.3999938964844</v>
      </c>
      <c r="J233" s="2">
        <v>14.44999980926514</v>
      </c>
      <c r="K233" s="2">
        <v>318.06259155273438</v>
      </c>
      <c r="L233" s="2">
        <v>156.8699951171875</v>
      </c>
      <c r="M233" s="2">
        <v>207.83000183105469</v>
      </c>
      <c r="N233" s="12">
        <f t="shared" si="94"/>
        <v>-3.2541867086555154E-3</v>
      </c>
      <c r="O233" s="12">
        <f t="shared" si="95"/>
        <v>-2.4991823391129486E-4</v>
      </c>
      <c r="P233" s="12">
        <f t="shared" si="96"/>
        <v>2.7628513981280634E-2</v>
      </c>
      <c r="Q233" s="12">
        <f t="shared" si="97"/>
        <v>4.4339593851341563E-2</v>
      </c>
      <c r="R233" s="12">
        <f t="shared" si="98"/>
        <v>1.1904767470088728E-2</v>
      </c>
      <c r="S233" s="12">
        <f t="shared" si="99"/>
        <v>0</v>
      </c>
      <c r="T233" s="12">
        <f t="shared" si="100"/>
        <v>-2.2628882178904464E-3</v>
      </c>
      <c r="U233" s="12">
        <f t="shared" si="101"/>
        <v>-1.3884766198131171E-2</v>
      </c>
      <c r="V233" s="19">
        <f t="shared" si="102"/>
        <v>47.306289226980162</v>
      </c>
      <c r="W233" s="19">
        <f t="shared" si="103"/>
        <v>32.358343228370494</v>
      </c>
      <c r="X233" s="19">
        <f t="shared" si="104"/>
        <v>11.942168281172572</v>
      </c>
      <c r="Y233" s="19">
        <f t="shared" si="105"/>
        <v>277.16772183400303</v>
      </c>
      <c r="Z233" s="19">
        <f t="shared" si="106"/>
        <v>15.745238606446719</v>
      </c>
      <c r="AA233" s="19">
        <f t="shared" si="107"/>
        <v>487.20687866210938</v>
      </c>
      <c r="AB233" s="19">
        <f t="shared" si="108"/>
        <v>4557.2979251976521</v>
      </c>
      <c r="AC233" s="19">
        <f t="shared" si="109"/>
        <v>8291.0868516879491</v>
      </c>
      <c r="AD233" s="21">
        <f t="shared" si="110"/>
        <v>-3088.9218812951922</v>
      </c>
      <c r="AE233" s="21">
        <f t="shared" si="111"/>
        <v>-230.53540477121004</v>
      </c>
      <c r="AF233" s="21">
        <f t="shared" si="112"/>
        <v>28511.333681844782</v>
      </c>
      <c r="AG233" s="21">
        <f t="shared" si="113"/>
        <v>44717.366162570899</v>
      </c>
      <c r="AH233" s="21">
        <f t="shared" si="114"/>
        <v>8280.1469513018892</v>
      </c>
      <c r="AI233" s="21">
        <f t="shared" si="115"/>
        <v>0</v>
      </c>
      <c r="AJ233" s="21">
        <f t="shared" si="116"/>
        <v>-3100.8135285033859</v>
      </c>
      <c r="AK233" s="21">
        <f t="shared" si="117"/>
        <v>-23348.144013606725</v>
      </c>
      <c r="AL233" s="23">
        <f t="shared" si="118"/>
        <v>51740.431967541066</v>
      </c>
      <c r="AM233" s="23"/>
    </row>
    <row r="234" spans="1:39" x14ac:dyDescent="0.3">
      <c r="A234" s="13">
        <f t="shared" si="93"/>
        <v>229</v>
      </c>
      <c r="B234" s="1">
        <v>45322</v>
      </c>
      <c r="C234" s="7">
        <v>2023</v>
      </c>
      <c r="D234" s="7">
        <v>7</v>
      </c>
      <c r="E234" s="77">
        <v>17.212</v>
      </c>
      <c r="F234" s="2">
        <v>51.244598388671882</v>
      </c>
      <c r="G234" s="2">
        <v>39.014225006103523</v>
      </c>
      <c r="H234" s="2">
        <v>12.878471374511721</v>
      </c>
      <c r="I234" s="2">
        <v>212</v>
      </c>
      <c r="J234" s="2">
        <v>14.27999973297119</v>
      </c>
      <c r="K234" s="2">
        <v>318.06259155273438</v>
      </c>
      <c r="L234" s="2">
        <v>156.02000427246091</v>
      </c>
      <c r="M234" s="2">
        <v>209.13999938964841</v>
      </c>
      <c r="N234" s="12">
        <f t="shared" si="94"/>
        <v>1.5607748381721853E-2</v>
      </c>
      <c r="O234" s="12">
        <f t="shared" si="95"/>
        <v>2.406558044145779E-2</v>
      </c>
      <c r="P234" s="12">
        <f t="shared" si="96"/>
        <v>1.6380793192203758E-2</v>
      </c>
      <c r="Q234" s="12">
        <f t="shared" si="97"/>
        <v>2.168674698795181E-2</v>
      </c>
      <c r="R234" s="12">
        <f t="shared" si="98"/>
        <v>2.5862044159778774E-2</v>
      </c>
      <c r="S234" s="12">
        <f t="shared" si="99"/>
        <v>0</v>
      </c>
      <c r="T234" s="12">
        <f t="shared" si="100"/>
        <v>1.2245760164524722E-2</v>
      </c>
      <c r="U234" s="12">
        <f t="shared" si="101"/>
        <v>5.8358751911913309E-3</v>
      </c>
      <c r="V234" s="19">
        <f t="shared" si="102"/>
        <v>48.201490535947293</v>
      </c>
      <c r="W234" s="19">
        <f t="shared" si="103"/>
        <v>33.145349167411439</v>
      </c>
      <c r="X234" s="19">
        <f t="shared" si="104"/>
        <v>11.811457452682223</v>
      </c>
      <c r="Y234" s="19">
        <f t="shared" si="105"/>
        <v>271.15565641472136</v>
      </c>
      <c r="Z234" s="19">
        <f t="shared" si="106"/>
        <v>15.962413837595003</v>
      </c>
      <c r="AA234" s="19">
        <f t="shared" si="107"/>
        <v>487.20687866210938</v>
      </c>
      <c r="AB234" s="19">
        <f t="shared" si="108"/>
        <v>4623.5681204122029</v>
      </c>
      <c r="AC234" s="19">
        <f t="shared" si="109"/>
        <v>8456.8946040938081</v>
      </c>
      <c r="AD234" s="21">
        <f t="shared" si="110"/>
        <v>14815.10429804743</v>
      </c>
      <c r="AE234" s="21">
        <f t="shared" si="111"/>
        <v>22199.133857895729</v>
      </c>
      <c r="AF234" s="21">
        <f t="shared" si="112"/>
        <v>16904.212111901801</v>
      </c>
      <c r="AG234" s="21">
        <f t="shared" si="113"/>
        <v>21871.517569300555</v>
      </c>
      <c r="AH234" s="21">
        <f t="shared" si="114"/>
        <v>17987.879783630175</v>
      </c>
      <c r="AI234" s="21">
        <f t="shared" si="115"/>
        <v>0</v>
      </c>
      <c r="AJ234" s="21">
        <f t="shared" si="116"/>
        <v>16780.245035861844</v>
      </c>
      <c r="AK234" s="21">
        <f t="shared" si="117"/>
        <v>9813.4064675650734</v>
      </c>
      <c r="AL234" s="23">
        <f t="shared" si="118"/>
        <v>120371.49912420262</v>
      </c>
      <c r="AM234" s="23"/>
    </row>
    <row r="235" spans="1:39" x14ac:dyDescent="0.3">
      <c r="A235" s="13">
        <f t="shared" si="93"/>
        <v>230</v>
      </c>
      <c r="B235" s="1">
        <v>45321</v>
      </c>
      <c r="C235" s="7">
        <v>2023</v>
      </c>
      <c r="D235" s="7">
        <v>7</v>
      </c>
      <c r="E235" s="77">
        <v>17.14</v>
      </c>
      <c r="F235" s="2">
        <v>50.457077026367188</v>
      </c>
      <c r="G235" s="2">
        <v>38.097389221191413</v>
      </c>
      <c r="H235" s="2">
        <v>12.67091178894043</v>
      </c>
      <c r="I235" s="2">
        <v>207.5</v>
      </c>
      <c r="J235" s="2">
        <v>13.920000076293951</v>
      </c>
      <c r="K235" s="2">
        <v>318.06259155273438</v>
      </c>
      <c r="L235" s="2">
        <v>154.7799987792969</v>
      </c>
      <c r="M235" s="2">
        <v>208.80000305175781</v>
      </c>
      <c r="N235" s="12">
        <f t="shared" si="94"/>
        <v>-1.2869396333270999E-2</v>
      </c>
      <c r="O235" s="12">
        <f t="shared" si="95"/>
        <v>-2.7148275743159256E-2</v>
      </c>
      <c r="P235" s="12">
        <f t="shared" si="96"/>
        <v>2.3454726568734596E-3</v>
      </c>
      <c r="Q235" s="12">
        <f t="shared" si="97"/>
        <v>-1.8773354129599462E-2</v>
      </c>
      <c r="R235" s="12">
        <f t="shared" si="98"/>
        <v>-1.9718291319165804E-2</v>
      </c>
      <c r="S235" s="12">
        <f t="shared" si="99"/>
        <v>0</v>
      </c>
      <c r="T235" s="12">
        <f t="shared" si="100"/>
        <v>-8.1187916621129341E-3</v>
      </c>
      <c r="U235" s="12">
        <f t="shared" si="101"/>
        <v>-2.0434012845194416E-2</v>
      </c>
      <c r="V235" s="19">
        <f t="shared" si="102"/>
        <v>46.849944307929924</v>
      </c>
      <c r="W235" s="19">
        <f t="shared" si="103"/>
        <v>31.487739364026616</v>
      </c>
      <c r="X235" s="19">
        <f t="shared" si="104"/>
        <v>11.648351663544725</v>
      </c>
      <c r="Y235" s="19">
        <f t="shared" si="105"/>
        <v>260.41754582507212</v>
      </c>
      <c r="Z235" s="19">
        <f t="shared" si="106"/>
        <v>15.253183798416355</v>
      </c>
      <c r="AA235" s="19">
        <f t="shared" si="107"/>
        <v>487.20687866210938</v>
      </c>
      <c r="AB235" s="19">
        <f t="shared" si="108"/>
        <v>4530.5503016990679</v>
      </c>
      <c r="AC235" s="19">
        <f t="shared" si="109"/>
        <v>8236.0219151545407</v>
      </c>
      <c r="AD235" s="21">
        <f t="shared" si="110"/>
        <v>-12215.820262299956</v>
      </c>
      <c r="AE235" s="21">
        <f t="shared" si="111"/>
        <v>-25042.745538571715</v>
      </c>
      <c r="AF235" s="21">
        <f t="shared" si="112"/>
        <v>2420.4180364919539</v>
      </c>
      <c r="AG235" s="21">
        <f t="shared" si="113"/>
        <v>-18933.302671366549</v>
      </c>
      <c r="AH235" s="21">
        <f t="shared" si="114"/>
        <v>-13714.702967655378</v>
      </c>
      <c r="AI235" s="21">
        <f t="shared" si="115"/>
        <v>0</v>
      </c>
      <c r="AJ235" s="21">
        <f t="shared" si="116"/>
        <v>-11125.100578078673</v>
      </c>
      <c r="AK235" s="21">
        <f t="shared" si="117"/>
        <v>-34361.131320288405</v>
      </c>
      <c r="AL235" s="23">
        <f t="shared" si="118"/>
        <v>-112972.38530176872</v>
      </c>
      <c r="AM235" s="23"/>
    </row>
    <row r="236" spans="1:39" x14ac:dyDescent="0.3">
      <c r="A236" s="13">
        <f t="shared" si="93"/>
        <v>231</v>
      </c>
      <c r="B236" s="1">
        <v>45320</v>
      </c>
      <c r="C236" s="7">
        <v>2023</v>
      </c>
      <c r="D236" s="7">
        <v>7</v>
      </c>
      <c r="E236" s="77">
        <v>17.218</v>
      </c>
      <c r="F236" s="2">
        <v>51.114894866943359</v>
      </c>
      <c r="G236" s="2">
        <v>39.160530090332031</v>
      </c>
      <c r="H236" s="2">
        <v>12.641262054443359</v>
      </c>
      <c r="I236" s="2">
        <v>211.4700012207031</v>
      </c>
      <c r="J236" s="2">
        <v>14.19999980926514</v>
      </c>
      <c r="K236" s="2">
        <v>318.06259155273438</v>
      </c>
      <c r="L236" s="2">
        <v>155.3399963378906</v>
      </c>
      <c r="M236" s="2">
        <v>212.19000244140619</v>
      </c>
      <c r="N236" s="12">
        <f t="shared" si="94"/>
        <v>1.396804525687223E-2</v>
      </c>
      <c r="O236" s="12">
        <f t="shared" si="95"/>
        <v>4.0009627582535678E-3</v>
      </c>
      <c r="P236" s="12">
        <f t="shared" si="96"/>
        <v>3.9246397074113037E-3</v>
      </c>
      <c r="Q236" s="12">
        <f t="shared" si="97"/>
        <v>1.7661203633530187E-2</v>
      </c>
      <c r="R236" s="12">
        <f t="shared" si="98"/>
        <v>7.0921578077991487E-3</v>
      </c>
      <c r="S236" s="12">
        <f t="shared" si="99"/>
        <v>0</v>
      </c>
      <c r="T236" s="12">
        <f t="shared" si="100"/>
        <v>1.5744813280707426E-2</v>
      </c>
      <c r="U236" s="12">
        <f t="shared" si="101"/>
        <v>5.1818683669624388E-3</v>
      </c>
      <c r="V236" s="19">
        <f t="shared" si="102"/>
        <v>48.123669019933715</v>
      </c>
      <c r="W236" s="19">
        <f t="shared" si="103"/>
        <v>32.495929079750908</v>
      </c>
      <c r="X236" s="19">
        <f t="shared" si="104"/>
        <v>11.666703313391947</v>
      </c>
      <c r="Y236" s="19">
        <f t="shared" si="105"/>
        <v>270.08727723302786</v>
      </c>
      <c r="Z236" s="19">
        <f t="shared" si="106"/>
        <v>15.670354398082042</v>
      </c>
      <c r="AA236" s="19">
        <f t="shared" si="107"/>
        <v>487.20687866210938</v>
      </c>
      <c r="AB236" s="19">
        <f t="shared" si="108"/>
        <v>4639.5505142895381</v>
      </c>
      <c r="AC236" s="19">
        <f t="shared" si="109"/>
        <v>8451.3958274849392</v>
      </c>
      <c r="AD236" s="21">
        <f t="shared" si="110"/>
        <v>13258.673977775856</v>
      </c>
      <c r="AE236" s="21">
        <f t="shared" si="111"/>
        <v>3690.6613595706085</v>
      </c>
      <c r="AF236" s="21">
        <f t="shared" si="112"/>
        <v>4050.0445429252904</v>
      </c>
      <c r="AG236" s="21">
        <f t="shared" si="113"/>
        <v>17811.676678865253</v>
      </c>
      <c r="AH236" s="21">
        <f t="shared" si="114"/>
        <v>4932.8228374008077</v>
      </c>
      <c r="AI236" s="21">
        <f t="shared" si="115"/>
        <v>0</v>
      </c>
      <c r="AJ236" s="21">
        <f t="shared" si="116"/>
        <v>21574.963199062404</v>
      </c>
      <c r="AK236" s="21">
        <f t="shared" si="117"/>
        <v>8713.6511457913002</v>
      </c>
      <c r="AL236" s="23">
        <f t="shared" si="118"/>
        <v>74032.493741391518</v>
      </c>
      <c r="AM236" s="23"/>
    </row>
    <row r="237" spans="1:39" x14ac:dyDescent="0.3">
      <c r="A237" s="13">
        <f t="shared" si="93"/>
        <v>232</v>
      </c>
      <c r="B237" s="1">
        <v>45317</v>
      </c>
      <c r="C237" s="7">
        <v>2023</v>
      </c>
      <c r="D237" s="7">
        <v>7</v>
      </c>
      <c r="E237" s="77">
        <v>17.154299999999999</v>
      </c>
      <c r="F237" s="2">
        <v>50.410755157470703</v>
      </c>
      <c r="G237" s="2">
        <v>39.004474639892578</v>
      </c>
      <c r="H237" s="2">
        <v>12.5918436050415</v>
      </c>
      <c r="I237" s="2">
        <v>207.80000305175781</v>
      </c>
      <c r="J237" s="2">
        <v>14.10000038146973</v>
      </c>
      <c r="K237" s="2">
        <v>318.06259155273438</v>
      </c>
      <c r="L237" s="2">
        <v>153.5</v>
      </c>
      <c r="M237" s="2">
        <v>211.8800048828125</v>
      </c>
      <c r="N237" s="12">
        <f t="shared" si="94"/>
        <v>-1.1015575099495578E-3</v>
      </c>
      <c r="O237" s="12">
        <f t="shared" si="95"/>
        <v>6.6684547693989016E-2</v>
      </c>
      <c r="P237" s="12">
        <f t="shared" si="96"/>
        <v>-9.3312727891798897E-3</v>
      </c>
      <c r="Q237" s="12">
        <f t="shared" si="97"/>
        <v>-1.4416292309408218E-3</v>
      </c>
      <c r="R237" s="12">
        <f t="shared" si="98"/>
        <v>5.3024646747006132E-2</v>
      </c>
      <c r="S237" s="12">
        <f t="shared" si="99"/>
        <v>-5.899712072634633E-2</v>
      </c>
      <c r="T237" s="12">
        <f t="shared" si="100"/>
        <v>9.6974895228416624E-3</v>
      </c>
      <c r="U237" s="12">
        <f t="shared" si="101"/>
        <v>-1.9067632281828395E-2</v>
      </c>
      <c r="V237" s="19">
        <f t="shared" si="102"/>
        <v>47.408454591624299</v>
      </c>
      <c r="W237" s="19">
        <f t="shared" si="103"/>
        <v>34.524773080995821</v>
      </c>
      <c r="X237" s="19">
        <f t="shared" si="104"/>
        <v>11.512655098885441</v>
      </c>
      <c r="Y237" s="19">
        <f t="shared" si="105"/>
        <v>265.01738550739168</v>
      </c>
      <c r="Z237" s="19">
        <f t="shared" si="106"/>
        <v>16.385063945250142</v>
      </c>
      <c r="AA237" s="19">
        <f t="shared" si="107"/>
        <v>458.46307562297454</v>
      </c>
      <c r="AB237" s="19">
        <f t="shared" si="108"/>
        <v>4611.928552863752</v>
      </c>
      <c r="AC237" s="19">
        <f t="shared" si="109"/>
        <v>8247.5102073287217</v>
      </c>
      <c r="AD237" s="21">
        <f t="shared" si="110"/>
        <v>-1045.6145884124624</v>
      </c>
      <c r="AE237" s="21">
        <f t="shared" si="111"/>
        <v>61512.715395050625</v>
      </c>
      <c r="AF237" s="21">
        <f t="shared" si="112"/>
        <v>-9629.4369052524689</v>
      </c>
      <c r="AG237" s="21">
        <f t="shared" si="113"/>
        <v>-1453.9118785522419</v>
      </c>
      <c r="AH237" s="21">
        <f t="shared" si="114"/>
        <v>36880.339595814883</v>
      </c>
      <c r="AI237" s="21">
        <f t="shared" si="115"/>
        <v>-100603.31063697192</v>
      </c>
      <c r="AJ237" s="21">
        <f t="shared" si="116"/>
        <v>13288.374771326562</v>
      </c>
      <c r="AK237" s="21">
        <f t="shared" si="117"/>
        <v>-32063.472885452211</v>
      </c>
      <c r="AL237" s="23">
        <f t="shared" si="118"/>
        <v>-33114.317132449243</v>
      </c>
      <c r="AM237" s="23"/>
    </row>
    <row r="238" spans="1:39" x14ac:dyDescent="0.3">
      <c r="A238" s="13">
        <f t="shared" si="93"/>
        <v>233</v>
      </c>
      <c r="B238" s="1">
        <v>45316</v>
      </c>
      <c r="C238" s="7">
        <v>2023</v>
      </c>
      <c r="D238" s="7">
        <v>7</v>
      </c>
      <c r="E238" s="77">
        <v>17.190000000000001</v>
      </c>
      <c r="F238" s="2">
        <v>50.466346740722663</v>
      </c>
      <c r="G238" s="2">
        <v>36.566082000732422</v>
      </c>
      <c r="H238" s="2">
        <v>12.71044826507568</v>
      </c>
      <c r="I238" s="2">
        <v>208.1000061035156</v>
      </c>
      <c r="J238" s="2">
        <v>13.39000034332275</v>
      </c>
      <c r="K238" s="2">
        <v>338.00384521484381</v>
      </c>
      <c r="L238" s="2">
        <v>151.71000671386719</v>
      </c>
      <c r="M238" s="2">
        <v>215.55000305175781</v>
      </c>
      <c r="N238" s="12">
        <f t="shared" si="94"/>
        <v>-6.5656500424572384E-3</v>
      </c>
      <c r="O238" s="12">
        <f t="shared" si="95"/>
        <v>-4.9442278947692486E-2</v>
      </c>
      <c r="P238" s="12">
        <f t="shared" si="96"/>
        <v>4.6875065959639528E-3</v>
      </c>
      <c r="Q238" s="12">
        <f t="shared" si="97"/>
        <v>-3.7287182744467406E-2</v>
      </c>
      <c r="R238" s="12">
        <f t="shared" si="98"/>
        <v>-5.1027592549499179E-2</v>
      </c>
      <c r="S238" s="12">
        <f t="shared" si="99"/>
        <v>0</v>
      </c>
      <c r="T238" s="12">
        <f t="shared" si="100"/>
        <v>-1.0618316736106026E-2</v>
      </c>
      <c r="U238" s="12">
        <f t="shared" si="101"/>
        <v>-2.0965369633107134E-2</v>
      </c>
      <c r="V238" s="19">
        <f t="shared" si="102"/>
        <v>47.149124742169249</v>
      </c>
      <c r="W238" s="19">
        <f t="shared" si="103"/>
        <v>30.766162021064755</v>
      </c>
      <c r="X238" s="19">
        <f t="shared" si="104"/>
        <v>11.675568661750114</v>
      </c>
      <c r="Y238" s="19">
        <f t="shared" si="105"/>
        <v>255.50397582368564</v>
      </c>
      <c r="Z238" s="19">
        <f t="shared" si="106"/>
        <v>14.766011058134461</v>
      </c>
      <c r="AA238" s="19">
        <f t="shared" si="107"/>
        <v>487.20687866210938</v>
      </c>
      <c r="AB238" s="19">
        <f t="shared" si="108"/>
        <v>4519.1333860614986</v>
      </c>
      <c r="AC238" s="19">
        <f t="shared" si="109"/>
        <v>8231.5543589026893</v>
      </c>
      <c r="AD238" s="21">
        <f t="shared" si="110"/>
        <v>-6232.2115775134534</v>
      </c>
      <c r="AE238" s="21">
        <f t="shared" si="111"/>
        <v>-45607.699812984771</v>
      </c>
      <c r="AF238" s="21">
        <f t="shared" si="112"/>
        <v>4837.2874771305487</v>
      </c>
      <c r="AG238" s="21">
        <f t="shared" si="113"/>
        <v>-37604.868676635211</v>
      </c>
      <c r="AH238" s="21">
        <f t="shared" si="114"/>
        <v>-35491.324458256029</v>
      </c>
      <c r="AI238" s="21">
        <f t="shared" si="115"/>
        <v>0</v>
      </c>
      <c r="AJ238" s="21">
        <f t="shared" si="116"/>
        <v>-14550.175269349438</v>
      </c>
      <c r="AK238" s="21">
        <f t="shared" si="117"/>
        <v>-35254.642570658689</v>
      </c>
      <c r="AL238" s="23">
        <f t="shared" si="118"/>
        <v>-169903.63488826703</v>
      </c>
      <c r="AM238" s="23"/>
    </row>
    <row r="239" spans="1:39" x14ac:dyDescent="0.3">
      <c r="A239" s="13">
        <f t="shared" si="93"/>
        <v>234</v>
      </c>
      <c r="B239" s="1">
        <v>45315</v>
      </c>
      <c r="C239" s="7">
        <v>2023</v>
      </c>
      <c r="D239" s="7">
        <v>7</v>
      </c>
      <c r="E239" s="77">
        <v>17.21</v>
      </c>
      <c r="F239" s="2">
        <v>50.799880981445313</v>
      </c>
      <c r="G239" s="2">
        <v>38.468029022216797</v>
      </c>
      <c r="H239" s="2">
        <v>12.65114593505859</v>
      </c>
      <c r="I239" s="2">
        <v>216.1600036621094</v>
      </c>
      <c r="J239" s="2">
        <v>14.10999965667725</v>
      </c>
      <c r="K239" s="2">
        <v>338.00384521484381</v>
      </c>
      <c r="L239" s="2">
        <v>153.1600036621094</v>
      </c>
      <c r="M239" s="2">
        <v>219.9100036621094</v>
      </c>
      <c r="N239" s="12">
        <f t="shared" si="94"/>
        <v>-9.0366199765582467E-3</v>
      </c>
      <c r="O239" s="12">
        <f t="shared" si="95"/>
        <v>-1.3999918845018167E-2</v>
      </c>
      <c r="P239" s="12">
        <f t="shared" si="96"/>
        <v>-3.1770018001648248E-2</v>
      </c>
      <c r="Q239" s="12">
        <f t="shared" si="97"/>
        <v>-4.0142066645811103E-2</v>
      </c>
      <c r="R239" s="12">
        <f t="shared" si="98"/>
        <v>-1.3976293296629194E-2</v>
      </c>
      <c r="S239" s="12">
        <f t="shared" si="99"/>
        <v>-3.1428756073076936E-2</v>
      </c>
      <c r="T239" s="12">
        <f t="shared" si="100"/>
        <v>-1.4595638808465483E-2</v>
      </c>
      <c r="U239" s="12">
        <f t="shared" si="101"/>
        <v>-5.6666000897276358E-4</v>
      </c>
      <c r="V239" s="19">
        <f t="shared" si="102"/>
        <v>47.031850692140623</v>
      </c>
      <c r="W239" s="19">
        <f t="shared" si="103"/>
        <v>31.913304765979451</v>
      </c>
      <c r="X239" s="19">
        <f t="shared" si="104"/>
        <v>11.251892315739727</v>
      </c>
      <c r="Y239" s="19">
        <f t="shared" si="105"/>
        <v>254.74628965369385</v>
      </c>
      <c r="Z239" s="19">
        <f t="shared" si="106"/>
        <v>15.342529290056463</v>
      </c>
      <c r="AA239" s="19">
        <f t="shared" si="107"/>
        <v>471.89457251551272</v>
      </c>
      <c r="AB239" s="19">
        <f t="shared" si="108"/>
        <v>4500.9664346529944</v>
      </c>
      <c r="AC239" s="19">
        <f t="shared" si="109"/>
        <v>8403.0631921087297</v>
      </c>
      <c r="AD239" s="21">
        <f t="shared" si="110"/>
        <v>-8577.6925780859874</v>
      </c>
      <c r="AE239" s="21">
        <f t="shared" si="111"/>
        <v>-12914.131582915938</v>
      </c>
      <c r="AF239" s="21">
        <f t="shared" si="112"/>
        <v>-32785.172048591812</v>
      </c>
      <c r="AG239" s="21">
        <f t="shared" si="113"/>
        <v>-40484.076122603998</v>
      </c>
      <c r="AH239" s="21">
        <f t="shared" si="114"/>
        <v>-9720.9594913425517</v>
      </c>
      <c r="AI239" s="21">
        <f t="shared" si="115"/>
        <v>-53593.071513088289</v>
      </c>
      <c r="AJ239" s="21">
        <f t="shared" si="116"/>
        <v>-20000.260691900712</v>
      </c>
      <c r="AK239" s="21">
        <f t="shared" si="117"/>
        <v>-952.87592945060169</v>
      </c>
      <c r="AL239" s="23">
        <f t="shared" si="118"/>
        <v>-179028.23995797988</v>
      </c>
      <c r="AM239" s="23"/>
    </row>
    <row r="240" spans="1:39" x14ac:dyDescent="0.3">
      <c r="A240" s="13">
        <f t="shared" si="93"/>
        <v>235</v>
      </c>
      <c r="B240" s="1">
        <v>45314</v>
      </c>
      <c r="C240" s="7">
        <v>2023</v>
      </c>
      <c r="D240" s="7">
        <v>7</v>
      </c>
      <c r="E240" s="77">
        <v>17.3</v>
      </c>
      <c r="F240" s="2">
        <v>51.263126373291023</v>
      </c>
      <c r="G240" s="2">
        <v>39.014225006103523</v>
      </c>
      <c r="H240" s="2">
        <v>13.06626129150391</v>
      </c>
      <c r="I240" s="2">
        <v>225.19999694824219</v>
      </c>
      <c r="J240" s="2">
        <v>14.310000419616699</v>
      </c>
      <c r="K240" s="2">
        <v>348.97158813476563</v>
      </c>
      <c r="L240" s="2">
        <v>154.6199951171875</v>
      </c>
      <c r="M240" s="2">
        <v>218.88999938964841</v>
      </c>
      <c r="N240" s="12">
        <f t="shared" si="94"/>
        <v>2.8999669613627432E-3</v>
      </c>
      <c r="O240" s="12">
        <f t="shared" si="95"/>
        <v>-3.3583060578038948E-2</v>
      </c>
      <c r="P240" s="12">
        <f t="shared" si="96"/>
        <v>-2.2641905147513519E-3</v>
      </c>
      <c r="Q240" s="12">
        <f t="shared" si="97"/>
        <v>-2.2595797725155631E-3</v>
      </c>
      <c r="R240" s="12">
        <f t="shared" si="98"/>
        <v>-3.7012062568481441E-2</v>
      </c>
      <c r="S240" s="12">
        <f t="shared" si="99"/>
        <v>0</v>
      </c>
      <c r="T240" s="12">
        <f t="shared" si="100"/>
        <v>3.7014989880514992E-3</v>
      </c>
      <c r="U240" s="12">
        <f t="shared" si="101"/>
        <v>-2.9592807535155696E-2</v>
      </c>
      <c r="V240" s="19">
        <f t="shared" si="102"/>
        <v>47.598369885437933</v>
      </c>
      <c r="W240" s="19">
        <f t="shared" si="103"/>
        <v>31.279468337011622</v>
      </c>
      <c r="X240" s="19">
        <f t="shared" si="104"/>
        <v>11.594782331275233</v>
      </c>
      <c r="Y240" s="19">
        <f t="shared" si="105"/>
        <v>264.80030143865014</v>
      </c>
      <c r="Z240" s="19">
        <f t="shared" si="106"/>
        <v>14.984092710520249</v>
      </c>
      <c r="AA240" s="19">
        <f t="shared" si="107"/>
        <v>487.20687866210938</v>
      </c>
      <c r="AB240" s="19">
        <f t="shared" si="108"/>
        <v>4584.5410628114914</v>
      </c>
      <c r="AC240" s="19">
        <f t="shared" si="109"/>
        <v>8159.0163486362326</v>
      </c>
      <c r="AD240" s="21">
        <f t="shared" si="110"/>
        <v>2752.6912878602161</v>
      </c>
      <c r="AE240" s="21">
        <f t="shared" si="111"/>
        <v>-30978.46980849906</v>
      </c>
      <c r="AF240" s="21">
        <f t="shared" si="112"/>
        <v>-2336.5386690388873</v>
      </c>
      <c r="AG240" s="21">
        <f t="shared" si="113"/>
        <v>-2278.8313397701017</v>
      </c>
      <c r="AH240" s="21">
        <f t="shared" si="114"/>
        <v>-25743.074596611314</v>
      </c>
      <c r="AI240" s="21">
        <f t="shared" si="115"/>
        <v>0</v>
      </c>
      <c r="AJ240" s="21">
        <f t="shared" si="116"/>
        <v>5072.1277556483983</v>
      </c>
      <c r="AK240" s="21">
        <f t="shared" si="117"/>
        <v>-49762.244623950028</v>
      </c>
      <c r="AL240" s="23">
        <f t="shared" si="118"/>
        <v>-103274.33999436078</v>
      </c>
      <c r="AM240" s="23"/>
    </row>
    <row r="241" spans="1:39" x14ac:dyDescent="0.3">
      <c r="A241" s="13">
        <f t="shared" si="93"/>
        <v>236</v>
      </c>
      <c r="B241" s="1">
        <v>45313</v>
      </c>
      <c r="C241" s="7">
        <v>2023</v>
      </c>
      <c r="D241" s="7">
        <v>7</v>
      </c>
      <c r="E241" s="77">
        <v>17.173999999999999</v>
      </c>
      <c r="F241" s="2">
        <v>51.114894866943359</v>
      </c>
      <c r="G241" s="2">
        <v>40.369972229003913</v>
      </c>
      <c r="H241" s="2">
        <v>13.095912933349609</v>
      </c>
      <c r="I241" s="2">
        <v>225.71000671386719</v>
      </c>
      <c r="J241" s="2">
        <v>14.85999965667725</v>
      </c>
      <c r="K241" s="2">
        <v>348.97158813476563</v>
      </c>
      <c r="L241" s="2">
        <v>155.17999267578119</v>
      </c>
      <c r="M241" s="2">
        <v>227.2200012207031</v>
      </c>
      <c r="N241" s="12">
        <f t="shared" si="94"/>
        <v>2.5440199930253371E-3</v>
      </c>
      <c r="O241" s="12">
        <f t="shared" si="95"/>
        <v>1.7203288001355732E-2</v>
      </c>
      <c r="P241" s="12">
        <f t="shared" si="96"/>
        <v>-8.2335323935422977E-3</v>
      </c>
      <c r="Q241" s="12">
        <f t="shared" si="97"/>
        <v>-1.8652144722316577E-2</v>
      </c>
      <c r="R241" s="12">
        <f t="shared" si="98"/>
        <v>8.8255341806469101E-3</v>
      </c>
      <c r="S241" s="12">
        <f t="shared" si="99"/>
        <v>-7.0921733331712478E-3</v>
      </c>
      <c r="T241" s="12">
        <f t="shared" si="100"/>
        <v>1.5106389152581334E-2</v>
      </c>
      <c r="U241" s="12">
        <f t="shared" si="101"/>
        <v>-2.3265524666050585E-2</v>
      </c>
      <c r="V241" s="19">
        <f t="shared" si="102"/>
        <v>47.581476380585343</v>
      </c>
      <c r="W241" s="19">
        <f t="shared" si="103"/>
        <v>32.923241244481325</v>
      </c>
      <c r="X241" s="19">
        <f t="shared" si="104"/>
        <v>11.525412043983195</v>
      </c>
      <c r="Y241" s="19">
        <f t="shared" si="105"/>
        <v>260.44971480102521</v>
      </c>
      <c r="Z241" s="19">
        <f t="shared" si="106"/>
        <v>15.697325735170907</v>
      </c>
      <c r="AA241" s="19">
        <f t="shared" si="107"/>
        <v>483.75152302952438</v>
      </c>
      <c r="AB241" s="19">
        <f t="shared" si="108"/>
        <v>4636.6344265544549</v>
      </c>
      <c r="AC241" s="19">
        <f t="shared" si="109"/>
        <v>8212.2150519973929</v>
      </c>
      <c r="AD241" s="21">
        <f t="shared" si="110"/>
        <v>2414.8211908084249</v>
      </c>
      <c r="AE241" s="21">
        <f t="shared" si="111"/>
        <v>15869.05805438748</v>
      </c>
      <c r="AF241" s="21">
        <f t="shared" si="112"/>
        <v>-8496.6201805718902</v>
      </c>
      <c r="AG241" s="21">
        <f t="shared" si="113"/>
        <v>-18811.060562744831</v>
      </c>
      <c r="AH241" s="21">
        <f t="shared" si="114"/>
        <v>6138.4416052730685</v>
      </c>
      <c r="AI241" s="21">
        <f t="shared" si="115"/>
        <v>-12093.744714047489</v>
      </c>
      <c r="AJ241" s="21">
        <f t="shared" si="116"/>
        <v>20700.136878537432</v>
      </c>
      <c r="AK241" s="21">
        <f t="shared" si="117"/>
        <v>-39122.503951717954</v>
      </c>
      <c r="AL241" s="23">
        <f t="shared" si="118"/>
        <v>-33401.47168007576</v>
      </c>
      <c r="AM241" s="23"/>
    </row>
    <row r="242" spans="1:39" x14ac:dyDescent="0.3">
      <c r="A242" s="13">
        <f t="shared" si="93"/>
        <v>237</v>
      </c>
      <c r="B242" s="1">
        <v>45310</v>
      </c>
      <c r="C242" s="7">
        <v>2023</v>
      </c>
      <c r="D242" s="7">
        <v>7</v>
      </c>
      <c r="E242" s="77">
        <v>17.077999999999999</v>
      </c>
      <c r="F242" s="2">
        <v>50.985187530517578</v>
      </c>
      <c r="G242" s="2">
        <v>39.687221527099609</v>
      </c>
      <c r="H242" s="2">
        <v>13.204633712768549</v>
      </c>
      <c r="I242" s="2">
        <v>230</v>
      </c>
      <c r="J242" s="2">
        <v>14.72999954223633</v>
      </c>
      <c r="K242" s="2">
        <v>351.4642333984375</v>
      </c>
      <c r="L242" s="2">
        <v>153.72999572753909</v>
      </c>
      <c r="M242" s="2">
        <v>233.94000244140619</v>
      </c>
      <c r="N242" s="12">
        <f t="shared" si="94"/>
        <v>3.4646679250898149E-3</v>
      </c>
      <c r="O242" s="12">
        <f t="shared" si="95"/>
        <v>-5.377715411197137E-3</v>
      </c>
      <c r="P242" s="12">
        <f t="shared" si="96"/>
        <v>8.3018862428503315E-3</v>
      </c>
      <c r="Q242" s="12">
        <f t="shared" si="97"/>
        <v>3.2715376226826187E-3</v>
      </c>
      <c r="R242" s="12">
        <f t="shared" si="98"/>
        <v>-2.0325668143829079E-3</v>
      </c>
      <c r="S242" s="12">
        <f t="shared" si="99"/>
        <v>0</v>
      </c>
      <c r="T242" s="12">
        <f t="shared" si="100"/>
        <v>1.156316834557769E-2</v>
      </c>
      <c r="U242" s="12">
        <f t="shared" si="101"/>
        <v>-8.2899052234576276E-3</v>
      </c>
      <c r="V242" s="19">
        <f t="shared" si="102"/>
        <v>47.62517100841292</v>
      </c>
      <c r="W242" s="19">
        <f t="shared" si="103"/>
        <v>32.192374728748099</v>
      </c>
      <c r="X242" s="19">
        <f t="shared" si="104"/>
        <v>11.717571709921614</v>
      </c>
      <c r="Y242" s="19">
        <f t="shared" si="105"/>
        <v>266.26825996157646</v>
      </c>
      <c r="Z242" s="19">
        <f t="shared" si="106"/>
        <v>15.528373679132002</v>
      </c>
      <c r="AA242" s="19">
        <f t="shared" si="107"/>
        <v>487.20687866210938</v>
      </c>
      <c r="AB242" s="19">
        <f t="shared" si="108"/>
        <v>4620.4502908321365</v>
      </c>
      <c r="AC242" s="19">
        <f t="shared" si="109"/>
        <v>8338.127478050952</v>
      </c>
      <c r="AD242" s="21">
        <f t="shared" si="110"/>
        <v>3288.7137473599637</v>
      </c>
      <c r="AE242" s="21">
        <f t="shared" si="111"/>
        <v>-4960.6376440094518</v>
      </c>
      <c r="AF242" s="21">
        <f t="shared" si="112"/>
        <v>8567.1581547597416</v>
      </c>
      <c r="AG242" s="21">
        <f t="shared" si="113"/>
        <v>3299.411047349929</v>
      </c>
      <c r="AH242" s="21">
        <f t="shared" si="114"/>
        <v>-1413.7152996659481</v>
      </c>
      <c r="AI242" s="21">
        <f t="shared" si="115"/>
        <v>0</v>
      </c>
      <c r="AJ242" s="21">
        <f t="shared" si="116"/>
        <v>15844.896161841916</v>
      </c>
      <c r="AK242" s="21">
        <f t="shared" si="117"/>
        <v>-13940.018741006133</v>
      </c>
      <c r="AL242" s="23">
        <f t="shared" si="118"/>
        <v>10685.807426630017</v>
      </c>
      <c r="AM242" s="23"/>
    </row>
    <row r="243" spans="1:39" x14ac:dyDescent="0.3">
      <c r="A243" s="13">
        <f t="shared" si="93"/>
        <v>238</v>
      </c>
      <c r="B243" s="1">
        <v>45309</v>
      </c>
      <c r="C243" s="7">
        <v>2023</v>
      </c>
      <c r="D243" s="7">
        <v>7</v>
      </c>
      <c r="E243" s="77">
        <v>17.146000000000001</v>
      </c>
      <c r="F243" s="2">
        <v>50.809150695800781</v>
      </c>
      <c r="G243" s="2">
        <v>39.901802062988281</v>
      </c>
      <c r="H243" s="2">
        <v>13.095912933349609</v>
      </c>
      <c r="I243" s="2">
        <v>229.25</v>
      </c>
      <c r="J243" s="2">
        <v>14.760000228881839</v>
      </c>
      <c r="K243" s="2">
        <v>351.4642333984375</v>
      </c>
      <c r="L243" s="2">
        <v>151.3699951171875</v>
      </c>
      <c r="M243" s="2">
        <v>234.96000671386719</v>
      </c>
      <c r="N243" s="12">
        <f t="shared" si="94"/>
        <v>-1.8611315065939715E-2</v>
      </c>
      <c r="O243" s="12">
        <f t="shared" si="95"/>
        <v>-1.5166040271919368E-2</v>
      </c>
      <c r="P243" s="12">
        <f t="shared" si="96"/>
        <v>1.4548197034860877E-2</v>
      </c>
      <c r="Q243" s="12">
        <f t="shared" si="97"/>
        <v>-2.5214698785862577E-2</v>
      </c>
      <c r="R243" s="12">
        <f t="shared" si="98"/>
        <v>-3.9687681276456388E-2</v>
      </c>
      <c r="S243" s="12">
        <f t="shared" si="99"/>
        <v>0</v>
      </c>
      <c r="T243" s="12">
        <f t="shared" si="100"/>
        <v>1.2390433499040343E-2</v>
      </c>
      <c r="U243" s="12">
        <f t="shared" si="101"/>
        <v>-2.5560080972719446E-2</v>
      </c>
      <c r="V243" s="19">
        <f t="shared" si="102"/>
        <v>46.577428622723779</v>
      </c>
      <c r="W243" s="19">
        <f t="shared" si="103"/>
        <v>31.875561575890416</v>
      </c>
      <c r="X243" s="19">
        <f t="shared" si="104"/>
        <v>11.790160679184153</v>
      </c>
      <c r="Y243" s="19">
        <f t="shared" si="105"/>
        <v>258.70801299261478</v>
      </c>
      <c r="Z243" s="19">
        <f t="shared" si="106"/>
        <v>14.942460082301425</v>
      </c>
      <c r="AA243" s="19">
        <f t="shared" si="107"/>
        <v>487.20687866210938</v>
      </c>
      <c r="AB243" s="19">
        <f t="shared" si="108"/>
        <v>4624.2289352495327</v>
      </c>
      <c r="AC243" s="19">
        <f t="shared" si="109"/>
        <v>8192.9228182172374</v>
      </c>
      <c r="AD243" s="21">
        <f t="shared" si="110"/>
        <v>-17666.133966422847</v>
      </c>
      <c r="AE243" s="21">
        <f t="shared" si="111"/>
        <v>-13989.812500453436</v>
      </c>
      <c r="AF243" s="21">
        <f t="shared" si="112"/>
        <v>15013.058625273145</v>
      </c>
      <c r="AG243" s="21">
        <f t="shared" si="113"/>
        <v>-25429.527434704447</v>
      </c>
      <c r="AH243" s="21">
        <f t="shared" si="114"/>
        <v>-27604.053077992765</v>
      </c>
      <c r="AI243" s="21">
        <f t="shared" si="115"/>
        <v>0</v>
      </c>
      <c r="AJ243" s="21">
        <f t="shared" si="116"/>
        <v>16978.489487060779</v>
      </c>
      <c r="AK243" s="21">
        <f t="shared" si="117"/>
        <v>-42980.950707749071</v>
      </c>
      <c r="AL243" s="23">
        <f t="shared" si="118"/>
        <v>-95678.929574988637</v>
      </c>
      <c r="AM243" s="23"/>
    </row>
    <row r="244" spans="1:39" x14ac:dyDescent="0.3">
      <c r="A244" s="13">
        <f t="shared" si="93"/>
        <v>239</v>
      </c>
      <c r="B244" s="1">
        <v>45308</v>
      </c>
      <c r="C244" s="7">
        <v>2023</v>
      </c>
      <c r="D244" s="7">
        <v>7</v>
      </c>
      <c r="E244" s="77">
        <v>17.193999999999999</v>
      </c>
      <c r="F244" s="2">
        <v>51.772708892822273</v>
      </c>
      <c r="G244" s="2">
        <v>40.516273498535163</v>
      </c>
      <c r="H244" s="2">
        <v>12.90812301635742</v>
      </c>
      <c r="I244" s="2">
        <v>235.17999267578119</v>
      </c>
      <c r="J244" s="2">
        <v>15.36999988555908</v>
      </c>
      <c r="K244" s="2">
        <v>351.4642333984375</v>
      </c>
      <c r="L244" s="2">
        <v>149.1000061035156</v>
      </c>
      <c r="M244" s="2">
        <v>240.44999694824219</v>
      </c>
      <c r="N244" s="12">
        <f t="shared" si="94"/>
        <v>-8.9391615812883796E-4</v>
      </c>
      <c r="O244" s="12">
        <f t="shared" si="95"/>
        <v>-2.1206384945166801E-2</v>
      </c>
      <c r="P244" s="12">
        <f t="shared" si="96"/>
        <v>3.843264808213398E-3</v>
      </c>
      <c r="Q244" s="12">
        <f t="shared" si="97"/>
        <v>2.3278035078549975E-2</v>
      </c>
      <c r="R244" s="12">
        <f t="shared" si="98"/>
        <v>3.0160844970780198E-2</v>
      </c>
      <c r="S244" s="12">
        <f t="shared" si="99"/>
        <v>0</v>
      </c>
      <c r="T244" s="12">
        <f t="shared" si="100"/>
        <v>2.6099281808157349E-2</v>
      </c>
      <c r="U244" s="12">
        <f t="shared" si="101"/>
        <v>1.1992787840040986E-2</v>
      </c>
      <c r="V244" s="19">
        <f t="shared" si="102"/>
        <v>47.418309402864764</v>
      </c>
      <c r="W244" s="19">
        <f t="shared" si="103"/>
        <v>31.680057169619879</v>
      </c>
      <c r="X244" s="19">
        <f t="shared" si="104"/>
        <v>11.665757647981867</v>
      </c>
      <c r="Y244" s="19">
        <f t="shared" si="105"/>
        <v>271.5779842642537</v>
      </c>
      <c r="Z244" s="19">
        <f t="shared" si="106"/>
        <v>16.029303180018033</v>
      </c>
      <c r="AA244" s="19">
        <f t="shared" si="107"/>
        <v>487.20687866210938</v>
      </c>
      <c r="AB244" s="19">
        <f t="shared" si="108"/>
        <v>4686.8459364798446</v>
      </c>
      <c r="AC244" s="19">
        <f t="shared" si="109"/>
        <v>8508.6608640196991</v>
      </c>
      <c r="AD244" s="21">
        <f t="shared" si="110"/>
        <v>-848.51836360314792</v>
      </c>
      <c r="AE244" s="21">
        <f t="shared" si="111"/>
        <v>-19561.688079163738</v>
      </c>
      <c r="AF244" s="21">
        <f t="shared" si="112"/>
        <v>3966.0694545101364</v>
      </c>
      <c r="AG244" s="21">
        <f t="shared" si="113"/>
        <v>23476.363397523437</v>
      </c>
      <c r="AH244" s="21">
        <f t="shared" si="114"/>
        <v>20977.83338993962</v>
      </c>
      <c r="AI244" s="21">
        <f t="shared" si="115"/>
        <v>0</v>
      </c>
      <c r="AJ244" s="21">
        <f t="shared" si="116"/>
        <v>35763.589856154344</v>
      </c>
      <c r="AK244" s="21">
        <f t="shared" si="117"/>
        <v>20166.658452743286</v>
      </c>
      <c r="AL244" s="23">
        <f t="shared" si="118"/>
        <v>83940.308108103942</v>
      </c>
      <c r="AM244" s="23"/>
    </row>
    <row r="245" spans="1:39" x14ac:dyDescent="0.3">
      <c r="A245" s="13">
        <f t="shared" si="93"/>
        <v>240</v>
      </c>
      <c r="B245" s="1">
        <v>45307</v>
      </c>
      <c r="C245" s="7">
        <v>2023</v>
      </c>
      <c r="D245" s="7">
        <v>7</v>
      </c>
      <c r="E245" s="77">
        <v>17.202000000000002</v>
      </c>
      <c r="F245" s="2">
        <v>51.81903076171875</v>
      </c>
      <c r="G245" s="2">
        <v>41.394092559814453</v>
      </c>
      <c r="H245" s="2">
        <v>12.85870361328125</v>
      </c>
      <c r="I245" s="2">
        <v>229.83000183105469</v>
      </c>
      <c r="J245" s="2">
        <v>14.920000076293951</v>
      </c>
      <c r="K245" s="2">
        <v>351.4642333984375</v>
      </c>
      <c r="L245" s="2">
        <v>145.24000549316409</v>
      </c>
      <c r="M245" s="2">
        <v>237.49000549316409</v>
      </c>
      <c r="N245" s="12">
        <f t="shared" si="94"/>
        <v>1.4695175337197774E-2</v>
      </c>
      <c r="O245" s="12">
        <f t="shared" si="95"/>
        <v>3.3106161070570517E-2</v>
      </c>
      <c r="P245" s="12">
        <f t="shared" si="96"/>
        <v>2.7646156873689876E-2</v>
      </c>
      <c r="Q245" s="12">
        <f t="shared" si="97"/>
        <v>5.7765846394053355E-3</v>
      </c>
      <c r="R245" s="12">
        <f t="shared" si="98"/>
        <v>9.4722832105638144E-3</v>
      </c>
      <c r="S245" s="12">
        <f t="shared" si="99"/>
        <v>-7.0421430159076648E-3</v>
      </c>
      <c r="T245" s="12">
        <f t="shared" si="100"/>
        <v>2.3980642121002704E-2</v>
      </c>
      <c r="U245" s="12">
        <f t="shared" si="101"/>
        <v>1.7372136790091419E-2</v>
      </c>
      <c r="V245" s="19">
        <f t="shared" si="102"/>
        <v>48.158179148220015</v>
      </c>
      <c r="W245" s="19">
        <f t="shared" si="103"/>
        <v>33.437960507301312</v>
      </c>
      <c r="X245" s="19">
        <f t="shared" si="104"/>
        <v>11.942373310896107</v>
      </c>
      <c r="Y245" s="19">
        <f t="shared" si="105"/>
        <v>266.9330994245251</v>
      </c>
      <c r="Z245" s="19">
        <f t="shared" si="106"/>
        <v>15.707389150347801</v>
      </c>
      <c r="AA245" s="19">
        <f t="shared" si="107"/>
        <v>483.77589814423681</v>
      </c>
      <c r="AB245" s="19">
        <f t="shared" si="108"/>
        <v>4677.1687658739866</v>
      </c>
      <c r="AC245" s="19">
        <f t="shared" si="109"/>
        <v>8553.8895024400299</v>
      </c>
      <c r="AD245" s="21">
        <f t="shared" si="110"/>
        <v>13948.876543501854</v>
      </c>
      <c r="AE245" s="21">
        <f t="shared" si="111"/>
        <v>30538.557044757123</v>
      </c>
      <c r="AF245" s="21">
        <f t="shared" si="112"/>
        <v>28529.540321294688</v>
      </c>
      <c r="AG245" s="21">
        <f t="shared" si="113"/>
        <v>5825.8010065547405</v>
      </c>
      <c r="AH245" s="21">
        <f t="shared" si="114"/>
        <v>6588.2762636802463</v>
      </c>
      <c r="AI245" s="21">
        <f t="shared" si="115"/>
        <v>-12008.431812553994</v>
      </c>
      <c r="AJ245" s="21">
        <f t="shared" si="116"/>
        <v>32860.438674396937</v>
      </c>
      <c r="AK245" s="21">
        <f t="shared" si="117"/>
        <v>29212.386136809437</v>
      </c>
      <c r="AL245" s="23">
        <f t="shared" si="118"/>
        <v>135495.44417844104</v>
      </c>
      <c r="AM245" s="23"/>
    </row>
    <row r="246" spans="1:39" x14ac:dyDescent="0.3">
      <c r="A246" s="13">
        <f t="shared" si="93"/>
        <v>241</v>
      </c>
      <c r="B246" s="1">
        <v>45306</v>
      </c>
      <c r="C246" s="7">
        <v>2023</v>
      </c>
      <c r="D246" s="7">
        <v>7</v>
      </c>
      <c r="E246" s="77">
        <v>16.876999999999999</v>
      </c>
      <c r="F246" s="2">
        <v>51.068569183349609</v>
      </c>
      <c r="G246" s="2">
        <v>40.067607879638672</v>
      </c>
      <c r="H246" s="2">
        <v>12.512773513793951</v>
      </c>
      <c r="I246" s="2">
        <v>228.50999450683591</v>
      </c>
      <c r="J246" s="2">
        <v>14.77999973297119</v>
      </c>
      <c r="K246" s="2">
        <v>353.95684814453119</v>
      </c>
      <c r="L246" s="2">
        <v>144.57000732421881</v>
      </c>
      <c r="M246" s="2">
        <v>237.92999267578119</v>
      </c>
      <c r="N246" s="12">
        <f t="shared" si="94"/>
        <v>-5.9512304726642151E-3</v>
      </c>
      <c r="O246" s="12">
        <f t="shared" si="95"/>
        <v>-1.0597415124456333E-2</v>
      </c>
      <c r="P246" s="12">
        <f t="shared" si="96"/>
        <v>0</v>
      </c>
      <c r="Q246" s="12">
        <f t="shared" si="97"/>
        <v>-3.4804669453702641E-2</v>
      </c>
      <c r="R246" s="12">
        <f t="shared" si="98"/>
        <v>-2.3132873682906951E-2</v>
      </c>
      <c r="S246" s="12">
        <f t="shared" si="99"/>
        <v>0</v>
      </c>
      <c r="T246" s="12">
        <f t="shared" si="100"/>
        <v>-2.5343882709822019E-2</v>
      </c>
      <c r="U246" s="12">
        <f t="shared" si="101"/>
        <v>-1.2339026225283156E-3</v>
      </c>
      <c r="V246" s="19">
        <f t="shared" si="102"/>
        <v>47.178285546747269</v>
      </c>
      <c r="W246" s="19">
        <f t="shared" si="103"/>
        <v>32.023431671927035</v>
      </c>
      <c r="X246" s="19">
        <f t="shared" si="104"/>
        <v>11.62109470367432</v>
      </c>
      <c r="Y246" s="19">
        <f t="shared" si="105"/>
        <v>256.16283483590252</v>
      </c>
      <c r="Z246" s="19">
        <f t="shared" si="106"/>
        <v>15.200052895403728</v>
      </c>
      <c r="AA246" s="19">
        <f t="shared" si="107"/>
        <v>487.20687866210938</v>
      </c>
      <c r="AB246" s="19">
        <f t="shared" si="108"/>
        <v>4451.8723906881678</v>
      </c>
      <c r="AC246" s="19">
        <f t="shared" si="109"/>
        <v>8397.4531312654271</v>
      </c>
      <c r="AD246" s="21">
        <f t="shared" si="110"/>
        <v>-5648.9954859530653</v>
      </c>
      <c r="AE246" s="21">
        <f t="shared" si="111"/>
        <v>-9775.5147634097739</v>
      </c>
      <c r="AF246" s="21">
        <f t="shared" si="112"/>
        <v>0</v>
      </c>
      <c r="AG246" s="21">
        <f t="shared" si="113"/>
        <v>-35101.204430211066</v>
      </c>
      <c r="AH246" s="21">
        <f t="shared" si="114"/>
        <v>-16089.654332319835</v>
      </c>
      <c r="AI246" s="21">
        <f t="shared" si="115"/>
        <v>0</v>
      </c>
      <c r="AJ246" s="21">
        <f t="shared" si="116"/>
        <v>-34728.473881348691</v>
      </c>
      <c r="AK246" s="21">
        <f t="shared" si="117"/>
        <v>-2074.8880981111142</v>
      </c>
      <c r="AL246" s="23">
        <f t="shared" si="118"/>
        <v>-103418.73099135356</v>
      </c>
      <c r="AM246" s="23"/>
    </row>
    <row r="247" spans="1:39" x14ac:dyDescent="0.3">
      <c r="A247" s="13">
        <f t="shared" si="93"/>
        <v>242</v>
      </c>
      <c r="B247" s="1">
        <v>45303</v>
      </c>
      <c r="C247" s="7">
        <v>2023</v>
      </c>
      <c r="D247" s="7">
        <v>7</v>
      </c>
      <c r="E247" s="77">
        <v>16.861000000000001</v>
      </c>
      <c r="F247" s="2">
        <v>51.374309539794922</v>
      </c>
      <c r="G247" s="2">
        <v>40.496768951416023</v>
      </c>
      <c r="H247" s="2">
        <v>12.512773513793951</v>
      </c>
      <c r="I247" s="2">
        <v>236.75</v>
      </c>
      <c r="J247" s="2">
        <v>15.13000011444092</v>
      </c>
      <c r="K247" s="2">
        <v>353.95684814453119</v>
      </c>
      <c r="L247" s="2">
        <v>148.4700012207031</v>
      </c>
      <c r="M247" s="2">
        <v>238.44999694824219</v>
      </c>
      <c r="N247" s="12">
        <f t="shared" si="94"/>
        <v>-2.1873269617490143E-2</v>
      </c>
      <c r="O247" s="12">
        <f t="shared" si="95"/>
        <v>-3.7105678526718533E-2</v>
      </c>
      <c r="P247" s="12">
        <f t="shared" si="96"/>
        <v>-2.6902408663498689E-2</v>
      </c>
      <c r="Q247" s="12">
        <f t="shared" si="97"/>
        <v>-4.6746660419631603E-2</v>
      </c>
      <c r="R247" s="12">
        <f t="shared" si="98"/>
        <v>-1.433226459683945E-2</v>
      </c>
      <c r="S247" s="12">
        <f t="shared" si="99"/>
        <v>0</v>
      </c>
      <c r="T247" s="12">
        <f t="shared" si="100"/>
        <v>-1.2607297608835055E-2</v>
      </c>
      <c r="U247" s="12">
        <f t="shared" si="101"/>
        <v>-4.2915048492954022E-2</v>
      </c>
      <c r="V247" s="19">
        <f t="shared" si="102"/>
        <v>46.422613861123367</v>
      </c>
      <c r="W247" s="19">
        <f t="shared" si="103"/>
        <v>31.165453762044613</v>
      </c>
      <c r="X247" s="19">
        <f t="shared" si="104"/>
        <v>11.308459264838854</v>
      </c>
      <c r="Y247" s="19">
        <f t="shared" si="105"/>
        <v>252.99343050643313</v>
      </c>
      <c r="Z247" s="19">
        <f t="shared" si="106"/>
        <v>15.33699037647582</v>
      </c>
      <c r="AA247" s="19">
        <f t="shared" si="107"/>
        <v>487.20687866210938</v>
      </c>
      <c r="AB247" s="19">
        <f t="shared" si="108"/>
        <v>4510.0484494609591</v>
      </c>
      <c r="AC247" s="19">
        <f t="shared" si="109"/>
        <v>8047.0052437936793</v>
      </c>
      <c r="AD247" s="21">
        <f t="shared" si="110"/>
        <v>-20762.429198431106</v>
      </c>
      <c r="AE247" s="21">
        <f t="shared" si="111"/>
        <v>-34227.8851950588</v>
      </c>
      <c r="AF247" s="21">
        <f t="shared" si="112"/>
        <v>-27762.026968589376</v>
      </c>
      <c r="AG247" s="21">
        <f t="shared" si="113"/>
        <v>-47144.940882194736</v>
      </c>
      <c r="AH247" s="21">
        <f t="shared" si="114"/>
        <v>-9968.548928397322</v>
      </c>
      <c r="AI247" s="21">
        <f t="shared" si="115"/>
        <v>0</v>
      </c>
      <c r="AJ247" s="21">
        <f t="shared" si="116"/>
        <v>-17275.656249511303</v>
      </c>
      <c r="AK247" s="21">
        <f t="shared" si="117"/>
        <v>-72164.465592460692</v>
      </c>
      <c r="AL247" s="23">
        <f t="shared" si="118"/>
        <v>-229305.95301464334</v>
      </c>
      <c r="AM247" s="23"/>
    </row>
    <row r="248" spans="1:39" x14ac:dyDescent="0.3">
      <c r="A248" s="13">
        <f t="shared" si="93"/>
        <v>243</v>
      </c>
      <c r="B248" s="1">
        <v>45302</v>
      </c>
      <c r="C248" s="7">
        <v>2023</v>
      </c>
      <c r="D248" s="7">
        <v>7</v>
      </c>
      <c r="E248" s="77">
        <v>16.91</v>
      </c>
      <c r="F248" s="2">
        <v>52.523162841796882</v>
      </c>
      <c r="G248" s="2">
        <v>42.057334899902337</v>
      </c>
      <c r="H248" s="2">
        <v>12.85870361328125</v>
      </c>
      <c r="I248" s="2">
        <v>248.36000061035159</v>
      </c>
      <c r="J248" s="2">
        <v>15.35000038146973</v>
      </c>
      <c r="K248" s="2">
        <v>353.95684814453119</v>
      </c>
      <c r="L248" s="2">
        <v>149.92999267578119</v>
      </c>
      <c r="M248" s="2">
        <v>248.41999816894531</v>
      </c>
      <c r="N248" s="12">
        <f t="shared" si="94"/>
        <v>-7.5280386769501773E-3</v>
      </c>
      <c r="O248" s="12">
        <f t="shared" si="95"/>
        <v>-1.5525125898042336E-2</v>
      </c>
      <c r="P248" s="12">
        <f t="shared" si="96"/>
        <v>-1.5140090594973787E-2</v>
      </c>
      <c r="Q248" s="12">
        <f t="shared" si="97"/>
        <v>2.6240114604463294E-3</v>
      </c>
      <c r="R248" s="12">
        <f t="shared" si="98"/>
        <v>-4.0624976158141868E-2</v>
      </c>
      <c r="S248" s="12">
        <f t="shared" si="99"/>
        <v>4.2273480002719133E-4</v>
      </c>
      <c r="T248" s="12">
        <f t="shared" si="100"/>
        <v>-1.555763340465155E-2</v>
      </c>
      <c r="U248" s="12">
        <f t="shared" si="101"/>
        <v>-2.6007704977863977E-3</v>
      </c>
      <c r="V248" s="19">
        <f t="shared" si="102"/>
        <v>47.103449069911598</v>
      </c>
      <c r="W248" s="19">
        <f t="shared" si="103"/>
        <v>31.863939255322123</v>
      </c>
      <c r="X248" s="19">
        <f t="shared" si="104"/>
        <v>11.445150277047921</v>
      </c>
      <c r="Y248" s="19">
        <f t="shared" si="105"/>
        <v>266.09640652207116</v>
      </c>
      <c r="Z248" s="19">
        <f t="shared" si="106"/>
        <v>14.927875773549093</v>
      </c>
      <c r="AA248" s="19">
        <f t="shared" si="107"/>
        <v>487.41283796453246</v>
      </c>
      <c r="AB248" s="19">
        <f t="shared" si="108"/>
        <v>4496.5723954562172</v>
      </c>
      <c r="AC248" s="19">
        <f t="shared" si="109"/>
        <v>8385.9607418568849</v>
      </c>
      <c r="AD248" s="21">
        <f t="shared" si="110"/>
        <v>-7145.7250226664828</v>
      </c>
      <c r="AE248" s="21">
        <f t="shared" si="111"/>
        <v>-14321.048636649781</v>
      </c>
      <c r="AF248" s="21">
        <f t="shared" si="112"/>
        <v>-15623.865084424269</v>
      </c>
      <c r="AG248" s="21">
        <f t="shared" si="113"/>
        <v>2646.3679772297951</v>
      </c>
      <c r="AH248" s="21">
        <f t="shared" si="114"/>
        <v>-28255.971679221977</v>
      </c>
      <c r="AI248" s="21">
        <f t="shared" si="115"/>
        <v>720.85755848078747</v>
      </c>
      <c r="AJ248" s="21">
        <f t="shared" si="116"/>
        <v>-21318.472450933859</v>
      </c>
      <c r="AK248" s="21">
        <f t="shared" si="117"/>
        <v>-4373.3659798195731</v>
      </c>
      <c r="AL248" s="23">
        <f t="shared" si="118"/>
        <v>-87671.223318005359</v>
      </c>
      <c r="AM248" s="23"/>
    </row>
    <row r="249" spans="1:39" x14ac:dyDescent="0.3">
      <c r="A249" s="13">
        <f t="shared" si="93"/>
        <v>244</v>
      </c>
      <c r="B249" s="1">
        <v>45301</v>
      </c>
      <c r="C249" s="7">
        <v>2023</v>
      </c>
      <c r="D249" s="7">
        <v>7</v>
      </c>
      <c r="E249" s="77">
        <v>16.95</v>
      </c>
      <c r="F249" s="2">
        <v>52.921558380126953</v>
      </c>
      <c r="G249" s="2">
        <v>42.720577239990227</v>
      </c>
      <c r="H249" s="2">
        <v>13.05637836456299</v>
      </c>
      <c r="I249" s="2">
        <v>247.71000671386719</v>
      </c>
      <c r="J249" s="2">
        <v>16</v>
      </c>
      <c r="K249" s="2">
        <v>353.80728149414063</v>
      </c>
      <c r="L249" s="2">
        <v>151.94000244140619</v>
      </c>
      <c r="M249" s="2">
        <v>248.47999572753909</v>
      </c>
      <c r="N249" s="12">
        <f t="shared" si="94"/>
        <v>-1.3986683462299254E-3</v>
      </c>
      <c r="O249" s="12">
        <f t="shared" si="95"/>
        <v>1.624134162325741E-2</v>
      </c>
      <c r="P249" s="12">
        <f t="shared" si="96"/>
        <v>-1.6381163978466562E-2</v>
      </c>
      <c r="Q249" s="12">
        <f t="shared" si="97"/>
        <v>-1.2950270613060311E-2</v>
      </c>
      <c r="R249" s="12">
        <f t="shared" si="98"/>
        <v>-9.900980750178201E-3</v>
      </c>
      <c r="S249" s="12">
        <f t="shared" si="99"/>
        <v>8.5226640073265969E-3</v>
      </c>
      <c r="T249" s="12">
        <f t="shared" si="100"/>
        <v>-1.0030920422639422E-2</v>
      </c>
      <c r="U249" s="12">
        <f t="shared" si="101"/>
        <v>-1.9200363226308803E-2</v>
      </c>
      <c r="V249" s="19">
        <f t="shared" si="102"/>
        <v>47.394353492862578</v>
      </c>
      <c r="W249" s="19">
        <f t="shared" si="103"/>
        <v>32.892106472264246</v>
      </c>
      <c r="X249" s="19">
        <f t="shared" si="104"/>
        <v>11.430727645724142</v>
      </c>
      <c r="Y249" s="19">
        <f t="shared" si="105"/>
        <v>261.96299215482037</v>
      </c>
      <c r="Z249" s="19">
        <f t="shared" si="106"/>
        <v>15.405941154989309</v>
      </c>
      <c r="AA249" s="19">
        <f t="shared" si="107"/>
        <v>491.3591791910049</v>
      </c>
      <c r="AB249" s="19">
        <f t="shared" si="108"/>
        <v>4521.8163974169129</v>
      </c>
      <c r="AC249" s="19">
        <f t="shared" si="109"/>
        <v>8246.3942284340937</v>
      </c>
      <c r="AD249" s="21">
        <f t="shared" si="110"/>
        <v>-1327.6365636468768</v>
      </c>
      <c r="AE249" s="21">
        <f t="shared" si="111"/>
        <v>14981.717046200718</v>
      </c>
      <c r="AF249" s="21">
        <f t="shared" si="112"/>
        <v>-16904.594745975821</v>
      </c>
      <c r="AG249" s="21">
        <f t="shared" si="113"/>
        <v>-13060.60661832322</v>
      </c>
      <c r="AH249" s="21">
        <f t="shared" si="114"/>
        <v>-6886.4491288443505</v>
      </c>
      <c r="AI249" s="21">
        <f t="shared" si="115"/>
        <v>14533.051851134331</v>
      </c>
      <c r="AJ249" s="21">
        <f t="shared" si="116"/>
        <v>-13745.271862725167</v>
      </c>
      <c r="AK249" s="21">
        <f t="shared" si="117"/>
        <v>-32286.668664377794</v>
      </c>
      <c r="AL249" s="23">
        <f t="shared" si="118"/>
        <v>-54696.45868655818</v>
      </c>
      <c r="AM249" s="23"/>
    </row>
    <row r="250" spans="1:39" x14ac:dyDescent="0.3">
      <c r="A250" s="13">
        <f t="shared" si="93"/>
        <v>245</v>
      </c>
      <c r="B250" s="1">
        <v>45300</v>
      </c>
      <c r="C250" s="7">
        <v>2023</v>
      </c>
      <c r="D250" s="7">
        <v>7</v>
      </c>
      <c r="E250" s="77">
        <v>16.960999999999999</v>
      </c>
      <c r="F250" s="2">
        <v>52.995681762695313</v>
      </c>
      <c r="G250" s="2">
        <v>42.037826538085938</v>
      </c>
      <c r="H250" s="2">
        <v>13.273818969726561</v>
      </c>
      <c r="I250" s="2">
        <v>250.96000671386719</v>
      </c>
      <c r="J250" s="2">
        <v>16.159999847412109</v>
      </c>
      <c r="K250" s="2">
        <v>350.8173828125</v>
      </c>
      <c r="L250" s="2">
        <v>153.3800048828125</v>
      </c>
      <c r="M250" s="2">
        <v>253.17999267578119</v>
      </c>
      <c r="N250" s="12">
        <f t="shared" si="94"/>
        <v>-2.4416752402468545E-3</v>
      </c>
      <c r="O250" s="12">
        <f t="shared" si="95"/>
        <v>5.8342226445968759E-3</v>
      </c>
      <c r="P250" s="12">
        <f t="shared" si="96"/>
        <v>-2.327278305483893E-2</v>
      </c>
      <c r="Q250" s="12">
        <f t="shared" si="97"/>
        <v>-1.1929598463583879E-2</v>
      </c>
      <c r="R250" s="12">
        <f t="shared" si="98"/>
        <v>-5.5384709284855838E-3</v>
      </c>
      <c r="S250" s="12">
        <f t="shared" si="99"/>
        <v>-2.1406902770158887E-2</v>
      </c>
      <c r="T250" s="12">
        <f t="shared" si="100"/>
        <v>8.8259119695968113E-3</v>
      </c>
      <c r="U250" s="12">
        <f t="shared" si="101"/>
        <v>-2.3302054830443675E-2</v>
      </c>
      <c r="V250" s="19">
        <f t="shared" si="102"/>
        <v>47.344851618727617</v>
      </c>
      <c r="W250" s="19">
        <f t="shared" si="103"/>
        <v>32.555265161548782</v>
      </c>
      <c r="X250" s="19">
        <f t="shared" si="104"/>
        <v>11.35063948777597</v>
      </c>
      <c r="Y250" s="19">
        <f t="shared" si="105"/>
        <v>262.23387853706168</v>
      </c>
      <c r="Z250" s="19">
        <f t="shared" si="106"/>
        <v>15.473821809645429</v>
      </c>
      <c r="AA250" s="19">
        <f t="shared" si="107"/>
        <v>476.77728838163699</v>
      </c>
      <c r="AB250" s="19">
        <f t="shared" si="108"/>
        <v>4607.9475056238061</v>
      </c>
      <c r="AC250" s="19">
        <f t="shared" si="109"/>
        <v>8211.9079126740089</v>
      </c>
      <c r="AD250" s="21">
        <f t="shared" si="110"/>
        <v>-2317.6740463460987</v>
      </c>
      <c r="AE250" s="21">
        <f t="shared" si="111"/>
        <v>5381.7396908100009</v>
      </c>
      <c r="AF250" s="21">
        <f t="shared" si="112"/>
        <v>-24016.423171773476</v>
      </c>
      <c r="AG250" s="21">
        <f t="shared" si="113"/>
        <v>-12031.238365806223</v>
      </c>
      <c r="AH250" s="21">
        <f t="shared" si="114"/>
        <v>-3852.18386571578</v>
      </c>
      <c r="AI250" s="21">
        <f t="shared" si="115"/>
        <v>-36503.565981653337</v>
      </c>
      <c r="AJ250" s="21">
        <f t="shared" si="116"/>
        <v>12094.060599342811</v>
      </c>
      <c r="AK250" s="21">
        <f t="shared" si="117"/>
        <v>-39183.931816394761</v>
      </c>
      <c r="AL250" s="23">
        <f t="shared" si="118"/>
        <v>-100429.21695753688</v>
      </c>
      <c r="AM250" s="23"/>
    </row>
    <row r="251" spans="1:39" x14ac:dyDescent="0.3">
      <c r="A251" s="13">
        <f t="shared" si="93"/>
        <v>246</v>
      </c>
      <c r="B251" s="1">
        <v>45299</v>
      </c>
      <c r="C251" s="7">
        <v>2023</v>
      </c>
      <c r="D251" s="7">
        <v>7</v>
      </c>
      <c r="E251" s="77">
        <v>16.817</v>
      </c>
      <c r="F251" s="2">
        <v>53.125396728515618</v>
      </c>
      <c r="G251" s="2">
        <v>41.793991088867188</v>
      </c>
      <c r="H251" s="2">
        <v>13.59009838104248</v>
      </c>
      <c r="I251" s="2">
        <v>253.99000549316409</v>
      </c>
      <c r="J251" s="2">
        <v>16.25</v>
      </c>
      <c r="K251" s="2">
        <v>358.4915771484375</v>
      </c>
      <c r="L251" s="2">
        <v>153.3399963378906</v>
      </c>
      <c r="M251" s="2">
        <v>261.44000244140619</v>
      </c>
      <c r="N251" s="12">
        <f t="shared" si="94"/>
        <v>-1.6994723807782774E-3</v>
      </c>
      <c r="O251" s="12">
        <f t="shared" si="95"/>
        <v>-3.0245834077240463E-3</v>
      </c>
      <c r="P251" s="12">
        <f t="shared" si="96"/>
        <v>-3.6231121525144294E-3</v>
      </c>
      <c r="Q251" s="12">
        <f t="shared" si="97"/>
        <v>1.6325884403455282E-2</v>
      </c>
      <c r="R251" s="12">
        <f t="shared" si="98"/>
        <v>2.7180803632787853E-2</v>
      </c>
      <c r="S251" s="12">
        <f t="shared" si="99"/>
        <v>-1.0998020405158182E-2</v>
      </c>
      <c r="T251" s="12">
        <f t="shared" si="100"/>
        <v>-3.3602687091960348E-3</v>
      </c>
      <c r="U251" s="12">
        <f t="shared" si="101"/>
        <v>1.5862468048038814E-2</v>
      </c>
      <c r="V251" s="19">
        <f t="shared" si="102"/>
        <v>47.38007711219538</v>
      </c>
      <c r="W251" s="19">
        <f t="shared" si="103"/>
        <v>32.26853721617249</v>
      </c>
      <c r="X251" s="19">
        <f t="shared" si="104"/>
        <v>11.578990174227917</v>
      </c>
      <c r="Y251" s="19">
        <f t="shared" si="105"/>
        <v>269.73288351751614</v>
      </c>
      <c r="Z251" s="19">
        <f t="shared" si="106"/>
        <v>15.982933735548396</v>
      </c>
      <c r="AA251" s="19">
        <f t="shared" si="107"/>
        <v>481.84856746905007</v>
      </c>
      <c r="AB251" s="19">
        <f t="shared" si="108"/>
        <v>4552.2854927872286</v>
      </c>
      <c r="AC251" s="19">
        <f t="shared" si="109"/>
        <v>8541.1964679663815</v>
      </c>
      <c r="AD251" s="21">
        <f t="shared" si="110"/>
        <v>-1613.1641769908356</v>
      </c>
      <c r="AE251" s="21">
        <f t="shared" si="111"/>
        <v>-2790.0067524143174</v>
      </c>
      <c r="AF251" s="21">
        <f t="shared" si="112"/>
        <v>-3738.8822148406134</v>
      </c>
      <c r="AG251" s="21">
        <f t="shared" si="113"/>
        <v>16464.980559920717</v>
      </c>
      <c r="AH251" s="21">
        <f t="shared" si="114"/>
        <v>18905.119222146866</v>
      </c>
      <c r="AI251" s="21">
        <f t="shared" si="115"/>
        <v>-18754.089175707577</v>
      </c>
      <c r="AJ251" s="21">
        <f t="shared" si="116"/>
        <v>-4604.5432516304572</v>
      </c>
      <c r="AK251" s="21">
        <f t="shared" si="117"/>
        <v>26673.779242079763</v>
      </c>
      <c r="AL251" s="23">
        <f t="shared" si="118"/>
        <v>30543.193452563548</v>
      </c>
      <c r="AM251" s="23"/>
    </row>
    <row r="252" spans="1:39" x14ac:dyDescent="0.3">
      <c r="A252" s="13">
        <f t="shared" si="93"/>
        <v>247</v>
      </c>
      <c r="B252" s="1">
        <v>45296</v>
      </c>
      <c r="C252" s="7">
        <v>2023</v>
      </c>
      <c r="D252" s="7">
        <v>7</v>
      </c>
      <c r="E252" s="77">
        <v>16.866</v>
      </c>
      <c r="F252" s="2">
        <v>53.215835571289063</v>
      </c>
      <c r="G252" s="2">
        <v>41.920783996582031</v>
      </c>
      <c r="H252" s="2">
        <v>13.63951587677002</v>
      </c>
      <c r="I252" s="2">
        <v>249.9100036621094</v>
      </c>
      <c r="J252" s="2">
        <v>15.819999694824221</v>
      </c>
      <c r="K252" s="2">
        <v>362.47811889648438</v>
      </c>
      <c r="L252" s="2">
        <v>153.4100036621094</v>
      </c>
      <c r="M252" s="2">
        <v>256.6099853515625</v>
      </c>
      <c r="N252" s="12">
        <f t="shared" si="94"/>
        <v>7.5042397589653032E-3</v>
      </c>
      <c r="O252" s="12">
        <f t="shared" si="95"/>
        <v>9.8684098679504562E-3</v>
      </c>
      <c r="P252" s="12">
        <f t="shared" si="96"/>
        <v>-1.0752806427212325E-2</v>
      </c>
      <c r="Q252" s="12">
        <f t="shared" si="97"/>
        <v>5.9574569494904583E-3</v>
      </c>
      <c r="R252" s="12">
        <f t="shared" si="98"/>
        <v>-1.7391346584548883E-2</v>
      </c>
      <c r="S252" s="12">
        <f t="shared" si="99"/>
        <v>1.0278011636794204E-2</v>
      </c>
      <c r="T252" s="12">
        <f t="shared" si="100"/>
        <v>-8.4136130814123078E-3</v>
      </c>
      <c r="U252" s="12">
        <f t="shared" si="101"/>
        <v>7.6326610071766332E-3</v>
      </c>
      <c r="V252" s="19">
        <f t="shared" si="102"/>
        <v>47.816892058030838</v>
      </c>
      <c r="W252" s="19">
        <f t="shared" si="103"/>
        <v>32.685837408754978</v>
      </c>
      <c r="X252" s="19">
        <f t="shared" si="104"/>
        <v>11.496135321853407</v>
      </c>
      <c r="Y252" s="19">
        <f t="shared" si="105"/>
        <v>266.98110293451771</v>
      </c>
      <c r="Z252" s="19">
        <f t="shared" si="106"/>
        <v>15.289391059463419</v>
      </c>
      <c r="AA252" s="19">
        <f t="shared" si="107"/>
        <v>492.21439663052473</v>
      </c>
      <c r="AB252" s="19">
        <f t="shared" si="108"/>
        <v>4529.2036653691057</v>
      </c>
      <c r="AC252" s="19">
        <f t="shared" si="109"/>
        <v>8472.0016694179885</v>
      </c>
      <c r="AD252" s="21">
        <f t="shared" si="110"/>
        <v>7123.1347397183245</v>
      </c>
      <c r="AE252" s="21">
        <f t="shared" si="111"/>
        <v>9103.0487361865835</v>
      </c>
      <c r="AF252" s="21">
        <f t="shared" si="112"/>
        <v>-11096.393105697089</v>
      </c>
      <c r="AG252" s="21">
        <f t="shared" si="113"/>
        <v>6008.2143445266638</v>
      </c>
      <c r="AH252" s="21">
        <f t="shared" si="114"/>
        <v>-12096.238398851614</v>
      </c>
      <c r="AI252" s="21">
        <f t="shared" si="115"/>
        <v>17526.312889453748</v>
      </c>
      <c r="AJ252" s="21">
        <f t="shared" si="116"/>
        <v>-11529.091477067323</v>
      </c>
      <c r="AK252" s="21">
        <f t="shared" si="117"/>
        <v>12834.819532401161</v>
      </c>
      <c r="AL252" s="23">
        <f t="shared" si="118"/>
        <v>17873.807260670455</v>
      </c>
      <c r="AM252" s="23"/>
    </row>
    <row r="253" spans="1:39" x14ac:dyDescent="0.3">
      <c r="A253" s="13">
        <f t="shared" si="93"/>
        <v>248</v>
      </c>
      <c r="B253" s="1">
        <v>45295</v>
      </c>
      <c r="C253" s="7">
        <v>2023</v>
      </c>
      <c r="D253" s="7">
        <v>7</v>
      </c>
      <c r="E253" s="77">
        <v>17.007999999999999</v>
      </c>
      <c r="F253" s="2">
        <v>52.819465637207031</v>
      </c>
      <c r="G253" s="2">
        <v>41.511135101318359</v>
      </c>
      <c r="H253" s="2">
        <v>13.787773132324221</v>
      </c>
      <c r="I253" s="2">
        <v>248.42999267578119</v>
      </c>
      <c r="J253" s="2">
        <v>16.10000038146973</v>
      </c>
      <c r="K253" s="2">
        <v>358.79046630859381</v>
      </c>
      <c r="L253" s="2">
        <v>153.41999816894531</v>
      </c>
      <c r="M253" s="2">
        <v>252.53999328613281</v>
      </c>
      <c r="N253" s="12">
        <f t="shared" si="94"/>
        <v>-2.9580800879303037E-3</v>
      </c>
      <c r="O253" s="12">
        <f t="shared" si="95"/>
        <v>2.1603431539141793E-2</v>
      </c>
      <c r="P253" s="12">
        <f t="shared" si="96"/>
        <v>1.1602744389140218E-2</v>
      </c>
      <c r="Q253" s="12">
        <f t="shared" si="97"/>
        <v>1.8155707687627753E-2</v>
      </c>
      <c r="R253" s="12">
        <f t="shared" si="98"/>
        <v>1.9632705532972139E-2</v>
      </c>
      <c r="S253" s="12">
        <f t="shared" si="99"/>
        <v>0</v>
      </c>
      <c r="T253" s="12">
        <f t="shared" si="100"/>
        <v>-2.4368344420613308E-3</v>
      </c>
      <c r="U253" s="12">
        <f t="shared" si="101"/>
        <v>-7.4096005915640362E-3</v>
      </c>
      <c r="V253" s="19">
        <f t="shared" si="102"/>
        <v>47.320342664933207</v>
      </c>
      <c r="W253" s="19">
        <f t="shared" si="103"/>
        <v>33.065658191923085</v>
      </c>
      <c r="X253" s="19">
        <f t="shared" si="104"/>
        <v>11.755931295043045</v>
      </c>
      <c r="Y253" s="19">
        <f t="shared" si="105"/>
        <v>270.21851860596712</v>
      </c>
      <c r="Z253" s="19">
        <f t="shared" si="106"/>
        <v>15.865485325947956</v>
      </c>
      <c r="AA253" s="19">
        <f t="shared" si="107"/>
        <v>487.20687866210938</v>
      </c>
      <c r="AB253" s="19">
        <f t="shared" si="108"/>
        <v>4556.5034025151253</v>
      </c>
      <c r="AC253" s="19">
        <f t="shared" si="109"/>
        <v>8345.5289276065305</v>
      </c>
      <c r="AD253" s="21">
        <f t="shared" si="110"/>
        <v>-2807.8531222342917</v>
      </c>
      <c r="AE253" s="21">
        <f t="shared" si="111"/>
        <v>19927.94105647763</v>
      </c>
      <c r="AF253" s="21">
        <f t="shared" si="112"/>
        <v>11973.489313542745</v>
      </c>
      <c r="AG253" s="21">
        <f t="shared" si="113"/>
        <v>18310.393896034431</v>
      </c>
      <c r="AH253" s="21">
        <f t="shared" si="114"/>
        <v>13655.175313007188</v>
      </c>
      <c r="AI253" s="21">
        <f t="shared" si="115"/>
        <v>0</v>
      </c>
      <c r="AJ253" s="21">
        <f t="shared" si="116"/>
        <v>-3339.170333261427</v>
      </c>
      <c r="AK253" s="21">
        <f t="shared" si="117"/>
        <v>-12459.728829890446</v>
      </c>
      <c r="AL253" s="23">
        <f t="shared" si="118"/>
        <v>45260.247293675828</v>
      </c>
      <c r="AM253" s="23"/>
    </row>
    <row r="254" spans="1:39" x14ac:dyDescent="0.3">
      <c r="A254" s="13">
        <f t="shared" si="93"/>
        <v>249</v>
      </c>
      <c r="B254" s="1">
        <v>45294</v>
      </c>
      <c r="C254" s="7">
        <v>2023</v>
      </c>
      <c r="D254" s="7">
        <v>7</v>
      </c>
      <c r="E254" s="77">
        <v>17.003</v>
      </c>
      <c r="F254" s="2">
        <v>52.976173400878913</v>
      </c>
      <c r="G254" s="2">
        <v>40.633316040039063</v>
      </c>
      <c r="H254" s="2">
        <v>13.62963199615479</v>
      </c>
      <c r="I254" s="2">
        <v>244</v>
      </c>
      <c r="J254" s="2">
        <v>15.789999961853029</v>
      </c>
      <c r="K254" s="2">
        <v>358.79046630859381</v>
      </c>
      <c r="L254" s="2">
        <v>153.8399963378906</v>
      </c>
      <c r="M254" s="2">
        <v>254.5</v>
      </c>
      <c r="N254" s="12">
        <f t="shared" si="94"/>
        <v>9.485497999367043E-3</v>
      </c>
      <c r="O254" s="12">
        <f t="shared" si="95"/>
        <v>-7.8590512283912561E-3</v>
      </c>
      <c r="P254" s="12">
        <f t="shared" si="96"/>
        <v>2.6805625964895885E-2</v>
      </c>
      <c r="Q254" s="12">
        <f t="shared" si="97"/>
        <v>1.2112154250735419E-2</v>
      </c>
      <c r="R254" s="12">
        <f t="shared" si="98"/>
        <v>2.4659319805556912E-2</v>
      </c>
      <c r="S254" s="12">
        <f t="shared" si="99"/>
        <v>1.4084460877709981E-2</v>
      </c>
      <c r="T254" s="12">
        <f t="shared" si="100"/>
        <v>1.065303480965718E-2</v>
      </c>
      <c r="U254" s="12">
        <f t="shared" si="101"/>
        <v>2.9114913255073427E-2</v>
      </c>
      <c r="V254" s="19">
        <f t="shared" si="102"/>
        <v>47.910924030981185</v>
      </c>
      <c r="W254" s="19">
        <f t="shared" si="103"/>
        <v>32.112062741280411</v>
      </c>
      <c r="X254" s="19">
        <f t="shared" si="104"/>
        <v>11.932605421603647</v>
      </c>
      <c r="Y254" s="19">
        <f t="shared" si="105"/>
        <v>268.61455956070284</v>
      </c>
      <c r="Z254" s="19">
        <f t="shared" si="106"/>
        <v>15.943699446138627</v>
      </c>
      <c r="AA254" s="19">
        <f t="shared" si="107"/>
        <v>494.06892488397705</v>
      </c>
      <c r="AB254" s="19">
        <f t="shared" si="108"/>
        <v>4616.2931339759634</v>
      </c>
      <c r="AC254" s="19">
        <f t="shared" si="109"/>
        <v>8652.6207421712734</v>
      </c>
      <c r="AD254" s="21">
        <f t="shared" si="110"/>
        <v>9003.7741987252666</v>
      </c>
      <c r="AE254" s="21">
        <f t="shared" si="111"/>
        <v>-7249.5292868385623</v>
      </c>
      <c r="AF254" s="21">
        <f t="shared" si="112"/>
        <v>27662.151752124224</v>
      </c>
      <c r="AG254" s="21">
        <f t="shared" si="113"/>
        <v>12215.349524030182</v>
      </c>
      <c r="AH254" s="21">
        <f t="shared" si="114"/>
        <v>17151.346485530172</v>
      </c>
      <c r="AI254" s="21">
        <f t="shared" si="115"/>
        <v>24017.161776536854</v>
      </c>
      <c r="AJ254" s="21">
        <f t="shared" si="116"/>
        <v>14597.749104989998</v>
      </c>
      <c r="AK254" s="21">
        <f t="shared" si="117"/>
        <v>48958.634083058132</v>
      </c>
      <c r="AL254" s="23">
        <f t="shared" si="118"/>
        <v>146356.63763815627</v>
      </c>
      <c r="AM254" s="23"/>
    </row>
    <row r="255" spans="1:39" x14ac:dyDescent="0.3">
      <c r="A255" s="13">
        <f t="shared" si="93"/>
        <v>250</v>
      </c>
      <c r="B255" s="1">
        <v>45293</v>
      </c>
      <c r="C255" s="7">
        <v>2023</v>
      </c>
      <c r="D255" s="7">
        <v>6</v>
      </c>
      <c r="E255" s="77">
        <v>17.013999999999999</v>
      </c>
      <c r="F255" s="2">
        <v>52.478389739990227</v>
      </c>
      <c r="G255" s="2">
        <v>40.955184936523438</v>
      </c>
      <c r="H255" s="2">
        <v>13.273818969726561</v>
      </c>
      <c r="I255" s="2">
        <v>241.08000183105469</v>
      </c>
      <c r="J255" s="2">
        <v>15.409999847412109</v>
      </c>
      <c r="K255" s="2">
        <v>353.80728149414063</v>
      </c>
      <c r="L255" s="2">
        <v>152.1199951171875</v>
      </c>
      <c r="M255" s="2">
        <v>247.13999938964841</v>
      </c>
      <c r="N255" s="12">
        <f t="shared" si="94"/>
        <v>-1.3173945039603008E-2</v>
      </c>
      <c r="O255" s="12">
        <f t="shared" si="95"/>
        <v>2.6650448579291774E-2</v>
      </c>
      <c r="P255" s="12">
        <f t="shared" si="96"/>
        <v>-1.322558834332721E-2</v>
      </c>
      <c r="Q255" s="12">
        <f t="shared" si="97"/>
        <v>-3.0015255719789802E-2</v>
      </c>
      <c r="R255" s="12">
        <f t="shared" si="98"/>
        <v>-3.2642840414429775E-2</v>
      </c>
      <c r="S255" s="12">
        <f t="shared" si="99"/>
        <v>5.6657385979352881E-3</v>
      </c>
      <c r="T255" s="12">
        <f t="shared" si="100"/>
        <v>-7.3583939395712727E-3</v>
      </c>
      <c r="U255" s="12">
        <f t="shared" si="101"/>
        <v>-3.5787949352340531E-2</v>
      </c>
      <c r="V255" s="19">
        <f t="shared" si="102"/>
        <v>46.835490202386332</v>
      </c>
      <c r="W255" s="19">
        <f t="shared" si="103"/>
        <v>33.229012126714579</v>
      </c>
      <c r="X255" s="19">
        <f t="shared" si="104"/>
        <v>11.467398889024704</v>
      </c>
      <c r="Y255" s="19">
        <f t="shared" si="105"/>
        <v>257.43394521165072</v>
      </c>
      <c r="Z255" s="19">
        <f t="shared" si="106"/>
        <v>15.05207780907069</v>
      </c>
      <c r="AA255" s="19">
        <f t="shared" si="107"/>
        <v>489.96726547972486</v>
      </c>
      <c r="AB255" s="19">
        <f t="shared" si="108"/>
        <v>4534.0235201674823</v>
      </c>
      <c r="AC255" s="19">
        <f t="shared" si="109"/>
        <v>8106.9286644547674</v>
      </c>
      <c r="AD255" s="21">
        <f t="shared" si="110"/>
        <v>-12504.902373171803</v>
      </c>
      <c r="AE255" s="21">
        <f t="shared" si="111"/>
        <v>24583.52819803523</v>
      </c>
      <c r="AF255" s="21">
        <f t="shared" si="112"/>
        <v>-13648.188340885912</v>
      </c>
      <c r="AG255" s="21">
        <f t="shared" si="113"/>
        <v>-30270.985002367877</v>
      </c>
      <c r="AH255" s="21">
        <f t="shared" si="114"/>
        <v>-22704.140691406606</v>
      </c>
      <c r="AI255" s="21">
        <f t="shared" si="115"/>
        <v>9661.3538616541919</v>
      </c>
      <c r="AJ255" s="21">
        <f t="shared" si="116"/>
        <v>-10083.135037554348</v>
      </c>
      <c r="AK255" s="21">
        <f t="shared" si="117"/>
        <v>-60179.781460243066</v>
      </c>
      <c r="AL255" s="23">
        <f t="shared" si="118"/>
        <v>-115146.25084594019</v>
      </c>
      <c r="AM255" s="23"/>
    </row>
    <row r="256" spans="1:39" x14ac:dyDescent="0.3">
      <c r="A256" s="13">
        <f>+A257-1</f>
        <v>251</v>
      </c>
      <c r="B256" s="1">
        <v>45289</v>
      </c>
      <c r="C256" s="7">
        <v>2023</v>
      </c>
      <c r="D256" s="7">
        <v>6</v>
      </c>
      <c r="E256" s="77">
        <v>16.954000000000001</v>
      </c>
      <c r="F256" s="2">
        <v>53.178966522216797</v>
      </c>
      <c r="G256" s="2">
        <v>39.892044067382813</v>
      </c>
      <c r="H256" s="2">
        <v>13.45172595977783</v>
      </c>
      <c r="I256" s="2">
        <v>248.53999328613281</v>
      </c>
      <c r="J256" s="2">
        <v>15.930000305175779</v>
      </c>
      <c r="K256" s="2">
        <v>351.81399536132813</v>
      </c>
      <c r="L256" s="2">
        <v>153.78999328613281</v>
      </c>
      <c r="M256" s="2">
        <v>257.22000122070313</v>
      </c>
      <c r="N256" s="12">
        <f t="shared" si="94"/>
        <v>-1.0390506029825941E-3</v>
      </c>
      <c r="O256" s="12">
        <f t="shared" si="95"/>
        <v>6.0959738262793106E-2</v>
      </c>
      <c r="P256" s="12">
        <f t="shared" si="96"/>
        <v>2.9475878436850955E-3</v>
      </c>
      <c r="Q256" s="12">
        <f t="shared" si="97"/>
        <v>-2.1341995922377732E-2</v>
      </c>
      <c r="R256" s="12">
        <f t="shared" si="98"/>
        <v>6.2815507750646482E-4</v>
      </c>
      <c r="S256" s="12">
        <f t="shared" si="99"/>
        <v>-3.0219864110800909E-2</v>
      </c>
      <c r="T256" s="12">
        <f t="shared" si="100"/>
        <v>-3.4337483843671635E-4</v>
      </c>
      <c r="U256" s="12">
        <f t="shared" si="101"/>
        <v>2.189721713093129E-2</v>
      </c>
      <c r="V256" s="19">
        <f t="shared" si="102"/>
        <v>47.411421215391591</v>
      </c>
      <c r="W256" s="19">
        <f t="shared" si="103"/>
        <v>34.339481424740683</v>
      </c>
      <c r="X256" s="19">
        <f t="shared" si="104"/>
        <v>11.655348901153184</v>
      </c>
      <c r="Y256" s="19">
        <f t="shared" si="105"/>
        <v>259.73582830894651</v>
      </c>
      <c r="Z256" s="19">
        <f t="shared" si="106"/>
        <v>15.569774512886283</v>
      </c>
      <c r="AA256" s="19">
        <f t="shared" si="107"/>
        <v>472.48355299509296</v>
      </c>
      <c r="AB256" s="19">
        <f t="shared" si="108"/>
        <v>4566.0655597160758</v>
      </c>
      <c r="AC256" s="19">
        <f t="shared" si="109"/>
        <v>8591.9355976941551</v>
      </c>
      <c r="AD256" s="21">
        <f t="shared" si="110"/>
        <v>-986.28211306660774</v>
      </c>
      <c r="AE256" s="21">
        <f t="shared" si="111"/>
        <v>56231.90319177918</v>
      </c>
      <c r="AF256" s="21">
        <f t="shared" si="112"/>
        <v>3041.7727361231373</v>
      </c>
      <c r="AG256" s="21">
        <f t="shared" si="113"/>
        <v>-21523.82923264389</v>
      </c>
      <c r="AH256" s="21">
        <f t="shared" si="114"/>
        <v>436.90196915041497</v>
      </c>
      <c r="AI256" s="21">
        <f t="shared" si="115"/>
        <v>-51531.639834557442</v>
      </c>
      <c r="AJ256" s="21">
        <f t="shared" si="116"/>
        <v>-470.52317297629997</v>
      </c>
      <c r="AK256" s="21">
        <f t="shared" si="117"/>
        <v>36821.605187634486</v>
      </c>
      <c r="AL256" s="23">
        <f t="shared" si="118"/>
        <v>22019.908731442982</v>
      </c>
      <c r="AM256" s="23"/>
    </row>
    <row r="257" spans="1:39" x14ac:dyDescent="0.3">
      <c r="A257" s="13">
        <v>252</v>
      </c>
      <c r="B257" s="1">
        <v>45288</v>
      </c>
      <c r="C257" s="7">
        <v>2023</v>
      </c>
      <c r="D257" s="7">
        <v>6</v>
      </c>
      <c r="E257" s="77">
        <v>16.928999999999998</v>
      </c>
      <c r="F257" s="2">
        <v>53.234279632568359</v>
      </c>
      <c r="G257" s="2">
        <v>37.599960327148438</v>
      </c>
      <c r="H257" s="2">
        <v>13.412192344665529</v>
      </c>
      <c r="I257" s="2">
        <v>253.96000671386719</v>
      </c>
      <c r="J257" s="2">
        <v>15.920000076293951</v>
      </c>
      <c r="K257" s="2">
        <v>362.77706909179688</v>
      </c>
      <c r="L257" s="2">
        <v>154.07000732421881</v>
      </c>
      <c r="M257" s="2">
        <v>252.08000183105469</v>
      </c>
      <c r="N257" s="12"/>
      <c r="O257" s="12"/>
      <c r="P257" s="12"/>
      <c r="Q257" s="12"/>
      <c r="R257" s="12"/>
      <c r="S257" s="12"/>
      <c r="T257" s="12"/>
      <c r="U257" s="12"/>
      <c r="V257" s="19"/>
      <c r="W257" s="19"/>
      <c r="X257" s="19"/>
      <c r="Y257" s="19"/>
      <c r="Z257" s="19"/>
      <c r="AA257" s="19"/>
      <c r="AB257" s="19"/>
      <c r="AC257" s="19"/>
      <c r="AD257" s="21"/>
      <c r="AE257" s="21"/>
      <c r="AF257" s="21"/>
      <c r="AG257" s="21"/>
      <c r="AH257" s="21"/>
      <c r="AI257" s="21"/>
      <c r="AJ257" s="21"/>
      <c r="AK257" s="21"/>
      <c r="AL257" s="23"/>
      <c r="AM257" s="23"/>
    </row>
    <row r="258" spans="1:39" x14ac:dyDescent="0.3">
      <c r="AC258" s="19"/>
      <c r="AD258" s="21"/>
      <c r="AE258" s="21"/>
      <c r="AF258" s="21"/>
      <c r="AG258" s="21"/>
      <c r="AH258" s="21"/>
      <c r="AI258" s="21"/>
      <c r="AJ258" s="21"/>
      <c r="AK258" s="21"/>
      <c r="AL258" s="23"/>
    </row>
    <row r="259" spans="1:39" x14ac:dyDescent="0.3">
      <c r="N259" s="28"/>
      <c r="O259" s="28"/>
      <c r="P259" s="28"/>
      <c r="Q259" s="28"/>
      <c r="R259" s="28"/>
      <c r="S259" s="28"/>
      <c r="T259" s="28"/>
      <c r="U259" s="28"/>
      <c r="AD259" s="2"/>
      <c r="AE259" s="2"/>
      <c r="AF259" s="2"/>
      <c r="AG259" s="2"/>
      <c r="AH259" s="2"/>
      <c r="AI259" s="2"/>
      <c r="AJ259" s="2"/>
      <c r="AK259" s="2"/>
    </row>
  </sheetData>
  <mergeCells count="5">
    <mergeCell ref="F3:M3"/>
    <mergeCell ref="N3:U3"/>
    <mergeCell ref="V3:AC3"/>
    <mergeCell ref="AD3:AK3"/>
    <mergeCell ref="AN5:AS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D1B0F-6B14-4450-BED9-96A4F3E98328}">
  <sheetPr codeName="Hoja2"/>
  <dimension ref="A1:S1017"/>
  <sheetViews>
    <sheetView topLeftCell="E5" zoomScale="112" zoomScaleNormal="112" workbookViewId="0">
      <selection activeCell="B5" sqref="B5"/>
    </sheetView>
  </sheetViews>
  <sheetFormatPr baseColWidth="10" defaultRowHeight="14.4" x14ac:dyDescent="0.3"/>
  <cols>
    <col min="1" max="1" width="15.33203125" customWidth="1"/>
    <col min="2" max="7" width="11.5546875" style="75"/>
    <col min="8" max="9" width="13" style="75" customWidth="1"/>
    <col min="10" max="17" width="11.5546875" style="75"/>
    <col min="18" max="18" width="13.6640625" style="75" customWidth="1"/>
  </cols>
  <sheetData>
    <row r="1" spans="1:19" ht="23.4" x14ac:dyDescent="0.45">
      <c r="A1" s="70" t="s">
        <v>44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19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9" x14ac:dyDescent="0.3">
      <c r="A4" s="63"/>
      <c r="B4" s="63" t="s">
        <v>13</v>
      </c>
      <c r="C4" s="63" t="s">
        <v>19</v>
      </c>
      <c r="D4" s="63" t="s">
        <v>20</v>
      </c>
      <c r="E4" s="63" t="s">
        <v>12</v>
      </c>
      <c r="F4" s="63" t="s">
        <v>21</v>
      </c>
      <c r="G4" s="63" t="s">
        <v>22</v>
      </c>
      <c r="H4" s="63" t="s">
        <v>14</v>
      </c>
      <c r="I4" s="63" t="s">
        <v>27</v>
      </c>
      <c r="J4"/>
      <c r="K4"/>
      <c r="L4"/>
      <c r="M4"/>
      <c r="N4"/>
      <c r="O4"/>
      <c r="P4"/>
      <c r="Q4"/>
      <c r="R4"/>
    </row>
    <row r="5" spans="1:19" ht="28.8" x14ac:dyDescent="0.3">
      <c r="A5" s="64" t="s">
        <v>56</v>
      </c>
      <c r="B5" s="65">
        <f>Portafolio!F5</f>
        <v>47.460735321044922</v>
      </c>
      <c r="C5" s="65">
        <f>Portafolio!G5</f>
        <v>32.366432189941413</v>
      </c>
      <c r="D5" s="65">
        <f>Portafolio!H5</f>
        <v>11.62109470367432</v>
      </c>
      <c r="E5" s="65">
        <f>Portafolio!I5</f>
        <v>265.39999389648438</v>
      </c>
      <c r="F5" s="65">
        <f>Portafolio!J5</f>
        <v>15.560000419616699</v>
      </c>
      <c r="G5" s="65">
        <f>Portafolio!K5</f>
        <v>487.20687866210938</v>
      </c>
      <c r="H5" s="65">
        <f>Portafolio!L5*Portafolio!E5</f>
        <v>4567.6339702926634</v>
      </c>
      <c r="I5" s="65">
        <f>Portafolio!M5*Portafolio!E5</f>
        <v>8407.8275717559827</v>
      </c>
      <c r="J5" s="71" t="s">
        <v>57</v>
      </c>
      <c r="K5"/>
      <c r="L5"/>
      <c r="M5"/>
      <c r="N5"/>
      <c r="O5"/>
      <c r="P5"/>
      <c r="Q5"/>
      <c r="R5"/>
    </row>
    <row r="6" spans="1:19" x14ac:dyDescent="0.3">
      <c r="A6" s="66" t="s">
        <v>5</v>
      </c>
      <c r="B6" s="67">
        <v>20000</v>
      </c>
      <c r="C6" s="67">
        <v>28500</v>
      </c>
      <c r="D6" s="67">
        <v>88800</v>
      </c>
      <c r="E6" s="67">
        <v>3800</v>
      </c>
      <c r="F6" s="67">
        <v>44700</v>
      </c>
      <c r="G6" s="67">
        <v>3500</v>
      </c>
      <c r="H6" s="67">
        <v>300</v>
      </c>
      <c r="I6" s="67">
        <v>200</v>
      </c>
      <c r="J6"/>
      <c r="K6"/>
      <c r="L6"/>
      <c r="M6"/>
      <c r="N6"/>
      <c r="O6"/>
      <c r="P6"/>
      <c r="Q6"/>
      <c r="R6"/>
    </row>
    <row r="7" spans="1:19" x14ac:dyDescent="0.3">
      <c r="A7" s="66" t="s">
        <v>43</v>
      </c>
      <c r="B7" s="68">
        <f>Portafolio!N259</f>
        <v>-4.1156529440333767E-4</v>
      </c>
      <c r="C7" s="68">
        <f>Portafolio!O259</f>
        <v>-3.9310673113138623E-4</v>
      </c>
      <c r="D7" s="68">
        <f>Portafolio!P259</f>
        <v>-3.5862617070029636E-4</v>
      </c>
      <c r="E7" s="68">
        <f>Portafolio!Q259</f>
        <v>5.9558458105095509E-4</v>
      </c>
      <c r="F7" s="68">
        <f>Portafolio!R259</f>
        <v>1.6099477409993216E-4</v>
      </c>
      <c r="G7" s="68">
        <f>Portafolio!S259</f>
        <v>1.6944740484441201E-3</v>
      </c>
      <c r="H7" s="68">
        <f>Portafolio!T259</f>
        <v>2.4139821017585268E-3</v>
      </c>
      <c r="I7" s="68">
        <f>Portafolio!U259</f>
        <v>3.4983285538567909E-3</v>
      </c>
      <c r="J7"/>
      <c r="K7"/>
      <c r="L7"/>
      <c r="M7"/>
      <c r="N7"/>
      <c r="O7"/>
      <c r="P7"/>
      <c r="Q7" s="15" t="s">
        <v>52</v>
      </c>
      <c r="R7" s="27">
        <f>SUMPRODUCT(B5:I5,B6:I6)</f>
        <v>9364743.0098403934</v>
      </c>
    </row>
    <row r="8" spans="1:19" ht="28.8" x14ac:dyDescent="0.3">
      <c r="A8" s="64" t="s">
        <v>10</v>
      </c>
      <c r="B8" s="72" cm="1">
        <f t="array" ref="B8">Vol_Dinamica(Portafolio!N5:N256)</f>
        <v>0.13119414409716454</v>
      </c>
      <c r="C8" s="72" cm="1">
        <f t="array" ref="C8">Vol_Dinamica(Portafolio!O5:O256)</f>
        <v>0.3114248454116138</v>
      </c>
      <c r="D8" s="72" cm="1">
        <f t="array" ref="D8">Vol_Dinamica(Portafolio!P5:P256)</f>
        <v>0.33227923109379703</v>
      </c>
      <c r="E8" s="72" cm="1">
        <f t="array" ref="E8">Vol_Dinamica(Portafolio!Q5:Q256)</f>
        <v>0.48784692388216427</v>
      </c>
      <c r="F8" s="72" cm="1">
        <f t="array" ref="F8">Vol_Dinamica(Portafolio!R5:R256)</f>
        <v>0.25958857904759886</v>
      </c>
      <c r="G8" s="72" cm="1">
        <f t="array" ref="G8">Vol_Dinamica(Portafolio!S5:S256)</f>
        <v>0.38940640360363271</v>
      </c>
      <c r="H8" s="72" cm="1">
        <f t="array" ref="H8">Vol_Dinamica(Portafolio!T5:T256)</f>
        <v>0.28227915138968462</v>
      </c>
      <c r="I8" s="72" cm="1">
        <f t="array" ref="I8">Vol_Dinamica(Portafolio!U5:U256)</f>
        <v>0.72086624673518107</v>
      </c>
      <c r="J8"/>
      <c r="K8"/>
      <c r="L8"/>
      <c r="M8"/>
      <c r="N8"/>
      <c r="O8"/>
      <c r="P8"/>
      <c r="Q8"/>
      <c r="R8"/>
    </row>
    <row r="9" spans="1:19" ht="15.6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 s="18" t="s">
        <v>50</v>
      </c>
      <c r="R9" s="61">
        <f>PERCENTILE(R18:R1017,0.01)</f>
        <v>-204696.10750000001</v>
      </c>
      <c r="S9" s="76">
        <f>R9/R7</f>
        <v>-2.1858166026009155E-2</v>
      </c>
    </row>
    <row r="10" spans="1:19" ht="15.6" x14ac:dyDescent="0.3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 s="18" t="s">
        <v>51</v>
      </c>
      <c r="R10" s="61">
        <f>AVERAGEIF(R18:R1017,"&lt;"&amp;R9,R18:R1017)</f>
        <v>-229987.92800000001</v>
      </c>
      <c r="S10" s="76">
        <f>R10/R7</f>
        <v>-2.4558915045328058E-2</v>
      </c>
    </row>
    <row r="11" spans="1:19" x14ac:dyDescent="0.3">
      <c r="A11" s="18" t="s">
        <v>45</v>
      </c>
      <c r="B11" s="73">
        <v>1000</v>
      </c>
      <c r="C11" t="s">
        <v>58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9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8" x14ac:dyDescent="0.35">
      <c r="A13" s="69" t="s">
        <v>46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9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9" x14ac:dyDescent="0.3">
      <c r="B16" s="78" t="s">
        <v>48</v>
      </c>
      <c r="C16" s="79"/>
      <c r="D16" s="79"/>
      <c r="E16" s="79"/>
      <c r="F16" s="79"/>
      <c r="G16" s="79"/>
      <c r="H16" s="79"/>
      <c r="I16" s="80"/>
      <c r="J16" s="81" t="s">
        <v>49</v>
      </c>
      <c r="K16" s="82"/>
      <c r="L16" s="82"/>
      <c r="M16" s="82"/>
      <c r="N16" s="82"/>
      <c r="O16" s="82"/>
      <c r="P16" s="82"/>
      <c r="Q16" s="83"/>
      <c r="R16"/>
    </row>
    <row r="17" spans="1:18" x14ac:dyDescent="0.3">
      <c r="A17" s="63" t="s">
        <v>47</v>
      </c>
      <c r="B17" s="63" t="s">
        <v>13</v>
      </c>
      <c r="C17" s="63" t="s">
        <v>19</v>
      </c>
      <c r="D17" s="63" t="s">
        <v>20</v>
      </c>
      <c r="E17" s="63" t="s">
        <v>12</v>
      </c>
      <c r="F17" s="63" t="s">
        <v>21</v>
      </c>
      <c r="G17" s="63" t="s">
        <v>22</v>
      </c>
      <c r="H17" s="63" t="s">
        <v>14</v>
      </c>
      <c r="I17" s="63" t="s">
        <v>27</v>
      </c>
      <c r="J17" s="63" t="s">
        <v>13</v>
      </c>
      <c r="K17" s="63" t="s">
        <v>19</v>
      </c>
      <c r="L17" s="63" t="s">
        <v>20</v>
      </c>
      <c r="M17" s="63" t="s">
        <v>12</v>
      </c>
      <c r="N17" s="63" t="s">
        <v>21</v>
      </c>
      <c r="O17" s="63" t="s">
        <v>22</v>
      </c>
      <c r="P17" s="63" t="s">
        <v>14</v>
      </c>
      <c r="Q17" s="63" t="s">
        <v>27</v>
      </c>
      <c r="R17" s="74" t="s">
        <v>17</v>
      </c>
    </row>
    <row r="18" spans="1:18" x14ac:dyDescent="0.3">
      <c r="A18">
        <v>1</v>
      </c>
      <c r="B18" s="19">
        <v>49.785800000000002</v>
      </c>
      <c r="C18" s="19">
        <v>33.377299999999998</v>
      </c>
      <c r="D18" s="19">
        <v>11.8582</v>
      </c>
      <c r="E18" s="19">
        <v>268.33920000000001</v>
      </c>
      <c r="F18" s="19">
        <v>15.408300000000001</v>
      </c>
      <c r="G18" s="19">
        <v>368.61360000000002</v>
      </c>
      <c r="H18" s="19">
        <v>4570.4290000000001</v>
      </c>
      <c r="I18" s="19">
        <v>8489.8690000000006</v>
      </c>
      <c r="J18" s="75">
        <v>4116</v>
      </c>
      <c r="K18" s="75">
        <v>16453.05</v>
      </c>
      <c r="L18" s="75">
        <v>15824.16</v>
      </c>
      <c r="M18" s="75">
        <v>8128.9600000000009</v>
      </c>
      <c r="N18" s="75">
        <v>-9909.99</v>
      </c>
      <c r="O18" s="75">
        <v>7257.5999999999995</v>
      </c>
      <c r="P18" s="75">
        <v>838.5</v>
      </c>
      <c r="Q18" s="75">
        <v>16408.28</v>
      </c>
      <c r="R18" s="75">
        <v>59116.56</v>
      </c>
    </row>
    <row r="19" spans="1:18" x14ac:dyDescent="0.3">
      <c r="A19">
        <v>2</v>
      </c>
      <c r="B19" s="19">
        <v>49.5901</v>
      </c>
      <c r="C19" s="19">
        <v>33.308799999999998</v>
      </c>
      <c r="D19" s="19">
        <v>11.514099999999999</v>
      </c>
      <c r="E19" s="19">
        <v>266.1499</v>
      </c>
      <c r="F19" s="19">
        <v>15.6287</v>
      </c>
      <c r="G19" s="19">
        <v>370.94170000000003</v>
      </c>
      <c r="H19" s="19">
        <v>4640.1198000000004</v>
      </c>
      <c r="I19" s="19">
        <v>8664.9609</v>
      </c>
      <c r="J19" s="75">
        <v>202</v>
      </c>
      <c r="K19" s="75">
        <v>14500.800000000001</v>
      </c>
      <c r="L19" s="75">
        <v>-14731.92</v>
      </c>
      <c r="M19" s="75">
        <v>-190.38</v>
      </c>
      <c r="N19" s="75">
        <v>-58.11</v>
      </c>
      <c r="O19" s="75">
        <v>15405.949999999999</v>
      </c>
      <c r="P19" s="75">
        <v>21745.739999999998</v>
      </c>
      <c r="Q19" s="75">
        <v>51426.66</v>
      </c>
      <c r="R19" s="75">
        <v>88300.74</v>
      </c>
    </row>
    <row r="20" spans="1:18" x14ac:dyDescent="0.3">
      <c r="A20">
        <v>3</v>
      </c>
      <c r="B20" s="19">
        <v>49.640099999999997</v>
      </c>
      <c r="C20" s="19">
        <v>32.626199999999997</v>
      </c>
      <c r="D20" s="19">
        <v>11.753</v>
      </c>
      <c r="E20" s="19">
        <v>263.28629999999998</v>
      </c>
      <c r="F20" s="19">
        <v>15.547800000000001</v>
      </c>
      <c r="G20" s="19">
        <v>371.3734</v>
      </c>
      <c r="H20" s="19">
        <v>4547.7905000000001</v>
      </c>
      <c r="I20" s="19">
        <v>8194.4793000000009</v>
      </c>
      <c r="J20" s="75">
        <v>1202</v>
      </c>
      <c r="K20" s="75">
        <v>-4953.3</v>
      </c>
      <c r="L20" s="75">
        <v>6482.4</v>
      </c>
      <c r="M20" s="75">
        <v>-11072.06</v>
      </c>
      <c r="N20" s="75">
        <v>-3674.3399999999997</v>
      </c>
      <c r="O20" s="75">
        <v>16916.900000000001</v>
      </c>
      <c r="P20" s="75">
        <v>-5953.0499999999993</v>
      </c>
      <c r="Q20" s="75">
        <v>-42669.659999999996</v>
      </c>
      <c r="R20" s="75">
        <v>-43721.109999999993</v>
      </c>
    </row>
    <row r="21" spans="1:18" x14ac:dyDescent="0.3">
      <c r="A21">
        <v>4</v>
      </c>
      <c r="B21" s="19">
        <v>49.316400000000002</v>
      </c>
      <c r="C21" s="19">
        <v>33.6541</v>
      </c>
      <c r="D21" s="19">
        <v>11.7286</v>
      </c>
      <c r="E21" s="19">
        <v>266.97289999999998</v>
      </c>
      <c r="F21" s="19">
        <v>15.914</v>
      </c>
      <c r="G21" s="19">
        <v>373.49169999999998</v>
      </c>
      <c r="H21" s="19">
        <v>4577.1950999999999</v>
      </c>
      <c r="I21" s="19">
        <v>9092.0722000000005</v>
      </c>
      <c r="J21" s="75">
        <v>-5272</v>
      </c>
      <c r="K21" s="75">
        <v>24341.85</v>
      </c>
      <c r="L21" s="75">
        <v>4315.6799999999994</v>
      </c>
      <c r="M21" s="75">
        <v>2937.02</v>
      </c>
      <c r="N21" s="75">
        <v>12694.8</v>
      </c>
      <c r="O21" s="75">
        <v>24330.95</v>
      </c>
      <c r="P21" s="75">
        <v>2868.33</v>
      </c>
      <c r="Q21" s="75">
        <v>136848.91999999998</v>
      </c>
      <c r="R21" s="75">
        <v>203065.55</v>
      </c>
    </row>
    <row r="22" spans="1:18" x14ac:dyDescent="0.3">
      <c r="A22">
        <v>5</v>
      </c>
      <c r="B22" s="19">
        <v>49.331699999999998</v>
      </c>
      <c r="C22" s="19">
        <v>32.773099999999999</v>
      </c>
      <c r="D22" s="19">
        <v>11.321899999999999</v>
      </c>
      <c r="E22" s="19">
        <v>263.8458</v>
      </c>
      <c r="F22" s="19">
        <v>15.7935</v>
      </c>
      <c r="G22" s="19">
        <v>371.9085</v>
      </c>
      <c r="H22" s="19">
        <v>4478.8822</v>
      </c>
      <c r="I22" s="19">
        <v>8594.1175999999996</v>
      </c>
      <c r="J22" s="75">
        <v>-4966</v>
      </c>
      <c r="K22" s="75">
        <v>-766.65</v>
      </c>
      <c r="L22" s="75">
        <v>-31799.279999999999</v>
      </c>
      <c r="M22" s="75">
        <v>-8945.9600000000009</v>
      </c>
      <c r="N22" s="75">
        <v>7308.4500000000007</v>
      </c>
      <c r="O22" s="75">
        <v>18789.75</v>
      </c>
      <c r="P22" s="75">
        <v>-26625.54</v>
      </c>
      <c r="Q22" s="75">
        <v>37258</v>
      </c>
      <c r="R22" s="75">
        <v>-9747.2300000000032</v>
      </c>
    </row>
    <row r="23" spans="1:18" x14ac:dyDescent="0.3">
      <c r="A23">
        <v>6</v>
      </c>
      <c r="B23" s="19">
        <v>49.877600000000001</v>
      </c>
      <c r="C23" s="19">
        <v>33.814500000000002</v>
      </c>
      <c r="D23" s="19">
        <v>11.675800000000001</v>
      </c>
      <c r="E23" s="19">
        <v>269.55059999999997</v>
      </c>
      <c r="F23" s="19">
        <v>15.2697</v>
      </c>
      <c r="G23" s="19">
        <v>363.57119999999998</v>
      </c>
      <c r="H23" s="19">
        <v>4462.8089</v>
      </c>
      <c r="I23" s="19">
        <v>7929.4629999999997</v>
      </c>
      <c r="J23" s="75">
        <v>5951.9999999999991</v>
      </c>
      <c r="K23" s="75">
        <v>28913.25</v>
      </c>
      <c r="L23" s="75">
        <v>-372.96</v>
      </c>
      <c r="M23" s="75">
        <v>12732.28</v>
      </c>
      <c r="N23" s="75">
        <v>-16105.41</v>
      </c>
      <c r="O23" s="75">
        <v>-10390.799999999999</v>
      </c>
      <c r="P23" s="75">
        <v>-31447.530000000002</v>
      </c>
      <c r="Q23" s="75">
        <v>-95672.92</v>
      </c>
      <c r="R23" s="75">
        <v>-106392.09</v>
      </c>
    </row>
    <row r="24" spans="1:18" x14ac:dyDescent="0.3">
      <c r="A24">
        <v>7</v>
      </c>
      <c r="B24" s="19">
        <v>48.612400000000001</v>
      </c>
      <c r="C24" s="19">
        <v>32.704300000000003</v>
      </c>
      <c r="D24" s="19">
        <v>11.864699999999999</v>
      </c>
      <c r="E24" s="19">
        <v>267.6506</v>
      </c>
      <c r="F24" s="19">
        <v>15.491899999999999</v>
      </c>
      <c r="G24" s="19">
        <v>356.83519999999999</v>
      </c>
      <c r="H24" s="19">
        <v>4678.4582</v>
      </c>
      <c r="I24" s="19">
        <v>8331.3212999999996</v>
      </c>
      <c r="J24" s="75">
        <v>-19352</v>
      </c>
      <c r="K24" s="75">
        <v>-2727.45</v>
      </c>
      <c r="L24" s="75">
        <v>16401.36</v>
      </c>
      <c r="M24" s="75">
        <v>5512.28</v>
      </c>
      <c r="N24" s="75">
        <v>-6173.07</v>
      </c>
      <c r="O24" s="75">
        <v>-33966.800000000003</v>
      </c>
      <c r="P24" s="75">
        <v>33247.26</v>
      </c>
      <c r="Q24" s="75">
        <v>-15301.259999999998</v>
      </c>
      <c r="R24" s="75">
        <v>-22359.679999999997</v>
      </c>
    </row>
    <row r="25" spans="1:18" x14ac:dyDescent="0.3">
      <c r="A25">
        <v>8</v>
      </c>
      <c r="B25" s="19">
        <v>49.857900000000001</v>
      </c>
      <c r="C25" s="19">
        <v>33.143599999999999</v>
      </c>
      <c r="D25" s="19">
        <v>11.7263</v>
      </c>
      <c r="E25" s="19">
        <v>256.47379999999998</v>
      </c>
      <c r="F25" s="19">
        <v>15.471299999999999</v>
      </c>
      <c r="G25" s="19">
        <v>365.26139999999998</v>
      </c>
      <c r="H25" s="19">
        <v>4641.2523000000001</v>
      </c>
      <c r="I25" s="19">
        <v>8092.8622999999998</v>
      </c>
      <c r="J25" s="75">
        <v>5558</v>
      </c>
      <c r="K25" s="75">
        <v>9792.6</v>
      </c>
      <c r="L25" s="75">
        <v>4111.4400000000005</v>
      </c>
      <c r="M25" s="75">
        <v>-36959.560000000005</v>
      </c>
      <c r="N25" s="75">
        <v>-7093.89</v>
      </c>
      <c r="O25" s="75">
        <v>-4475.0999999999995</v>
      </c>
      <c r="P25" s="75">
        <v>22085.49</v>
      </c>
      <c r="Q25" s="75">
        <v>-62993.060000000005</v>
      </c>
      <c r="R25" s="75">
        <v>-69974.080000000002</v>
      </c>
    </row>
    <row r="26" spans="1:18" x14ac:dyDescent="0.3">
      <c r="A26">
        <v>9</v>
      </c>
      <c r="B26" s="19">
        <v>49.937600000000003</v>
      </c>
      <c r="C26" s="19">
        <v>32.5261</v>
      </c>
      <c r="D26" s="19">
        <v>11.9689</v>
      </c>
      <c r="E26" s="19">
        <v>260.75619999999998</v>
      </c>
      <c r="F26" s="19">
        <v>15.409599999999999</v>
      </c>
      <c r="G26" s="19">
        <v>361.80130000000003</v>
      </c>
      <c r="H26" s="19">
        <v>4667.5384999999997</v>
      </c>
      <c r="I26" s="19">
        <v>8357.3179</v>
      </c>
      <c r="J26" s="75">
        <v>7151.9999999999991</v>
      </c>
      <c r="K26" s="75">
        <v>-7806.15</v>
      </c>
      <c r="L26" s="75">
        <v>25654.32</v>
      </c>
      <c r="M26" s="75">
        <v>-20686.440000000002</v>
      </c>
      <c r="N26" s="75">
        <v>-9851.880000000001</v>
      </c>
      <c r="O26" s="75">
        <v>-16585.45</v>
      </c>
      <c r="P26" s="75">
        <v>29971.35</v>
      </c>
      <c r="Q26" s="75">
        <v>-10101.94</v>
      </c>
      <c r="R26" s="75">
        <v>-2254.1900000000078</v>
      </c>
    </row>
    <row r="27" spans="1:18" x14ac:dyDescent="0.3">
      <c r="A27">
        <v>10</v>
      </c>
      <c r="B27" s="19">
        <v>49.790100000000002</v>
      </c>
      <c r="C27" s="19">
        <v>32.081899999999997</v>
      </c>
      <c r="D27" s="19">
        <v>11.8871</v>
      </c>
      <c r="E27" s="19">
        <v>263.80099999999999</v>
      </c>
      <c r="F27" s="19">
        <v>15.859299999999999</v>
      </c>
      <c r="G27" s="19">
        <v>362.05779999999999</v>
      </c>
      <c r="H27" s="19">
        <v>4534.1860999999999</v>
      </c>
      <c r="I27" s="19">
        <v>8782.9408000000003</v>
      </c>
      <c r="J27" s="75">
        <v>4202</v>
      </c>
      <c r="K27" s="75">
        <v>-20465.849999999999</v>
      </c>
      <c r="L27" s="75">
        <v>18390.48</v>
      </c>
      <c r="M27" s="75">
        <v>-9116.2000000000007</v>
      </c>
      <c r="N27" s="75">
        <v>10249.710000000001</v>
      </c>
      <c r="O27" s="75">
        <v>-15687.699999999999</v>
      </c>
      <c r="P27" s="75">
        <v>-10034.369999999999</v>
      </c>
      <c r="Q27" s="75">
        <v>75022.64</v>
      </c>
      <c r="R27" s="75">
        <v>52560.710000000006</v>
      </c>
    </row>
    <row r="28" spans="1:18" x14ac:dyDescent="0.3">
      <c r="A28">
        <v>11</v>
      </c>
      <c r="B28" s="19">
        <v>48.829000000000001</v>
      </c>
      <c r="C28" s="19">
        <v>33.340499999999999</v>
      </c>
      <c r="D28" s="19">
        <v>11.7933</v>
      </c>
      <c r="E28" s="19">
        <v>268.51729999999998</v>
      </c>
      <c r="F28" s="19">
        <v>16.366</v>
      </c>
      <c r="G28" s="19">
        <v>355.5018</v>
      </c>
      <c r="H28" s="19">
        <v>4483.5034999999998</v>
      </c>
      <c r="I28" s="19">
        <v>8396.1187000000009</v>
      </c>
      <c r="J28" s="75">
        <v>-15020</v>
      </c>
      <c r="K28" s="75">
        <v>15404.25</v>
      </c>
      <c r="L28" s="75">
        <v>10061.039999999999</v>
      </c>
      <c r="M28" s="75">
        <v>8805.74</v>
      </c>
      <c r="N28" s="75">
        <v>32899.199999999997</v>
      </c>
      <c r="O28" s="75">
        <v>-38633.699999999997</v>
      </c>
      <c r="P28" s="75">
        <v>-25239.149999999998</v>
      </c>
      <c r="Q28" s="75">
        <v>-2341.7799999999997</v>
      </c>
      <c r="R28" s="75">
        <v>-14064.399999999998</v>
      </c>
    </row>
    <row r="29" spans="1:18" x14ac:dyDescent="0.3">
      <c r="A29">
        <v>12</v>
      </c>
      <c r="B29" s="19">
        <v>49.460999999999999</v>
      </c>
      <c r="C29" s="19">
        <v>32.866599999999998</v>
      </c>
      <c r="D29" s="19">
        <v>11.7227</v>
      </c>
      <c r="E29" s="19">
        <v>267.3836</v>
      </c>
      <c r="F29" s="19">
        <v>15.8782</v>
      </c>
      <c r="G29" s="19">
        <v>366.23860000000002</v>
      </c>
      <c r="H29" s="19">
        <v>4615.6953999999996</v>
      </c>
      <c r="I29" s="19">
        <v>8376.9107000000004</v>
      </c>
      <c r="J29" s="75">
        <v>-2380</v>
      </c>
      <c r="K29" s="75">
        <v>1898.1000000000001</v>
      </c>
      <c r="L29" s="75">
        <v>3791.76</v>
      </c>
      <c r="M29" s="75">
        <v>4497.68</v>
      </c>
      <c r="N29" s="75">
        <v>11094.54</v>
      </c>
      <c r="O29" s="75">
        <v>-1054.9000000000001</v>
      </c>
      <c r="P29" s="75">
        <v>14418.42</v>
      </c>
      <c r="Q29" s="75">
        <v>-6183.3799999999992</v>
      </c>
      <c r="R29" s="75">
        <v>26082.22</v>
      </c>
    </row>
    <row r="30" spans="1:18" x14ac:dyDescent="0.3">
      <c r="A30">
        <v>13</v>
      </c>
      <c r="B30" s="19">
        <v>50.022300000000001</v>
      </c>
      <c r="C30" s="19">
        <v>33.298499999999997</v>
      </c>
      <c r="D30" s="19">
        <v>11.3118</v>
      </c>
      <c r="E30" s="19">
        <v>267.4932</v>
      </c>
      <c r="F30" s="19">
        <v>15.8779</v>
      </c>
      <c r="G30" s="19">
        <v>362.82839999999999</v>
      </c>
      <c r="H30" s="19">
        <v>4599.174</v>
      </c>
      <c r="I30" s="19">
        <v>8458.1797000000006</v>
      </c>
      <c r="J30" s="75">
        <v>8846</v>
      </c>
      <c r="K30" s="75">
        <v>14207.25</v>
      </c>
      <c r="L30" s="75">
        <v>-32696.160000000003</v>
      </c>
      <c r="M30" s="75">
        <v>4914.16</v>
      </c>
      <c r="N30" s="75">
        <v>11081.130000000001</v>
      </c>
      <c r="O30" s="75">
        <v>-12990.599999999999</v>
      </c>
      <c r="P30" s="75">
        <v>9462</v>
      </c>
      <c r="Q30" s="75">
        <v>10070.42</v>
      </c>
      <c r="R30" s="75">
        <v>12894.199999999999</v>
      </c>
    </row>
    <row r="31" spans="1:18" x14ac:dyDescent="0.3">
      <c r="A31">
        <v>14</v>
      </c>
      <c r="B31" s="19">
        <v>49.900500000000001</v>
      </c>
      <c r="C31" s="19">
        <v>33.195700000000002</v>
      </c>
      <c r="D31" s="19">
        <v>11.399800000000001</v>
      </c>
      <c r="E31" s="19">
        <v>279.23750000000001</v>
      </c>
      <c r="F31" s="19">
        <v>15.501799999999999</v>
      </c>
      <c r="G31" s="19">
        <v>368.71620000000001</v>
      </c>
      <c r="H31" s="19">
        <v>4433.6769999999997</v>
      </c>
      <c r="I31" s="19">
        <v>8006.6391000000003</v>
      </c>
      <c r="J31" s="75">
        <v>6410</v>
      </c>
      <c r="K31" s="75">
        <v>11277.45</v>
      </c>
      <c r="L31" s="75">
        <v>-24881.760000000002</v>
      </c>
      <c r="M31" s="75">
        <v>49542.5</v>
      </c>
      <c r="N31" s="75">
        <v>-5730.54</v>
      </c>
      <c r="O31" s="75">
        <v>7616.7000000000007</v>
      </c>
      <c r="P31" s="75">
        <v>-40187.1</v>
      </c>
      <c r="Q31" s="75">
        <v>-80237.7</v>
      </c>
      <c r="R31" s="75">
        <v>-76190.449999999983</v>
      </c>
    </row>
    <row r="32" spans="1:18" x14ac:dyDescent="0.3">
      <c r="A32">
        <v>15</v>
      </c>
      <c r="B32" s="19">
        <v>49.415900000000001</v>
      </c>
      <c r="C32" s="19">
        <v>33.125399999999999</v>
      </c>
      <c r="D32" s="19">
        <v>11.745900000000001</v>
      </c>
      <c r="E32" s="19">
        <v>272.51839999999999</v>
      </c>
      <c r="F32" s="19">
        <v>15.690300000000001</v>
      </c>
      <c r="G32" s="19">
        <v>366.25009999999997</v>
      </c>
      <c r="H32" s="19">
        <v>4525.5744999999997</v>
      </c>
      <c r="I32" s="19">
        <v>8959.8009999999995</v>
      </c>
      <c r="J32" s="75">
        <v>-3282</v>
      </c>
      <c r="K32" s="75">
        <v>9273.9000000000015</v>
      </c>
      <c r="L32" s="75">
        <v>5851.92</v>
      </c>
      <c r="M32" s="75">
        <v>24009.919999999998</v>
      </c>
      <c r="N32" s="75">
        <v>2695.41</v>
      </c>
      <c r="O32" s="75">
        <v>-1014.65</v>
      </c>
      <c r="P32" s="75">
        <v>-12617.85</v>
      </c>
      <c r="Q32" s="75">
        <v>110394.68</v>
      </c>
      <c r="R32" s="75">
        <v>135311.32999999999</v>
      </c>
    </row>
    <row r="33" spans="1:18" x14ac:dyDescent="0.3">
      <c r="A33">
        <v>16</v>
      </c>
      <c r="B33" s="19">
        <v>50.314500000000002</v>
      </c>
      <c r="C33" s="19">
        <v>33.466299999999997</v>
      </c>
      <c r="D33" s="19">
        <v>11.697900000000001</v>
      </c>
      <c r="E33" s="19">
        <v>272.18380000000002</v>
      </c>
      <c r="F33" s="19">
        <v>16.264800000000001</v>
      </c>
      <c r="G33" s="19">
        <v>368.61529999999999</v>
      </c>
      <c r="H33" s="19">
        <v>4559.6058999999996</v>
      </c>
      <c r="I33" s="19">
        <v>8082.1151</v>
      </c>
      <c r="J33" s="75">
        <v>14690</v>
      </c>
      <c r="K33" s="75">
        <v>18989.55</v>
      </c>
      <c r="L33" s="75">
        <v>1589.52</v>
      </c>
      <c r="M33" s="75">
        <v>22738.44</v>
      </c>
      <c r="N33" s="75">
        <v>28375.56</v>
      </c>
      <c r="O33" s="75">
        <v>7263.55</v>
      </c>
      <c r="P33" s="75">
        <v>-2408.4300000000003</v>
      </c>
      <c r="Q33" s="75">
        <v>-65142.499999999993</v>
      </c>
      <c r="R33" s="75">
        <v>26095.69000000001</v>
      </c>
    </row>
    <row r="34" spans="1:18" x14ac:dyDescent="0.3">
      <c r="A34">
        <v>17</v>
      </c>
      <c r="B34" s="19">
        <v>50.039900000000003</v>
      </c>
      <c r="C34" s="19">
        <v>31.970400000000001</v>
      </c>
      <c r="D34" s="19">
        <v>11.5017</v>
      </c>
      <c r="E34" s="19">
        <v>251.85310000000001</v>
      </c>
      <c r="F34" s="19">
        <v>15.817600000000001</v>
      </c>
      <c r="G34" s="19">
        <v>372.21109999999999</v>
      </c>
      <c r="H34" s="19">
        <v>4514.6247000000003</v>
      </c>
      <c r="I34" s="19">
        <v>8131.4032999999999</v>
      </c>
      <c r="J34" s="75">
        <v>9198</v>
      </c>
      <c r="K34" s="75">
        <v>-23643.599999999999</v>
      </c>
      <c r="L34" s="75">
        <v>-15833.039999999999</v>
      </c>
      <c r="M34" s="75">
        <v>-54518.22</v>
      </c>
      <c r="N34" s="75">
        <v>8385.7199999999993</v>
      </c>
      <c r="O34" s="75">
        <v>19848.849999999999</v>
      </c>
      <c r="P34" s="75">
        <v>-15902.79</v>
      </c>
      <c r="Q34" s="75">
        <v>-55284.86</v>
      </c>
      <c r="R34" s="75">
        <v>-127749.94</v>
      </c>
    </row>
    <row r="35" spans="1:18" x14ac:dyDescent="0.3">
      <c r="A35">
        <v>18</v>
      </c>
      <c r="B35" s="19">
        <v>48.873800000000003</v>
      </c>
      <c r="C35" s="19">
        <v>33.223799999999997</v>
      </c>
      <c r="D35" s="19">
        <v>11.8231</v>
      </c>
      <c r="E35" s="19">
        <v>263.93360000000001</v>
      </c>
      <c r="F35" s="19">
        <v>15.601900000000001</v>
      </c>
      <c r="G35" s="19">
        <v>361.7715</v>
      </c>
      <c r="H35" s="19">
        <v>4719.1073999999999</v>
      </c>
      <c r="I35" s="19">
        <v>8566.0756000000001</v>
      </c>
      <c r="J35" s="75">
        <v>-14124.000000000002</v>
      </c>
      <c r="K35" s="75">
        <v>12078.300000000001</v>
      </c>
      <c r="L35" s="75">
        <v>12707.28</v>
      </c>
      <c r="M35" s="75">
        <v>-8612.32</v>
      </c>
      <c r="N35" s="75">
        <v>-1256.07</v>
      </c>
      <c r="O35" s="75">
        <v>-16689.75</v>
      </c>
      <c r="P35" s="75">
        <v>45442.02</v>
      </c>
      <c r="Q35" s="75">
        <v>31649.599999999999</v>
      </c>
      <c r="R35" s="75">
        <v>61195.06</v>
      </c>
    </row>
    <row r="36" spans="1:18" x14ac:dyDescent="0.3">
      <c r="A36">
        <v>19</v>
      </c>
      <c r="B36" s="19">
        <v>50.257300000000001</v>
      </c>
      <c r="C36" s="19">
        <v>32.406799999999997</v>
      </c>
      <c r="D36" s="19">
        <v>11.774100000000001</v>
      </c>
      <c r="E36" s="19">
        <v>280.17419999999998</v>
      </c>
      <c r="F36" s="19">
        <v>15.6715</v>
      </c>
      <c r="G36" s="19">
        <v>362.2038</v>
      </c>
      <c r="H36" s="19">
        <v>4563.9063999999998</v>
      </c>
      <c r="I36" s="19">
        <v>9046.4955000000009</v>
      </c>
      <c r="J36" s="75">
        <v>13546</v>
      </c>
      <c r="K36" s="75">
        <v>-11206.2</v>
      </c>
      <c r="L36" s="75">
        <v>8356.08</v>
      </c>
      <c r="M36" s="75">
        <v>53101.96</v>
      </c>
      <c r="N36" s="75">
        <v>1855.0500000000002</v>
      </c>
      <c r="O36" s="75">
        <v>-15176.699999999999</v>
      </c>
      <c r="P36" s="75">
        <v>-1118.28</v>
      </c>
      <c r="Q36" s="75">
        <v>127733.58</v>
      </c>
      <c r="R36" s="75">
        <v>177091.49</v>
      </c>
    </row>
    <row r="37" spans="1:18" x14ac:dyDescent="0.3">
      <c r="A37">
        <v>20</v>
      </c>
      <c r="B37" s="19">
        <v>49.405099999999997</v>
      </c>
      <c r="C37" s="19">
        <v>32.478200000000001</v>
      </c>
      <c r="D37" s="19">
        <v>12.1884</v>
      </c>
      <c r="E37" s="19">
        <v>276.91309999999999</v>
      </c>
      <c r="F37" s="19">
        <v>15.3124</v>
      </c>
      <c r="G37" s="19">
        <v>376.6234</v>
      </c>
      <c r="H37" s="19">
        <v>4555.6264000000001</v>
      </c>
      <c r="I37" s="19">
        <v>8607.5781999999999</v>
      </c>
      <c r="J37" s="75">
        <v>-3498</v>
      </c>
      <c r="K37" s="75">
        <v>-9171.2999999999993</v>
      </c>
      <c r="L37" s="75">
        <v>45145.919999999998</v>
      </c>
      <c r="M37" s="75">
        <v>40709.780000000006</v>
      </c>
      <c r="N37" s="75">
        <v>-14196.72</v>
      </c>
      <c r="O37" s="75">
        <v>35291.899999999994</v>
      </c>
      <c r="P37" s="75">
        <v>-3602.28</v>
      </c>
      <c r="Q37" s="75">
        <v>39950.119999999995</v>
      </c>
      <c r="R37" s="75">
        <v>130629.42</v>
      </c>
    </row>
    <row r="38" spans="1:18" x14ac:dyDescent="0.3">
      <c r="A38">
        <v>21</v>
      </c>
      <c r="B38" s="19">
        <v>49.5809</v>
      </c>
      <c r="C38" s="19">
        <v>31.981100000000001</v>
      </c>
      <c r="D38" s="19">
        <v>11.6069</v>
      </c>
      <c r="E38" s="19">
        <v>273.9205</v>
      </c>
      <c r="F38" s="19">
        <v>15.657500000000001</v>
      </c>
      <c r="G38" s="19">
        <v>359.96530000000001</v>
      </c>
      <c r="H38" s="19">
        <v>4447.6993000000002</v>
      </c>
      <c r="I38" s="19">
        <v>8091.7485999999999</v>
      </c>
      <c r="J38" s="75">
        <v>18</v>
      </c>
      <c r="K38" s="75">
        <v>-23338.649999999998</v>
      </c>
      <c r="L38" s="75">
        <v>-6491.28</v>
      </c>
      <c r="M38" s="75">
        <v>29337.9</v>
      </c>
      <c r="N38" s="75">
        <v>1229.25</v>
      </c>
      <c r="O38" s="75">
        <v>-23011.45</v>
      </c>
      <c r="P38" s="75">
        <v>-35980.410000000003</v>
      </c>
      <c r="Q38" s="75">
        <v>-63215.8</v>
      </c>
      <c r="R38" s="75">
        <v>-121452.44</v>
      </c>
    </row>
    <row r="39" spans="1:18" x14ac:dyDescent="0.3">
      <c r="A39">
        <v>22</v>
      </c>
      <c r="B39" s="19">
        <v>49.866799999999998</v>
      </c>
      <c r="C39" s="19">
        <v>33.401400000000002</v>
      </c>
      <c r="D39" s="19">
        <v>11.183999999999999</v>
      </c>
      <c r="E39" s="19">
        <v>271.24029999999999</v>
      </c>
      <c r="F39" s="19">
        <v>16.052600000000002</v>
      </c>
      <c r="G39" s="19">
        <v>366.31459999999998</v>
      </c>
      <c r="H39" s="19">
        <v>4546.7302</v>
      </c>
      <c r="I39" s="19">
        <v>8475.2955000000002</v>
      </c>
      <c r="J39" s="75">
        <v>5736</v>
      </c>
      <c r="K39" s="75">
        <v>17139.900000000001</v>
      </c>
      <c r="L39" s="75">
        <v>-44044.800000000003</v>
      </c>
      <c r="M39" s="75">
        <v>19153.14</v>
      </c>
      <c r="N39" s="75">
        <v>18890.219999999998</v>
      </c>
      <c r="O39" s="75">
        <v>-788.9</v>
      </c>
      <c r="P39" s="75">
        <v>-6271.14</v>
      </c>
      <c r="Q39" s="75">
        <v>13493.58</v>
      </c>
      <c r="R39" s="75">
        <v>23307.999999999993</v>
      </c>
    </row>
    <row r="40" spans="1:18" x14ac:dyDescent="0.3">
      <c r="A40">
        <v>23</v>
      </c>
      <c r="B40" s="19">
        <v>48.863199999999999</v>
      </c>
      <c r="C40" s="19">
        <v>33.866799999999998</v>
      </c>
      <c r="D40" s="19">
        <v>11.885</v>
      </c>
      <c r="E40" s="19">
        <v>259.5181</v>
      </c>
      <c r="F40" s="19">
        <v>15.912800000000001</v>
      </c>
      <c r="G40" s="19">
        <v>379.16770000000002</v>
      </c>
      <c r="H40" s="19">
        <v>4643.1116000000002</v>
      </c>
      <c r="I40" s="19">
        <v>7659.8406000000004</v>
      </c>
      <c r="J40" s="75">
        <v>-14336</v>
      </c>
      <c r="K40" s="75">
        <v>30403.8</v>
      </c>
      <c r="L40" s="75">
        <v>18204</v>
      </c>
      <c r="M40" s="75">
        <v>-25391.219999999998</v>
      </c>
      <c r="N40" s="75">
        <v>12641.16</v>
      </c>
      <c r="O40" s="75">
        <v>44196.950000000004</v>
      </c>
      <c r="P40" s="75">
        <v>22643.279999999999</v>
      </c>
      <c r="Q40" s="75">
        <v>-149597.4</v>
      </c>
      <c r="R40" s="75">
        <v>-61235.429999999993</v>
      </c>
    </row>
    <row r="41" spans="1:18" x14ac:dyDescent="0.3">
      <c r="A41">
        <v>24</v>
      </c>
      <c r="B41" s="19">
        <v>49.654400000000003</v>
      </c>
      <c r="C41" s="19">
        <v>32.459699999999998</v>
      </c>
      <c r="D41" s="19">
        <v>11.853400000000001</v>
      </c>
      <c r="E41" s="19">
        <v>268.53050000000002</v>
      </c>
      <c r="F41" s="19">
        <v>15.3779</v>
      </c>
      <c r="G41" s="19">
        <v>364.56920000000002</v>
      </c>
      <c r="H41" s="19">
        <v>4742.3001999999997</v>
      </c>
      <c r="I41" s="19">
        <v>8276.0490000000009</v>
      </c>
      <c r="J41" s="75">
        <v>1487.9999999999998</v>
      </c>
      <c r="K41" s="75">
        <v>-9698.5499999999993</v>
      </c>
      <c r="L41" s="75">
        <v>15397.92</v>
      </c>
      <c r="M41" s="75">
        <v>8855.9</v>
      </c>
      <c r="N41" s="75">
        <v>-11268.869999999999</v>
      </c>
      <c r="O41" s="75">
        <v>-6897.8</v>
      </c>
      <c r="P41" s="75">
        <v>52399.86</v>
      </c>
      <c r="Q41" s="75">
        <v>-26355.72</v>
      </c>
      <c r="R41" s="75">
        <v>23920.739999999998</v>
      </c>
    </row>
    <row r="42" spans="1:18" x14ac:dyDescent="0.3">
      <c r="A42">
        <v>25</v>
      </c>
      <c r="B42" s="19">
        <v>49.520400000000002</v>
      </c>
      <c r="C42" s="19">
        <v>32.817999999999998</v>
      </c>
      <c r="D42" s="19">
        <v>11.6967</v>
      </c>
      <c r="E42" s="19">
        <v>267.23559999999998</v>
      </c>
      <c r="F42" s="19">
        <v>15.8392</v>
      </c>
      <c r="G42" s="19">
        <v>360.10890000000001</v>
      </c>
      <c r="H42" s="19">
        <v>4598.7750999999998</v>
      </c>
      <c r="I42" s="19">
        <v>8784.0869999999995</v>
      </c>
      <c r="J42" s="75">
        <v>-1192</v>
      </c>
      <c r="K42" s="75">
        <v>513</v>
      </c>
      <c r="L42" s="75">
        <v>1482.96</v>
      </c>
      <c r="M42" s="75">
        <v>3935.28</v>
      </c>
      <c r="N42" s="75">
        <v>9351.24</v>
      </c>
      <c r="O42" s="75">
        <v>-22508.85</v>
      </c>
      <c r="P42" s="75">
        <v>9342.33</v>
      </c>
      <c r="Q42" s="75">
        <v>75251.88</v>
      </c>
      <c r="R42" s="75">
        <v>76175.840000000011</v>
      </c>
    </row>
    <row r="43" spans="1:18" x14ac:dyDescent="0.3">
      <c r="A43">
        <v>26</v>
      </c>
      <c r="B43" s="19">
        <v>49.327100000000002</v>
      </c>
      <c r="C43" s="19">
        <v>32.572699999999998</v>
      </c>
      <c r="D43" s="19">
        <v>11.5219</v>
      </c>
      <c r="E43" s="19">
        <v>261.4468</v>
      </c>
      <c r="F43" s="19">
        <v>15.4344</v>
      </c>
      <c r="G43" s="19">
        <v>346.31740000000002</v>
      </c>
      <c r="H43" s="19">
        <v>4459.4431000000004</v>
      </c>
      <c r="I43" s="19">
        <v>9999.3428999999996</v>
      </c>
      <c r="J43" s="75">
        <v>-5058</v>
      </c>
      <c r="K43" s="75">
        <v>-6478.05</v>
      </c>
      <c r="L43" s="75">
        <v>-14039.279999999999</v>
      </c>
      <c r="M43" s="75">
        <v>-18062.16</v>
      </c>
      <c r="N43" s="75">
        <v>-8743.32</v>
      </c>
      <c r="O43" s="75">
        <v>-70779.100000000006</v>
      </c>
      <c r="P43" s="75">
        <v>-32457.27</v>
      </c>
      <c r="Q43" s="75">
        <v>318303.06</v>
      </c>
      <c r="R43" s="75">
        <v>162685.88</v>
      </c>
    </row>
    <row r="44" spans="1:18" x14ac:dyDescent="0.3">
      <c r="A44">
        <v>27</v>
      </c>
      <c r="B44" s="19">
        <v>49.688099999999999</v>
      </c>
      <c r="C44" s="19">
        <v>32.382199999999997</v>
      </c>
      <c r="D44" s="19">
        <v>11.5375</v>
      </c>
      <c r="E44" s="19">
        <v>268.36279999999999</v>
      </c>
      <c r="F44" s="19">
        <v>15.416</v>
      </c>
      <c r="G44" s="19">
        <v>375.79820000000001</v>
      </c>
      <c r="H44" s="19">
        <v>4653.4778999999999</v>
      </c>
      <c r="I44" s="19">
        <v>8671.6083999999992</v>
      </c>
      <c r="J44" s="75">
        <v>2162</v>
      </c>
      <c r="K44" s="75">
        <v>-11907.3</v>
      </c>
      <c r="L44" s="75">
        <v>-12653.999999999998</v>
      </c>
      <c r="M44" s="75">
        <v>8218.64</v>
      </c>
      <c r="N44" s="75">
        <v>-9565.7999999999993</v>
      </c>
      <c r="O44" s="75">
        <v>32403.7</v>
      </c>
      <c r="P44" s="75">
        <v>25753.170000000002</v>
      </c>
      <c r="Q44" s="75">
        <v>52756.160000000003</v>
      </c>
      <c r="R44" s="75">
        <v>87166.57</v>
      </c>
    </row>
    <row r="45" spans="1:18" x14ac:dyDescent="0.3">
      <c r="A45">
        <v>28</v>
      </c>
      <c r="B45" s="19">
        <v>49.716799999999999</v>
      </c>
      <c r="C45" s="19">
        <v>32.362000000000002</v>
      </c>
      <c r="D45" s="19">
        <v>11.3721</v>
      </c>
      <c r="E45" s="19">
        <v>266.4615</v>
      </c>
      <c r="F45" s="19">
        <v>15.8439</v>
      </c>
      <c r="G45" s="19">
        <v>355.11059999999998</v>
      </c>
      <c r="H45" s="19">
        <v>4577.3236999999999</v>
      </c>
      <c r="I45" s="19">
        <v>8072.1948000000002</v>
      </c>
      <c r="J45" s="75">
        <v>2736</v>
      </c>
      <c r="K45" s="75">
        <v>-12483</v>
      </c>
      <c r="L45" s="75">
        <v>-27341.52</v>
      </c>
      <c r="M45" s="75">
        <v>993.7</v>
      </c>
      <c r="N45" s="75">
        <v>9561.33</v>
      </c>
      <c r="O45" s="75">
        <v>-40002.899999999994</v>
      </c>
      <c r="P45" s="75">
        <v>2906.91</v>
      </c>
      <c r="Q45" s="75">
        <v>-67126.559999999998</v>
      </c>
      <c r="R45" s="75">
        <v>-130756.04</v>
      </c>
    </row>
    <row r="46" spans="1:18" x14ac:dyDescent="0.3">
      <c r="A46">
        <v>29</v>
      </c>
      <c r="B46" s="19">
        <v>49.283299999999997</v>
      </c>
      <c r="C46" s="19">
        <v>32.219900000000003</v>
      </c>
      <c r="D46" s="19">
        <v>11.7783</v>
      </c>
      <c r="E46" s="19">
        <v>276.2448</v>
      </c>
      <c r="F46" s="19">
        <v>15.3696</v>
      </c>
      <c r="G46" s="19">
        <v>371.86130000000003</v>
      </c>
      <c r="H46" s="19">
        <v>4563.8721999999998</v>
      </c>
      <c r="I46" s="19">
        <v>8587.0511999999999</v>
      </c>
      <c r="J46" s="75">
        <v>-5934</v>
      </c>
      <c r="K46" s="75">
        <v>-16532.849999999999</v>
      </c>
      <c r="L46" s="75">
        <v>8729.0399999999991</v>
      </c>
      <c r="M46" s="75">
        <v>38170.239999999998</v>
      </c>
      <c r="N46" s="75">
        <v>-11639.880000000001</v>
      </c>
      <c r="O46" s="75">
        <v>18624.55</v>
      </c>
      <c r="P46" s="75">
        <v>-1128.54</v>
      </c>
      <c r="Q46" s="75">
        <v>35844.720000000001</v>
      </c>
      <c r="R46" s="75">
        <v>66133.279999999999</v>
      </c>
    </row>
    <row r="47" spans="1:18" x14ac:dyDescent="0.3">
      <c r="A47">
        <v>30</v>
      </c>
      <c r="B47" s="19">
        <v>49.303400000000003</v>
      </c>
      <c r="C47" s="19">
        <v>32.898699999999998</v>
      </c>
      <c r="D47" s="19">
        <v>11.8742</v>
      </c>
      <c r="E47" s="19">
        <v>263.49349999999998</v>
      </c>
      <c r="F47" s="19">
        <v>15.7155</v>
      </c>
      <c r="G47" s="19">
        <v>362.49900000000002</v>
      </c>
      <c r="H47" s="19">
        <v>4616.7030000000004</v>
      </c>
      <c r="I47" s="19">
        <v>8709.1659</v>
      </c>
      <c r="J47" s="75">
        <v>-5532</v>
      </c>
      <c r="K47" s="75">
        <v>2812.95</v>
      </c>
      <c r="L47" s="75">
        <v>17244.960000000003</v>
      </c>
      <c r="M47" s="75">
        <v>-10284.700000000001</v>
      </c>
      <c r="N47" s="75">
        <v>3821.8500000000004</v>
      </c>
      <c r="O47" s="75">
        <v>-14143.500000000002</v>
      </c>
      <c r="P47" s="75">
        <v>14720.7</v>
      </c>
      <c r="Q47" s="75">
        <v>60267.66</v>
      </c>
      <c r="R47" s="75">
        <v>68907.920000000013</v>
      </c>
    </row>
    <row r="48" spans="1:18" x14ac:dyDescent="0.3">
      <c r="A48">
        <v>31</v>
      </c>
      <c r="B48" s="19">
        <v>49.962800000000001</v>
      </c>
      <c r="C48" s="19">
        <v>32.8752</v>
      </c>
      <c r="D48" s="19">
        <v>11.310700000000001</v>
      </c>
      <c r="E48" s="19">
        <v>260.89229999999998</v>
      </c>
      <c r="F48" s="19">
        <v>15.764799999999999</v>
      </c>
      <c r="G48" s="19">
        <v>375.24270000000001</v>
      </c>
      <c r="H48" s="19">
        <v>4716.5258999999996</v>
      </c>
      <c r="I48" s="19">
        <v>8904.6615999999995</v>
      </c>
      <c r="J48" s="75">
        <v>7655.9999999999991</v>
      </c>
      <c r="K48" s="75">
        <v>2143.2000000000003</v>
      </c>
      <c r="L48" s="75">
        <v>-32793.840000000004</v>
      </c>
      <c r="M48" s="75">
        <v>-20169.259999999998</v>
      </c>
      <c r="N48" s="75">
        <v>6025.56</v>
      </c>
      <c r="O48" s="75">
        <v>30459.45</v>
      </c>
      <c r="P48" s="75">
        <v>44667.57</v>
      </c>
      <c r="Q48" s="75">
        <v>99366.8</v>
      </c>
      <c r="R48" s="75">
        <v>137355.47999999998</v>
      </c>
    </row>
    <row r="49" spans="1:18" x14ac:dyDescent="0.3">
      <c r="A49">
        <v>32</v>
      </c>
      <c r="B49" s="19">
        <v>49.954099999999997</v>
      </c>
      <c r="C49" s="19">
        <v>33.288400000000003</v>
      </c>
      <c r="D49" s="19">
        <v>11.8361</v>
      </c>
      <c r="E49" s="19">
        <v>289.81830000000002</v>
      </c>
      <c r="F49" s="19">
        <v>15.6531</v>
      </c>
      <c r="G49" s="19">
        <v>362.80110000000002</v>
      </c>
      <c r="H49" s="19">
        <v>4578.018</v>
      </c>
      <c r="I49" s="19">
        <v>8505.1669000000002</v>
      </c>
      <c r="J49" s="75">
        <v>7482</v>
      </c>
      <c r="K49" s="75">
        <v>13919.4</v>
      </c>
      <c r="L49" s="75">
        <v>13861.679999999998</v>
      </c>
      <c r="M49" s="75">
        <v>89749.540000000008</v>
      </c>
      <c r="N49" s="75">
        <v>1032.57</v>
      </c>
      <c r="O49" s="75">
        <v>-13086.15</v>
      </c>
      <c r="P49" s="75">
        <v>3115.2000000000003</v>
      </c>
      <c r="Q49" s="75">
        <v>19467.86</v>
      </c>
      <c r="R49" s="75">
        <v>135542.10000000003</v>
      </c>
    </row>
    <row r="50" spans="1:18" x14ac:dyDescent="0.3">
      <c r="A50">
        <v>33</v>
      </c>
      <c r="B50" s="19">
        <v>49.650700000000001</v>
      </c>
      <c r="C50" s="19">
        <v>32.111600000000003</v>
      </c>
      <c r="D50" s="19">
        <v>12.0656</v>
      </c>
      <c r="E50" s="19">
        <v>259.88139999999999</v>
      </c>
      <c r="F50" s="19">
        <v>15.6776</v>
      </c>
      <c r="G50" s="19">
        <v>372.76229999999998</v>
      </c>
      <c r="H50" s="19">
        <v>4567.5268999999998</v>
      </c>
      <c r="I50" s="19">
        <v>7759.4996000000001</v>
      </c>
      <c r="J50" s="75">
        <v>1414</v>
      </c>
      <c r="K50" s="75">
        <v>-19619.400000000001</v>
      </c>
      <c r="L50" s="75">
        <v>34241.279999999999</v>
      </c>
      <c r="M50" s="75">
        <v>-24010.68</v>
      </c>
      <c r="N50" s="75">
        <v>2127.7200000000003</v>
      </c>
      <c r="O50" s="75">
        <v>21778.05</v>
      </c>
      <c r="P50" s="75">
        <v>-32.130000000000003</v>
      </c>
      <c r="Q50" s="75">
        <v>-129665.59999999999</v>
      </c>
      <c r="R50" s="75">
        <v>-113766.76</v>
      </c>
    </row>
    <row r="51" spans="1:18" x14ac:dyDescent="0.3">
      <c r="A51">
        <v>34</v>
      </c>
      <c r="B51" s="19">
        <v>50.497100000000003</v>
      </c>
      <c r="C51" s="19">
        <v>32.360300000000002</v>
      </c>
      <c r="D51" s="19">
        <v>11.654</v>
      </c>
      <c r="E51" s="19">
        <v>257.88490000000002</v>
      </c>
      <c r="F51" s="19">
        <v>15.7974</v>
      </c>
      <c r="G51" s="19">
        <v>362.6601</v>
      </c>
      <c r="H51" s="19">
        <v>4645.8374999999996</v>
      </c>
      <c r="I51" s="19">
        <v>7904.8089</v>
      </c>
      <c r="J51" s="75">
        <v>18342</v>
      </c>
      <c r="K51" s="75">
        <v>-12531.449999999999</v>
      </c>
      <c r="L51" s="75">
        <v>-2308.7999999999997</v>
      </c>
      <c r="M51" s="75">
        <v>-31597.379999999997</v>
      </c>
      <c r="N51" s="75">
        <v>7482.78</v>
      </c>
      <c r="O51" s="75">
        <v>-13579.65</v>
      </c>
      <c r="P51" s="75">
        <v>23461.050000000003</v>
      </c>
      <c r="Q51" s="75">
        <v>-100603.74</v>
      </c>
      <c r="R51" s="75">
        <v>-111335.19</v>
      </c>
    </row>
    <row r="52" spans="1:18" x14ac:dyDescent="0.3">
      <c r="A52">
        <v>35</v>
      </c>
      <c r="B52" s="19">
        <v>50.131399999999999</v>
      </c>
      <c r="C52" s="19">
        <v>32.936</v>
      </c>
      <c r="D52" s="19">
        <v>11.866</v>
      </c>
      <c r="E52" s="19">
        <v>271.66489999999999</v>
      </c>
      <c r="F52" s="19">
        <v>15.6945</v>
      </c>
      <c r="G52" s="19">
        <v>371.16070000000002</v>
      </c>
      <c r="H52" s="19">
        <v>4548.4974000000002</v>
      </c>
      <c r="I52" s="19">
        <v>8801.4886999999999</v>
      </c>
      <c r="J52" s="75">
        <v>11028</v>
      </c>
      <c r="K52" s="75">
        <v>3876.0000000000005</v>
      </c>
      <c r="L52" s="75">
        <v>16516.8</v>
      </c>
      <c r="M52" s="75">
        <v>20766.62</v>
      </c>
      <c r="N52" s="75">
        <v>2883.15</v>
      </c>
      <c r="O52" s="75">
        <v>16172.45</v>
      </c>
      <c r="P52" s="75">
        <v>-5740.9800000000005</v>
      </c>
      <c r="Q52" s="75">
        <v>78732.22</v>
      </c>
      <c r="R52" s="75">
        <v>144234.26</v>
      </c>
    </row>
    <row r="53" spans="1:18" x14ac:dyDescent="0.3">
      <c r="A53">
        <v>36</v>
      </c>
      <c r="B53" s="19">
        <v>49.232999999999997</v>
      </c>
      <c r="C53" s="19">
        <v>32.720999999999997</v>
      </c>
      <c r="D53" s="19">
        <v>11.7721</v>
      </c>
      <c r="E53" s="19">
        <v>260.8535</v>
      </c>
      <c r="F53" s="19">
        <v>15.5525</v>
      </c>
      <c r="G53" s="19">
        <v>365.08199999999999</v>
      </c>
      <c r="H53" s="19">
        <v>4533.0962</v>
      </c>
      <c r="I53" s="19">
        <v>8298.7201000000005</v>
      </c>
      <c r="J53" s="75">
        <v>-6939.9999999999991</v>
      </c>
      <c r="K53" s="75">
        <v>-2251.5</v>
      </c>
      <c r="L53" s="75">
        <v>8178.4800000000005</v>
      </c>
      <c r="M53" s="75">
        <v>-20316.7</v>
      </c>
      <c r="N53" s="75">
        <v>-3464.25</v>
      </c>
      <c r="O53" s="75">
        <v>-5103</v>
      </c>
      <c r="P53" s="75">
        <v>-10361.339999999998</v>
      </c>
      <c r="Q53" s="75">
        <v>-21821.5</v>
      </c>
      <c r="R53" s="75">
        <v>-62079.81</v>
      </c>
    </row>
    <row r="54" spans="1:18" x14ac:dyDescent="0.3">
      <c r="A54">
        <v>37</v>
      </c>
      <c r="B54" s="19">
        <v>49.7729</v>
      </c>
      <c r="C54" s="19">
        <v>32.494</v>
      </c>
      <c r="D54" s="19">
        <v>11.4656</v>
      </c>
      <c r="E54" s="19">
        <v>268.42059999999998</v>
      </c>
      <c r="F54" s="19">
        <v>15.7088</v>
      </c>
      <c r="G54" s="19">
        <v>370.68270000000001</v>
      </c>
      <c r="H54" s="19">
        <v>4535.8864999999996</v>
      </c>
      <c r="I54" s="19">
        <v>7978.0173999999997</v>
      </c>
      <c r="J54" s="75">
        <v>3857.9999999999995</v>
      </c>
      <c r="K54" s="75">
        <v>-8721</v>
      </c>
      <c r="L54" s="75">
        <v>-19038.72</v>
      </c>
      <c r="M54" s="75">
        <v>8438.2800000000007</v>
      </c>
      <c r="N54" s="75">
        <v>3522.3599999999997</v>
      </c>
      <c r="O54" s="75">
        <v>14499.449999999999</v>
      </c>
      <c r="P54" s="75">
        <v>-9524.25</v>
      </c>
      <c r="Q54" s="75">
        <v>-85962.040000000008</v>
      </c>
      <c r="R54" s="75">
        <v>-92927.920000000013</v>
      </c>
    </row>
    <row r="55" spans="1:18" x14ac:dyDescent="0.3">
      <c r="A55">
        <v>38</v>
      </c>
      <c r="B55" s="19">
        <v>50.4345</v>
      </c>
      <c r="C55" s="19">
        <v>33.240400000000001</v>
      </c>
      <c r="D55" s="19">
        <v>11.433999999999999</v>
      </c>
      <c r="E55" s="19">
        <v>274.10849999999999</v>
      </c>
      <c r="F55" s="19">
        <v>15.234</v>
      </c>
      <c r="G55" s="19">
        <v>375.86009999999999</v>
      </c>
      <c r="H55" s="19">
        <v>4640.1781000000001</v>
      </c>
      <c r="I55" s="19">
        <v>8770.9552000000003</v>
      </c>
      <c r="J55" s="75">
        <v>17090</v>
      </c>
      <c r="K55" s="75">
        <v>12551.4</v>
      </c>
      <c r="L55" s="75">
        <v>-21844.799999999999</v>
      </c>
      <c r="M55" s="75">
        <v>30052.3</v>
      </c>
      <c r="N55" s="75">
        <v>-17701.2</v>
      </c>
      <c r="O55" s="75">
        <v>32620.35</v>
      </c>
      <c r="P55" s="75">
        <v>21763.23</v>
      </c>
      <c r="Q55" s="75">
        <v>72625.51999999999</v>
      </c>
      <c r="R55" s="75">
        <v>147156.79999999999</v>
      </c>
    </row>
    <row r="56" spans="1:18" x14ac:dyDescent="0.3">
      <c r="A56">
        <v>39</v>
      </c>
      <c r="B56" s="19">
        <v>49.256799999999998</v>
      </c>
      <c r="C56" s="19">
        <v>32.523800000000001</v>
      </c>
      <c r="D56" s="19">
        <v>11.877700000000001</v>
      </c>
      <c r="E56" s="19">
        <v>267.84460000000001</v>
      </c>
      <c r="F56" s="19">
        <v>15.5991</v>
      </c>
      <c r="G56" s="19">
        <v>372.43349999999998</v>
      </c>
      <c r="H56" s="19">
        <v>4422.9017999999996</v>
      </c>
      <c r="I56" s="19">
        <v>7321.4111000000003</v>
      </c>
      <c r="J56" s="75">
        <v>-6464</v>
      </c>
      <c r="K56" s="75">
        <v>-7871.7</v>
      </c>
      <c r="L56" s="75">
        <v>17555.759999999998</v>
      </c>
      <c r="M56" s="75">
        <v>6249.4800000000005</v>
      </c>
      <c r="N56" s="75">
        <v>-1381.23</v>
      </c>
      <c r="O56" s="75">
        <v>20627.25</v>
      </c>
      <c r="P56" s="75">
        <v>-43419.66</v>
      </c>
      <c r="Q56" s="75">
        <v>-217283.30000000002</v>
      </c>
      <c r="R56" s="75">
        <v>-231987.40000000002</v>
      </c>
    </row>
    <row r="57" spans="1:18" x14ac:dyDescent="0.3">
      <c r="A57">
        <v>40</v>
      </c>
      <c r="B57" s="19">
        <v>49.590600000000002</v>
      </c>
      <c r="C57" s="19">
        <v>33.7166</v>
      </c>
      <c r="D57" s="19">
        <v>11.751300000000001</v>
      </c>
      <c r="E57" s="19">
        <v>266.17950000000002</v>
      </c>
      <c r="F57" s="19">
        <v>15.648199999999999</v>
      </c>
      <c r="G57" s="19">
        <v>360.19850000000002</v>
      </c>
      <c r="H57" s="19">
        <v>4619.1673000000001</v>
      </c>
      <c r="I57" s="19">
        <v>9406.1697999999997</v>
      </c>
      <c r="J57" s="75">
        <v>212</v>
      </c>
      <c r="K57" s="75">
        <v>26123.1</v>
      </c>
      <c r="L57" s="75">
        <v>6331.4400000000005</v>
      </c>
      <c r="M57" s="75">
        <v>-77.900000000000006</v>
      </c>
      <c r="N57" s="75">
        <v>813.54000000000008</v>
      </c>
      <c r="O57" s="75">
        <v>-22195.25</v>
      </c>
      <c r="P57" s="75">
        <v>15459.99</v>
      </c>
      <c r="Q57" s="75">
        <v>199668.44</v>
      </c>
      <c r="R57" s="75">
        <v>226335.35999999999</v>
      </c>
    </row>
    <row r="58" spans="1:18" x14ac:dyDescent="0.3">
      <c r="A58">
        <v>41</v>
      </c>
      <c r="B58" s="19">
        <v>49.02</v>
      </c>
      <c r="C58" s="19">
        <v>32.642400000000002</v>
      </c>
      <c r="D58" s="19">
        <v>11.6805</v>
      </c>
      <c r="E58" s="19">
        <v>278.72309999999999</v>
      </c>
      <c r="F58" s="19">
        <v>15.493</v>
      </c>
      <c r="G58" s="19">
        <v>374.49130000000002</v>
      </c>
      <c r="H58" s="19">
        <v>4477.5403999999999</v>
      </c>
      <c r="I58" s="19">
        <v>7674.0983999999999</v>
      </c>
      <c r="J58" s="75">
        <v>-11200.000000000002</v>
      </c>
      <c r="K58" s="75">
        <v>-4491.5999999999995</v>
      </c>
      <c r="L58" s="75">
        <v>44.4</v>
      </c>
      <c r="M58" s="75">
        <v>47587.78</v>
      </c>
      <c r="N58" s="75">
        <v>-6123.9000000000005</v>
      </c>
      <c r="O58" s="75">
        <v>27829.55</v>
      </c>
      <c r="P58" s="75">
        <v>-27028.079999999998</v>
      </c>
      <c r="Q58" s="75">
        <v>-146745.84</v>
      </c>
      <c r="R58" s="75">
        <v>-120127.69</v>
      </c>
    </row>
    <row r="59" spans="1:18" x14ac:dyDescent="0.3">
      <c r="A59">
        <v>42</v>
      </c>
      <c r="B59" s="19">
        <v>50.945500000000003</v>
      </c>
      <c r="C59" s="19">
        <v>33.164499999999997</v>
      </c>
      <c r="D59" s="19">
        <v>11.8459</v>
      </c>
      <c r="E59" s="19">
        <v>279.5292</v>
      </c>
      <c r="F59" s="19">
        <v>16.007200000000001</v>
      </c>
      <c r="G59" s="19">
        <v>365.17680000000001</v>
      </c>
      <c r="H59" s="19">
        <v>4596.5896000000002</v>
      </c>
      <c r="I59" s="19">
        <v>8842.5319</v>
      </c>
      <c r="J59" s="75">
        <v>27310</v>
      </c>
      <c r="K59" s="75">
        <v>10388.25</v>
      </c>
      <c r="L59" s="75">
        <v>14731.92</v>
      </c>
      <c r="M59" s="75">
        <v>50650.96</v>
      </c>
      <c r="N59" s="75">
        <v>16860.84</v>
      </c>
      <c r="O59" s="75">
        <v>-4771.2</v>
      </c>
      <c r="P59" s="75">
        <v>8686.68</v>
      </c>
      <c r="Q59" s="75">
        <v>86940.86</v>
      </c>
      <c r="R59" s="75">
        <v>210798.31</v>
      </c>
    </row>
    <row r="60" spans="1:18" x14ac:dyDescent="0.3">
      <c r="A60">
        <v>43</v>
      </c>
      <c r="B60" s="19">
        <v>49.75</v>
      </c>
      <c r="C60" s="19">
        <v>33.189</v>
      </c>
      <c r="D60" s="19">
        <v>11.6578</v>
      </c>
      <c r="E60" s="19">
        <v>255.6902</v>
      </c>
      <c r="F60" s="19">
        <v>15.564299999999999</v>
      </c>
      <c r="G60" s="19">
        <v>372.90179999999998</v>
      </c>
      <c r="H60" s="19">
        <v>4484.2222000000002</v>
      </c>
      <c r="I60" s="19">
        <v>8729.1556999999993</v>
      </c>
      <c r="J60" s="75">
        <v>3400.0000000000005</v>
      </c>
      <c r="K60" s="75">
        <v>11086.5</v>
      </c>
      <c r="L60" s="75">
        <v>-1971.3600000000001</v>
      </c>
      <c r="M60" s="75">
        <v>-39937.24</v>
      </c>
      <c r="N60" s="75">
        <v>-2936.79</v>
      </c>
      <c r="O60" s="75">
        <v>22266.3</v>
      </c>
      <c r="P60" s="75">
        <v>-25023.54</v>
      </c>
      <c r="Q60" s="75">
        <v>64265.62</v>
      </c>
      <c r="R60" s="75">
        <v>31149.489999999998</v>
      </c>
    </row>
    <row r="61" spans="1:18" x14ac:dyDescent="0.3">
      <c r="A61">
        <v>44</v>
      </c>
      <c r="B61" s="19">
        <v>48.631700000000002</v>
      </c>
      <c r="C61" s="19">
        <v>32.902299999999997</v>
      </c>
      <c r="D61" s="19">
        <v>11.5945</v>
      </c>
      <c r="E61" s="19">
        <v>266.0181</v>
      </c>
      <c r="F61" s="19">
        <v>15.540900000000001</v>
      </c>
      <c r="G61" s="19">
        <v>359.50819999999999</v>
      </c>
      <c r="H61" s="19">
        <v>4431.9955</v>
      </c>
      <c r="I61" s="19">
        <v>8038.9994999999999</v>
      </c>
      <c r="J61" s="75">
        <v>-18966</v>
      </c>
      <c r="K61" s="75">
        <v>2915.55</v>
      </c>
      <c r="L61" s="75">
        <v>-7592.4000000000005</v>
      </c>
      <c r="M61" s="75">
        <v>-691.22</v>
      </c>
      <c r="N61" s="75">
        <v>-3982.77</v>
      </c>
      <c r="O61" s="75">
        <v>-24611.3</v>
      </c>
      <c r="P61" s="75">
        <v>-40691.549999999996</v>
      </c>
      <c r="Q61" s="75">
        <v>-73765.62</v>
      </c>
      <c r="R61" s="75">
        <v>-167385.31</v>
      </c>
    </row>
    <row r="62" spans="1:18" x14ac:dyDescent="0.3">
      <c r="A62">
        <v>45</v>
      </c>
      <c r="B62" s="19">
        <v>49.635399999999997</v>
      </c>
      <c r="C62" s="19">
        <v>32.590000000000003</v>
      </c>
      <c r="D62" s="19">
        <v>11.583500000000001</v>
      </c>
      <c r="E62" s="19">
        <v>265.40570000000002</v>
      </c>
      <c r="F62" s="19">
        <v>16.145700000000001</v>
      </c>
      <c r="G62" s="19">
        <v>358.92849999999999</v>
      </c>
      <c r="H62" s="19">
        <v>4557.7443999999996</v>
      </c>
      <c r="I62" s="19">
        <v>8293.8724000000002</v>
      </c>
      <c r="J62" s="75">
        <v>1108</v>
      </c>
      <c r="K62" s="75">
        <v>-5985</v>
      </c>
      <c r="L62" s="75">
        <v>-8569.2000000000007</v>
      </c>
      <c r="M62" s="75">
        <v>-3018.34</v>
      </c>
      <c r="N62" s="75">
        <v>23051.79</v>
      </c>
      <c r="O62" s="75">
        <v>-26640.25</v>
      </c>
      <c r="P62" s="75">
        <v>-2966.88</v>
      </c>
      <c r="Q62" s="75">
        <v>-22791.040000000001</v>
      </c>
      <c r="R62" s="75">
        <v>-45810.92</v>
      </c>
    </row>
    <row r="63" spans="1:18" x14ac:dyDescent="0.3">
      <c r="A63">
        <v>46</v>
      </c>
      <c r="B63" s="19">
        <v>49.004899999999999</v>
      </c>
      <c r="C63" s="19">
        <v>32.874400000000001</v>
      </c>
      <c r="D63" s="19">
        <v>11.5745</v>
      </c>
      <c r="E63" s="19">
        <v>256.63420000000002</v>
      </c>
      <c r="F63" s="19">
        <v>15.6714</v>
      </c>
      <c r="G63" s="19">
        <v>368.291</v>
      </c>
      <c r="H63" s="19">
        <v>4720.3723</v>
      </c>
      <c r="I63" s="19">
        <v>8718.6810000000005</v>
      </c>
      <c r="J63" s="75">
        <v>-11501.999999999998</v>
      </c>
      <c r="K63" s="75">
        <v>2120.3999999999996</v>
      </c>
      <c r="L63" s="75">
        <v>-9368.4</v>
      </c>
      <c r="M63" s="75">
        <v>-36350.04</v>
      </c>
      <c r="N63" s="75">
        <v>1850.58</v>
      </c>
      <c r="O63" s="75">
        <v>6128.5</v>
      </c>
      <c r="P63" s="75">
        <v>45821.490000000005</v>
      </c>
      <c r="Q63" s="75">
        <v>62170.680000000008</v>
      </c>
      <c r="R63" s="75">
        <v>60871.210000000014</v>
      </c>
    </row>
    <row r="64" spans="1:18" x14ac:dyDescent="0.3">
      <c r="A64">
        <v>47</v>
      </c>
      <c r="B64" s="19">
        <v>49.012099999999997</v>
      </c>
      <c r="C64" s="19">
        <v>32.970999999999997</v>
      </c>
      <c r="D64" s="19">
        <v>11.8428</v>
      </c>
      <c r="E64" s="19">
        <v>267.7398</v>
      </c>
      <c r="F64" s="19">
        <v>15.808</v>
      </c>
      <c r="G64" s="19">
        <v>350.3186</v>
      </c>
      <c r="H64" s="19">
        <v>4586.4462999999996</v>
      </c>
      <c r="I64" s="19">
        <v>8507.1355999999996</v>
      </c>
      <c r="J64" s="75">
        <v>-11358</v>
      </c>
      <c r="K64" s="75">
        <v>4873.5</v>
      </c>
      <c r="L64" s="75">
        <v>14456.64</v>
      </c>
      <c r="M64" s="75">
        <v>5851.24</v>
      </c>
      <c r="N64" s="75">
        <v>7956.5999999999995</v>
      </c>
      <c r="O64" s="75">
        <v>-56774.899999999994</v>
      </c>
      <c r="P64" s="75">
        <v>5643.6900000000005</v>
      </c>
      <c r="Q64" s="75">
        <v>19861.600000000002</v>
      </c>
      <c r="R64" s="75">
        <v>-9489.6299999999937</v>
      </c>
    </row>
    <row r="65" spans="1:18" x14ac:dyDescent="0.3">
      <c r="A65">
        <v>48</v>
      </c>
      <c r="B65" s="19">
        <v>49.913200000000003</v>
      </c>
      <c r="C65" s="19">
        <v>32.871600000000001</v>
      </c>
      <c r="D65" s="19">
        <v>11.838100000000001</v>
      </c>
      <c r="E65" s="19">
        <v>262.75240000000002</v>
      </c>
      <c r="F65" s="19">
        <v>15.840400000000001</v>
      </c>
      <c r="G65" s="19">
        <v>367.6164</v>
      </c>
      <c r="H65" s="19">
        <v>4573.3501999999999</v>
      </c>
      <c r="I65" s="19">
        <v>8357.5923999999995</v>
      </c>
      <c r="J65" s="75">
        <v>6664</v>
      </c>
      <c r="K65" s="75">
        <v>2040.6</v>
      </c>
      <c r="L65" s="75">
        <v>14039.279999999999</v>
      </c>
      <c r="M65" s="75">
        <v>-13100.88</v>
      </c>
      <c r="N65" s="75">
        <v>9404.880000000001</v>
      </c>
      <c r="O65" s="75">
        <v>3767.4</v>
      </c>
      <c r="P65" s="75">
        <v>1714.86</v>
      </c>
      <c r="Q65" s="75">
        <v>-10047.039999999999</v>
      </c>
      <c r="R65" s="75">
        <v>14483.1</v>
      </c>
    </row>
    <row r="66" spans="1:18" x14ac:dyDescent="0.3">
      <c r="A66">
        <v>49</v>
      </c>
      <c r="B66" s="19">
        <v>49.31</v>
      </c>
      <c r="C66" s="19">
        <v>32.008099999999999</v>
      </c>
      <c r="D66" s="19">
        <v>11.750299999999999</v>
      </c>
      <c r="E66" s="19">
        <v>264.81790000000001</v>
      </c>
      <c r="F66" s="19">
        <v>15.6656</v>
      </c>
      <c r="G66" s="19">
        <v>362.32799999999997</v>
      </c>
      <c r="H66" s="19">
        <v>4540.0897999999997</v>
      </c>
      <c r="I66" s="19">
        <v>8809.7469999999994</v>
      </c>
      <c r="J66" s="75">
        <v>-5400</v>
      </c>
      <c r="K66" s="75">
        <v>-22569.15</v>
      </c>
      <c r="L66" s="75">
        <v>6242.64</v>
      </c>
      <c r="M66" s="75">
        <v>-5251.9800000000005</v>
      </c>
      <c r="N66" s="75">
        <v>1591.32</v>
      </c>
      <c r="O66" s="75">
        <v>-14742</v>
      </c>
      <c r="P66" s="75">
        <v>-8263.26</v>
      </c>
      <c r="Q66" s="75">
        <v>80383.88</v>
      </c>
      <c r="R66" s="75">
        <v>31991.450000000004</v>
      </c>
    </row>
    <row r="67" spans="1:18" x14ac:dyDescent="0.3">
      <c r="A67">
        <v>50</v>
      </c>
      <c r="B67" s="19">
        <v>48.830300000000001</v>
      </c>
      <c r="C67" s="19">
        <v>33.253599999999999</v>
      </c>
      <c r="D67" s="19">
        <v>11.6181</v>
      </c>
      <c r="E67" s="19">
        <v>276.86619999999999</v>
      </c>
      <c r="F67" s="19">
        <v>15.6713</v>
      </c>
      <c r="G67" s="19">
        <v>362.06729999999999</v>
      </c>
      <c r="H67" s="19">
        <v>4635.5739999999996</v>
      </c>
      <c r="I67" s="19">
        <v>8590.8999000000003</v>
      </c>
      <c r="J67" s="75">
        <v>-14994</v>
      </c>
      <c r="K67" s="75">
        <v>12927.6</v>
      </c>
      <c r="L67" s="75">
        <v>-5496.7199999999993</v>
      </c>
      <c r="M67" s="75">
        <v>40531.56</v>
      </c>
      <c r="N67" s="75">
        <v>1846.1100000000001</v>
      </c>
      <c r="O67" s="75">
        <v>-15654.449999999999</v>
      </c>
      <c r="P67" s="75">
        <v>20382</v>
      </c>
      <c r="Q67" s="75">
        <v>36614.46</v>
      </c>
      <c r="R67" s="75">
        <v>76156.56</v>
      </c>
    </row>
    <row r="68" spans="1:18" x14ac:dyDescent="0.3">
      <c r="A68">
        <v>51</v>
      </c>
      <c r="B68" s="19">
        <v>49.324100000000001</v>
      </c>
      <c r="C68" s="19">
        <v>32.008899999999997</v>
      </c>
      <c r="D68" s="19">
        <v>11.3706</v>
      </c>
      <c r="E68" s="19">
        <v>264.71019999999999</v>
      </c>
      <c r="F68" s="19">
        <v>15.8626</v>
      </c>
      <c r="G68" s="19">
        <v>363.84469999999999</v>
      </c>
      <c r="H68" s="19">
        <v>4626.7069000000001</v>
      </c>
      <c r="I68" s="19">
        <v>8005.2250000000004</v>
      </c>
      <c r="J68" s="75">
        <v>-5118</v>
      </c>
      <c r="K68" s="75">
        <v>-22546.350000000002</v>
      </c>
      <c r="L68" s="75">
        <v>-27474.720000000001</v>
      </c>
      <c r="M68" s="75">
        <v>-5661.24</v>
      </c>
      <c r="N68" s="75">
        <v>10397.219999999999</v>
      </c>
      <c r="O68" s="75">
        <v>-9433.5499999999993</v>
      </c>
      <c r="P68" s="75">
        <v>17721.87</v>
      </c>
      <c r="Q68" s="75">
        <v>-80520.52</v>
      </c>
      <c r="R68" s="75">
        <v>-122635.29000000001</v>
      </c>
    </row>
    <row r="69" spans="1:18" x14ac:dyDescent="0.3">
      <c r="A69">
        <v>52</v>
      </c>
      <c r="B69" s="19">
        <v>49.425400000000003</v>
      </c>
      <c r="C69" s="19">
        <v>32.267699999999998</v>
      </c>
      <c r="D69" s="19">
        <v>11.5936</v>
      </c>
      <c r="E69" s="19">
        <v>265.95979999999997</v>
      </c>
      <c r="F69" s="19">
        <v>15.747299999999999</v>
      </c>
      <c r="G69" s="19">
        <v>363.75</v>
      </c>
      <c r="H69" s="19">
        <v>4567.7392</v>
      </c>
      <c r="I69" s="19">
        <v>8325.5797000000002</v>
      </c>
      <c r="J69" s="75">
        <v>-3091.9999999999995</v>
      </c>
      <c r="K69" s="75">
        <v>-15170.55</v>
      </c>
      <c r="L69" s="75">
        <v>-7672.3200000000006</v>
      </c>
      <c r="M69" s="75">
        <v>-912.76</v>
      </c>
      <c r="N69" s="75">
        <v>5243.31</v>
      </c>
      <c r="O69" s="75">
        <v>-9765</v>
      </c>
      <c r="P69" s="75">
        <v>31.560000000000002</v>
      </c>
      <c r="Q69" s="75">
        <v>-16449.580000000002</v>
      </c>
      <c r="R69" s="75">
        <v>-47787.34</v>
      </c>
    </row>
    <row r="70" spans="1:18" x14ac:dyDescent="0.3">
      <c r="A70">
        <v>53</v>
      </c>
      <c r="B70" s="19">
        <v>49.330500000000001</v>
      </c>
      <c r="C70" s="19">
        <v>32.536099999999998</v>
      </c>
      <c r="D70" s="19">
        <v>11.484</v>
      </c>
      <c r="E70" s="19">
        <v>254.85599999999999</v>
      </c>
      <c r="F70" s="19">
        <v>16.0578</v>
      </c>
      <c r="G70" s="19">
        <v>361.49790000000002</v>
      </c>
      <c r="H70" s="19">
        <v>4467.5924999999997</v>
      </c>
      <c r="I70" s="19">
        <v>8261.4959999999992</v>
      </c>
      <c r="J70" s="75">
        <v>-4990</v>
      </c>
      <c r="K70" s="75">
        <v>-7521.1500000000005</v>
      </c>
      <c r="L70" s="75">
        <v>-17404.8</v>
      </c>
      <c r="M70" s="75">
        <v>-43107.199999999997</v>
      </c>
      <c r="N70" s="75">
        <v>19122.66</v>
      </c>
      <c r="O70" s="75">
        <v>-17647.349999999999</v>
      </c>
      <c r="P70" s="75">
        <v>-30012.45</v>
      </c>
      <c r="Q70" s="75">
        <v>-29266.320000000003</v>
      </c>
      <c r="R70" s="75">
        <v>-130826.61</v>
      </c>
    </row>
    <row r="71" spans="1:18" x14ac:dyDescent="0.3">
      <c r="A71">
        <v>54</v>
      </c>
      <c r="B71" s="19">
        <v>50.253300000000003</v>
      </c>
      <c r="C71" s="19">
        <v>32.6905</v>
      </c>
      <c r="D71" s="19">
        <v>11.789099999999999</v>
      </c>
      <c r="E71" s="19">
        <v>275.66030000000001</v>
      </c>
      <c r="F71" s="19">
        <v>15.6187</v>
      </c>
      <c r="G71" s="19">
        <v>373.44290000000001</v>
      </c>
      <c r="H71" s="19">
        <v>4607.1484</v>
      </c>
      <c r="I71" s="19">
        <v>8255.3464000000004</v>
      </c>
      <c r="J71" s="75">
        <v>13466</v>
      </c>
      <c r="K71" s="75">
        <v>-3120.75</v>
      </c>
      <c r="L71" s="75">
        <v>9688.08</v>
      </c>
      <c r="M71" s="75">
        <v>35949.14</v>
      </c>
      <c r="N71" s="75">
        <v>-505.10999999999996</v>
      </c>
      <c r="O71" s="75">
        <v>24160.149999999998</v>
      </c>
      <c r="P71" s="75">
        <v>11854.32</v>
      </c>
      <c r="Q71" s="75">
        <v>-30496.240000000002</v>
      </c>
      <c r="R71" s="75">
        <v>60995.589999999982</v>
      </c>
    </row>
    <row r="72" spans="1:18" x14ac:dyDescent="0.3">
      <c r="A72">
        <v>55</v>
      </c>
      <c r="B72" s="19">
        <v>50.433</v>
      </c>
      <c r="C72" s="19">
        <v>32.6753</v>
      </c>
      <c r="D72" s="19">
        <v>11.6214</v>
      </c>
      <c r="E72" s="19">
        <v>278.27409999999998</v>
      </c>
      <c r="F72" s="19">
        <v>16.135999999999999</v>
      </c>
      <c r="G72" s="19">
        <v>358.1037</v>
      </c>
      <c r="H72" s="19">
        <v>4639.4596000000001</v>
      </c>
      <c r="I72" s="19">
        <v>7965.3741</v>
      </c>
      <c r="J72" s="75">
        <v>17060</v>
      </c>
      <c r="K72" s="75">
        <v>-3553.9500000000003</v>
      </c>
      <c r="L72" s="75">
        <v>-5203.68</v>
      </c>
      <c r="M72" s="75">
        <v>45881.58</v>
      </c>
      <c r="N72" s="75">
        <v>22618.2</v>
      </c>
      <c r="O72" s="75">
        <v>-29527.049999999996</v>
      </c>
      <c r="P72" s="75">
        <v>21547.679999999997</v>
      </c>
      <c r="Q72" s="75">
        <v>-88490.7</v>
      </c>
      <c r="R72" s="75">
        <v>-19667.919999999998</v>
      </c>
    </row>
    <row r="73" spans="1:18" x14ac:dyDescent="0.3">
      <c r="A73">
        <v>56</v>
      </c>
      <c r="B73" s="19">
        <v>49.447000000000003</v>
      </c>
      <c r="C73" s="19">
        <v>33.287199999999999</v>
      </c>
      <c r="D73" s="19">
        <v>11.481</v>
      </c>
      <c r="E73" s="19">
        <v>282.81130000000002</v>
      </c>
      <c r="F73" s="19">
        <v>15.740399999999999</v>
      </c>
      <c r="G73" s="19">
        <v>361.69619999999998</v>
      </c>
      <c r="H73" s="19">
        <v>4574.3681999999999</v>
      </c>
      <c r="I73" s="19">
        <v>8831.7891</v>
      </c>
      <c r="J73" s="75">
        <v>-2660</v>
      </c>
      <c r="K73" s="75">
        <v>13885.2</v>
      </c>
      <c r="L73" s="75">
        <v>-17671.2</v>
      </c>
      <c r="M73" s="75">
        <v>63122.94</v>
      </c>
      <c r="N73" s="75">
        <v>4934.88</v>
      </c>
      <c r="O73" s="75">
        <v>-16953.3</v>
      </c>
      <c r="P73" s="75">
        <v>2020.2600000000002</v>
      </c>
      <c r="Q73" s="75">
        <v>84792.3</v>
      </c>
      <c r="R73" s="75">
        <v>131471.08000000002</v>
      </c>
    </row>
    <row r="74" spans="1:18" x14ac:dyDescent="0.3">
      <c r="A74">
        <v>57</v>
      </c>
      <c r="B74" s="19">
        <v>49.302100000000003</v>
      </c>
      <c r="C74" s="19">
        <v>31.997199999999999</v>
      </c>
      <c r="D74" s="19">
        <v>11.742800000000001</v>
      </c>
      <c r="E74" s="19">
        <v>274.8236</v>
      </c>
      <c r="F74" s="19">
        <v>15.8466</v>
      </c>
      <c r="G74" s="19">
        <v>360.22190000000001</v>
      </c>
      <c r="H74" s="19">
        <v>4621.8100999999997</v>
      </c>
      <c r="I74" s="19">
        <v>9024.3032000000003</v>
      </c>
      <c r="J74" s="75">
        <v>-5558</v>
      </c>
      <c r="K74" s="75">
        <v>-22879.8</v>
      </c>
      <c r="L74" s="75">
        <v>5576.6399999999994</v>
      </c>
      <c r="M74" s="75">
        <v>32769.68</v>
      </c>
      <c r="N74" s="75">
        <v>9682.0199999999986</v>
      </c>
      <c r="O74" s="75">
        <v>-22113.350000000002</v>
      </c>
      <c r="P74" s="75">
        <v>16252.83</v>
      </c>
      <c r="Q74" s="75">
        <v>123295.12</v>
      </c>
      <c r="R74" s="75">
        <v>137025.13999999998</v>
      </c>
    </row>
    <row r="75" spans="1:18" x14ac:dyDescent="0.3">
      <c r="A75">
        <v>58</v>
      </c>
      <c r="B75" s="19">
        <v>49.128599999999999</v>
      </c>
      <c r="C75" s="19">
        <v>33.385399999999997</v>
      </c>
      <c r="D75" s="19">
        <v>12.0443</v>
      </c>
      <c r="E75" s="19">
        <v>255.5094</v>
      </c>
      <c r="F75" s="19">
        <v>15.803900000000001</v>
      </c>
      <c r="G75" s="19">
        <v>364.45569999999998</v>
      </c>
      <c r="H75" s="19">
        <v>4699.8779000000004</v>
      </c>
      <c r="I75" s="19">
        <v>8553.8053</v>
      </c>
      <c r="J75" s="75">
        <v>-9028</v>
      </c>
      <c r="K75" s="75">
        <v>16683.900000000001</v>
      </c>
      <c r="L75" s="75">
        <v>32349.84</v>
      </c>
      <c r="M75" s="75">
        <v>-40624.28</v>
      </c>
      <c r="N75" s="75">
        <v>7773.33</v>
      </c>
      <c r="O75" s="75">
        <v>-7295.0499999999993</v>
      </c>
      <c r="P75" s="75">
        <v>39673.17</v>
      </c>
      <c r="Q75" s="75">
        <v>29195.54</v>
      </c>
      <c r="R75" s="75">
        <v>68728.450000000012</v>
      </c>
    </row>
    <row r="76" spans="1:18" x14ac:dyDescent="0.3">
      <c r="A76">
        <v>59</v>
      </c>
      <c r="B76" s="19">
        <v>49.132800000000003</v>
      </c>
      <c r="C76" s="19">
        <v>32.4255</v>
      </c>
      <c r="D76" s="19">
        <v>11.6599</v>
      </c>
      <c r="E76" s="19">
        <v>280.23910000000001</v>
      </c>
      <c r="F76" s="19">
        <v>15.146699999999999</v>
      </c>
      <c r="G76" s="19">
        <v>373.07429999999999</v>
      </c>
      <c r="H76" s="19">
        <v>4634.9170999999997</v>
      </c>
      <c r="I76" s="19">
        <v>8998.2538999999997</v>
      </c>
      <c r="J76" s="75">
        <v>-8944</v>
      </c>
      <c r="K76" s="75">
        <v>-10673.25</v>
      </c>
      <c r="L76" s="75">
        <v>-1784.8799999999999</v>
      </c>
      <c r="M76" s="75">
        <v>53348.579999999994</v>
      </c>
      <c r="N76" s="75">
        <v>-21603.510000000002</v>
      </c>
      <c r="O76" s="75">
        <v>22870.05</v>
      </c>
      <c r="P76" s="75">
        <v>20184.93</v>
      </c>
      <c r="Q76" s="75">
        <v>118085.26</v>
      </c>
      <c r="R76" s="75">
        <v>171483.18</v>
      </c>
    </row>
    <row r="77" spans="1:18" x14ac:dyDescent="0.3">
      <c r="A77">
        <v>60</v>
      </c>
      <c r="B77" s="19">
        <v>49.715299999999999</v>
      </c>
      <c r="C77" s="19">
        <v>31.981000000000002</v>
      </c>
      <c r="D77" s="19">
        <v>11.839499999999999</v>
      </c>
      <c r="E77" s="19">
        <v>285.3612</v>
      </c>
      <c r="F77" s="19">
        <v>15.3904</v>
      </c>
      <c r="G77" s="19">
        <v>366.43849999999998</v>
      </c>
      <c r="H77" s="19">
        <v>4504.5805</v>
      </c>
      <c r="I77" s="19">
        <v>8319.3413999999993</v>
      </c>
      <c r="J77" s="75">
        <v>2706</v>
      </c>
      <c r="K77" s="75">
        <v>-23341.5</v>
      </c>
      <c r="L77" s="75">
        <v>14163.6</v>
      </c>
      <c r="M77" s="75">
        <v>72812.56</v>
      </c>
      <c r="N77" s="75">
        <v>-10710.12</v>
      </c>
      <c r="O77" s="75">
        <v>-355.25</v>
      </c>
      <c r="P77" s="75">
        <v>-18916.05</v>
      </c>
      <c r="Q77" s="75">
        <v>-17697.239999999998</v>
      </c>
      <c r="R77" s="75">
        <v>18662.000000000007</v>
      </c>
    </row>
    <row r="78" spans="1:18" x14ac:dyDescent="0.3">
      <c r="A78">
        <v>61</v>
      </c>
      <c r="B78" s="19">
        <v>49.456699999999998</v>
      </c>
      <c r="C78" s="19">
        <v>33.145699999999998</v>
      </c>
      <c r="D78" s="19">
        <v>12.084300000000001</v>
      </c>
      <c r="E78" s="19">
        <v>272.23379999999997</v>
      </c>
      <c r="F78" s="19">
        <v>15.553599999999999</v>
      </c>
      <c r="G78" s="19">
        <v>375.99090000000001</v>
      </c>
      <c r="H78" s="19">
        <v>4673.2271000000001</v>
      </c>
      <c r="I78" s="19">
        <v>8533.9878000000008</v>
      </c>
      <c r="J78" s="75">
        <v>-2466</v>
      </c>
      <c r="K78" s="75">
        <v>9852.4500000000007</v>
      </c>
      <c r="L78" s="75">
        <v>35901.839999999997</v>
      </c>
      <c r="M78" s="75">
        <v>22928.440000000002</v>
      </c>
      <c r="N78" s="75">
        <v>-3415.08</v>
      </c>
      <c r="O78" s="75">
        <v>33078.15</v>
      </c>
      <c r="P78" s="75">
        <v>31677.93</v>
      </c>
      <c r="Q78" s="75">
        <v>25232.04</v>
      </c>
      <c r="R78" s="75">
        <v>152789.76999999999</v>
      </c>
    </row>
    <row r="79" spans="1:18" x14ac:dyDescent="0.3">
      <c r="A79">
        <v>62</v>
      </c>
      <c r="B79" s="19">
        <v>49.459600000000002</v>
      </c>
      <c r="C79" s="19">
        <v>31.898199999999999</v>
      </c>
      <c r="D79" s="19">
        <v>11.4076</v>
      </c>
      <c r="E79" s="19">
        <v>271.82810000000001</v>
      </c>
      <c r="F79" s="19">
        <v>15.8315</v>
      </c>
      <c r="G79" s="19">
        <v>366.08010000000002</v>
      </c>
      <c r="H79" s="19">
        <v>4644.3005999999996</v>
      </c>
      <c r="I79" s="19">
        <v>8099.0793999999996</v>
      </c>
      <c r="J79" s="75">
        <v>-2408</v>
      </c>
      <c r="K79" s="75">
        <v>-25701.300000000003</v>
      </c>
      <c r="L79" s="75">
        <v>-24189.119999999999</v>
      </c>
      <c r="M79" s="75">
        <v>21386.78</v>
      </c>
      <c r="N79" s="75">
        <v>9007.0500000000011</v>
      </c>
      <c r="O79" s="75">
        <v>-1609.6499999999999</v>
      </c>
      <c r="P79" s="75">
        <v>22999.98</v>
      </c>
      <c r="Q79" s="75">
        <v>-61749.64</v>
      </c>
      <c r="R79" s="75">
        <v>-62263.899999999994</v>
      </c>
    </row>
    <row r="80" spans="1:18" x14ac:dyDescent="0.3">
      <c r="A80">
        <v>63</v>
      </c>
      <c r="B80" s="19">
        <v>49.794699999999999</v>
      </c>
      <c r="C80" s="19">
        <v>32.235599999999998</v>
      </c>
      <c r="D80" s="19">
        <v>11.670299999999999</v>
      </c>
      <c r="E80" s="19">
        <v>255.26920000000001</v>
      </c>
      <c r="F80" s="19">
        <v>15.8287</v>
      </c>
      <c r="G80" s="19">
        <v>365.11939999999998</v>
      </c>
      <c r="H80" s="19">
        <v>4531.4332000000004</v>
      </c>
      <c r="I80" s="19">
        <v>8835.5509999999995</v>
      </c>
      <c r="J80" s="75">
        <v>4294</v>
      </c>
      <c r="K80" s="75">
        <v>-16085.4</v>
      </c>
      <c r="L80" s="75">
        <v>-861.36</v>
      </c>
      <c r="M80" s="75">
        <v>-41537.040000000001</v>
      </c>
      <c r="N80" s="75">
        <v>8881.89</v>
      </c>
      <c r="O80" s="75">
        <v>-4972.1000000000004</v>
      </c>
      <c r="P80" s="75">
        <v>-10860.24</v>
      </c>
      <c r="Q80" s="75">
        <v>85544.680000000008</v>
      </c>
      <c r="R80" s="75">
        <v>24404.430000000008</v>
      </c>
    </row>
    <row r="81" spans="1:18" x14ac:dyDescent="0.3">
      <c r="A81">
        <v>64</v>
      </c>
      <c r="B81" s="19">
        <v>49.360999999999997</v>
      </c>
      <c r="C81" s="19">
        <v>32.982300000000002</v>
      </c>
      <c r="D81" s="19">
        <v>11.507400000000001</v>
      </c>
      <c r="E81" s="19">
        <v>268.00299999999999</v>
      </c>
      <c r="F81" s="19">
        <v>15.765499999999999</v>
      </c>
      <c r="G81" s="19">
        <v>367.649</v>
      </c>
      <c r="H81" s="19">
        <v>4585.2825999999995</v>
      </c>
      <c r="I81" s="19">
        <v>7687.3665000000001</v>
      </c>
      <c r="J81" s="75">
        <v>-4380</v>
      </c>
      <c r="K81" s="75">
        <v>5195.5499999999993</v>
      </c>
      <c r="L81" s="75">
        <v>-15326.880000000001</v>
      </c>
      <c r="M81" s="75">
        <v>6851.4</v>
      </c>
      <c r="N81" s="75">
        <v>6056.85</v>
      </c>
      <c r="O81" s="75">
        <v>3881.5</v>
      </c>
      <c r="P81" s="75">
        <v>5294.58</v>
      </c>
      <c r="Q81" s="75">
        <v>-144092.22</v>
      </c>
      <c r="R81" s="75">
        <v>-136519.22</v>
      </c>
    </row>
    <row r="82" spans="1:18" x14ac:dyDescent="0.3">
      <c r="A82">
        <v>65</v>
      </c>
      <c r="B82" s="19">
        <v>49.7</v>
      </c>
      <c r="C82" s="19">
        <v>32.460700000000003</v>
      </c>
      <c r="D82" s="19">
        <v>11.454499999999999</v>
      </c>
      <c r="E82" s="19">
        <v>259.78449999999998</v>
      </c>
      <c r="F82" s="19">
        <v>15.9436</v>
      </c>
      <c r="G82" s="19">
        <v>372.35570000000001</v>
      </c>
      <c r="H82" s="19">
        <v>4526.8451999999997</v>
      </c>
      <c r="I82" s="19">
        <v>8600.9629999999997</v>
      </c>
      <c r="J82" s="75">
        <v>2400</v>
      </c>
      <c r="K82" s="75">
        <v>-9670.0499999999993</v>
      </c>
      <c r="L82" s="75">
        <v>-20024.400000000001</v>
      </c>
      <c r="M82" s="75">
        <v>-24378.899999999998</v>
      </c>
      <c r="N82" s="75">
        <v>14017.92</v>
      </c>
      <c r="O82" s="75">
        <v>20354.949999999997</v>
      </c>
      <c r="P82" s="75">
        <v>-12236.640000000001</v>
      </c>
      <c r="Q82" s="75">
        <v>38627.08</v>
      </c>
      <c r="R82" s="75">
        <v>9089.9599999999991</v>
      </c>
    </row>
    <row r="83" spans="1:18" x14ac:dyDescent="0.3">
      <c r="A83">
        <v>66</v>
      </c>
      <c r="B83" s="19">
        <v>49.204799999999999</v>
      </c>
      <c r="C83" s="19">
        <v>33.2577</v>
      </c>
      <c r="D83" s="19">
        <v>11.855</v>
      </c>
      <c r="E83" s="19">
        <v>280.5994</v>
      </c>
      <c r="F83" s="19">
        <v>15.5654</v>
      </c>
      <c r="G83" s="19">
        <v>370.43239999999997</v>
      </c>
      <c r="H83" s="19">
        <v>4592.4168</v>
      </c>
      <c r="I83" s="19">
        <v>8148.7858999999999</v>
      </c>
      <c r="J83" s="75">
        <v>-7504</v>
      </c>
      <c r="K83" s="75">
        <v>13044.45</v>
      </c>
      <c r="L83" s="75">
        <v>15539.999999999998</v>
      </c>
      <c r="M83" s="75">
        <v>54717.72</v>
      </c>
      <c r="N83" s="75">
        <v>-2887.6200000000003</v>
      </c>
      <c r="O83" s="75">
        <v>13623.4</v>
      </c>
      <c r="P83" s="75">
        <v>7434.84</v>
      </c>
      <c r="Q83" s="75">
        <v>-51808.34</v>
      </c>
      <c r="R83" s="75">
        <v>42160.45</v>
      </c>
    </row>
    <row r="84" spans="1:18" x14ac:dyDescent="0.3">
      <c r="A84">
        <v>67</v>
      </c>
      <c r="B84" s="19">
        <v>49.171500000000002</v>
      </c>
      <c r="C84" s="19">
        <v>32.377200000000002</v>
      </c>
      <c r="D84" s="19">
        <v>11.9939</v>
      </c>
      <c r="E84" s="19">
        <v>281.00470000000001</v>
      </c>
      <c r="F84" s="19">
        <v>15.842700000000001</v>
      </c>
      <c r="G84" s="19">
        <v>358.928</v>
      </c>
      <c r="H84" s="19">
        <v>4547.0977999999996</v>
      </c>
      <c r="I84" s="19">
        <v>8218.2950999999994</v>
      </c>
      <c r="J84" s="75">
        <v>-8169.9999999999991</v>
      </c>
      <c r="K84" s="75">
        <v>-12049.800000000001</v>
      </c>
      <c r="L84" s="75">
        <v>27874.32</v>
      </c>
      <c r="M84" s="75">
        <v>56257.86</v>
      </c>
      <c r="N84" s="75">
        <v>9507.69</v>
      </c>
      <c r="O84" s="75">
        <v>-26642</v>
      </c>
      <c r="P84" s="75">
        <v>-6160.8600000000006</v>
      </c>
      <c r="Q84" s="75">
        <v>-37906.5</v>
      </c>
      <c r="R84" s="75">
        <v>2710.7100000000064</v>
      </c>
    </row>
    <row r="85" spans="1:18" x14ac:dyDescent="0.3">
      <c r="A85">
        <v>68</v>
      </c>
      <c r="B85" s="19">
        <v>49.644300000000001</v>
      </c>
      <c r="C85" s="19">
        <v>32.403700000000001</v>
      </c>
      <c r="D85" s="19">
        <v>11.376899999999999</v>
      </c>
      <c r="E85" s="19">
        <v>270.83850000000001</v>
      </c>
      <c r="F85" s="19">
        <v>15.437799999999999</v>
      </c>
      <c r="G85" s="19">
        <v>358.40550000000002</v>
      </c>
      <c r="H85" s="19">
        <v>4550.3729000000003</v>
      </c>
      <c r="I85" s="19">
        <v>8326.4452000000001</v>
      </c>
      <c r="J85" s="75">
        <v>1286</v>
      </c>
      <c r="K85" s="75">
        <v>-11294.55</v>
      </c>
      <c r="L85" s="75">
        <v>-26915.279999999999</v>
      </c>
      <c r="M85" s="75">
        <v>17626.3</v>
      </c>
      <c r="N85" s="75">
        <v>-8591.34</v>
      </c>
      <c r="O85" s="75">
        <v>-28470.749999999996</v>
      </c>
      <c r="P85" s="75">
        <v>-5178.33</v>
      </c>
      <c r="Q85" s="75">
        <v>-16276.480000000001</v>
      </c>
      <c r="R85" s="75">
        <v>-77814.429999999993</v>
      </c>
    </row>
    <row r="86" spans="1:18" x14ac:dyDescent="0.3">
      <c r="A86">
        <v>69</v>
      </c>
      <c r="B86" s="19">
        <v>48.953899999999997</v>
      </c>
      <c r="C86" s="19">
        <v>32.776800000000001</v>
      </c>
      <c r="D86" s="19">
        <v>11.639099999999999</v>
      </c>
      <c r="E86" s="19">
        <v>276.661</v>
      </c>
      <c r="F86" s="19">
        <v>15.8292</v>
      </c>
      <c r="G86" s="19">
        <v>365.11939999999998</v>
      </c>
      <c r="H86" s="19">
        <v>4686.5027</v>
      </c>
      <c r="I86" s="19">
        <v>8967.1905000000006</v>
      </c>
      <c r="J86" s="75">
        <v>-12522</v>
      </c>
      <c r="K86" s="75">
        <v>-661.19999999999993</v>
      </c>
      <c r="L86" s="75">
        <v>-3631.92</v>
      </c>
      <c r="M86" s="75">
        <v>39751.800000000003</v>
      </c>
      <c r="N86" s="75">
        <v>8904.24</v>
      </c>
      <c r="O86" s="75">
        <v>-4972.1000000000004</v>
      </c>
      <c r="P86" s="75">
        <v>35660.61</v>
      </c>
      <c r="Q86" s="75">
        <v>111872.57999999999</v>
      </c>
      <c r="R86" s="75">
        <v>174402.00999999998</v>
      </c>
    </row>
    <row r="87" spans="1:18" x14ac:dyDescent="0.3">
      <c r="A87">
        <v>70</v>
      </c>
      <c r="B87" s="19">
        <v>49.508899999999997</v>
      </c>
      <c r="C87" s="19">
        <v>32.917499999999997</v>
      </c>
      <c r="D87" s="19">
        <v>11.769</v>
      </c>
      <c r="E87" s="19">
        <v>247.6781</v>
      </c>
      <c r="F87" s="19">
        <v>15.615399999999999</v>
      </c>
      <c r="G87" s="19">
        <v>369.3648</v>
      </c>
      <c r="H87" s="19">
        <v>4572.9982</v>
      </c>
      <c r="I87" s="19">
        <v>8642.4330000000009</v>
      </c>
      <c r="J87" s="75">
        <v>-1422</v>
      </c>
      <c r="K87" s="75">
        <v>3348.75</v>
      </c>
      <c r="L87" s="75">
        <v>7903.2</v>
      </c>
      <c r="M87" s="75">
        <v>-70383.22</v>
      </c>
      <c r="N87" s="75">
        <v>-652.62</v>
      </c>
      <c r="O87" s="75">
        <v>9886.8000000000011</v>
      </c>
      <c r="P87" s="75">
        <v>1609.26</v>
      </c>
      <c r="Q87" s="75">
        <v>46921.08</v>
      </c>
      <c r="R87" s="75">
        <v>-2788.75</v>
      </c>
    </row>
    <row r="88" spans="1:18" x14ac:dyDescent="0.3">
      <c r="A88">
        <v>71</v>
      </c>
      <c r="B88" s="19">
        <v>50.117800000000003</v>
      </c>
      <c r="C88" s="19">
        <v>32.9011</v>
      </c>
      <c r="D88" s="19">
        <v>11.6866</v>
      </c>
      <c r="E88" s="19">
        <v>272.94459999999998</v>
      </c>
      <c r="F88" s="19">
        <v>15.676</v>
      </c>
      <c r="G88" s="19">
        <v>367.62139999999999</v>
      </c>
      <c r="H88" s="19">
        <v>4557.7775000000001</v>
      </c>
      <c r="I88" s="19">
        <v>8291.8495000000003</v>
      </c>
      <c r="J88" s="75">
        <v>10755.999999999998</v>
      </c>
      <c r="K88" s="75">
        <v>2881.35</v>
      </c>
      <c r="L88" s="75">
        <v>586.08000000000004</v>
      </c>
      <c r="M88" s="75">
        <v>25629.48</v>
      </c>
      <c r="N88" s="75">
        <v>2056.1999999999998</v>
      </c>
      <c r="O88" s="75">
        <v>3784.8999999999996</v>
      </c>
      <c r="P88" s="75">
        <v>-2956.9500000000003</v>
      </c>
      <c r="Q88" s="75">
        <v>-23195.62</v>
      </c>
      <c r="R88" s="75">
        <v>19541.439999999999</v>
      </c>
    </row>
    <row r="89" spans="1:18" x14ac:dyDescent="0.3">
      <c r="A89">
        <v>72</v>
      </c>
      <c r="B89" s="19">
        <v>49.280099999999997</v>
      </c>
      <c r="C89" s="19">
        <v>32.146299999999997</v>
      </c>
      <c r="D89" s="19">
        <v>11.894600000000001</v>
      </c>
      <c r="E89" s="19">
        <v>266.32549999999998</v>
      </c>
      <c r="F89" s="19">
        <v>15.3467</v>
      </c>
      <c r="G89" s="19">
        <v>362.19799999999998</v>
      </c>
      <c r="H89" s="19">
        <v>4498.3409000000001</v>
      </c>
      <c r="I89" s="19">
        <v>8826.7952999999998</v>
      </c>
      <c r="J89" s="75">
        <v>-5998</v>
      </c>
      <c r="K89" s="75">
        <v>-18630.449999999997</v>
      </c>
      <c r="L89" s="75">
        <v>19056.48</v>
      </c>
      <c r="M89" s="75">
        <v>476.9</v>
      </c>
      <c r="N89" s="75">
        <v>-12663.51</v>
      </c>
      <c r="O89" s="75">
        <v>-15196.999999999998</v>
      </c>
      <c r="P89" s="75">
        <v>-20787.93</v>
      </c>
      <c r="Q89" s="75">
        <v>83793.539999999994</v>
      </c>
      <c r="R89" s="75">
        <v>30050.03</v>
      </c>
    </row>
    <row r="90" spans="1:18" x14ac:dyDescent="0.3">
      <c r="A90">
        <v>73</v>
      </c>
      <c r="B90" s="19">
        <v>49.892699999999998</v>
      </c>
      <c r="C90" s="19">
        <v>33.5383</v>
      </c>
      <c r="D90" s="19">
        <v>11.9756</v>
      </c>
      <c r="E90" s="19">
        <v>280.8347</v>
      </c>
      <c r="F90" s="19">
        <v>15.6761</v>
      </c>
      <c r="G90" s="19">
        <v>372.44909999999999</v>
      </c>
      <c r="H90" s="19">
        <v>4693.3544000000002</v>
      </c>
      <c r="I90" s="19">
        <v>8697.4040000000005</v>
      </c>
      <c r="J90" s="75">
        <v>6254</v>
      </c>
      <c r="K90" s="75">
        <v>21041.55</v>
      </c>
      <c r="L90" s="75">
        <v>26249.279999999999</v>
      </c>
      <c r="M90" s="75">
        <v>55611.86</v>
      </c>
      <c r="N90" s="75">
        <v>2060.67</v>
      </c>
      <c r="O90" s="75">
        <v>20681.849999999999</v>
      </c>
      <c r="P90" s="75">
        <v>37716.120000000003</v>
      </c>
      <c r="Q90" s="75">
        <v>57915.28</v>
      </c>
      <c r="R90" s="75">
        <v>227530.61</v>
      </c>
    </row>
    <row r="91" spans="1:18" x14ac:dyDescent="0.3">
      <c r="A91">
        <v>74</v>
      </c>
      <c r="B91" s="19">
        <v>49.421900000000001</v>
      </c>
      <c r="C91" s="19">
        <v>32.624000000000002</v>
      </c>
      <c r="D91" s="19">
        <v>11.7553</v>
      </c>
      <c r="E91" s="19">
        <v>271.04849999999999</v>
      </c>
      <c r="F91" s="19">
        <v>15.839700000000001</v>
      </c>
      <c r="G91" s="19">
        <v>358.74849999999998</v>
      </c>
      <c r="H91" s="19">
        <v>4568.6113999999998</v>
      </c>
      <c r="I91" s="19">
        <v>8703.1276999999991</v>
      </c>
      <c r="J91" s="75">
        <v>-3162</v>
      </c>
      <c r="K91" s="75">
        <v>-5016</v>
      </c>
      <c r="L91" s="75">
        <v>6686.64</v>
      </c>
      <c r="M91" s="75">
        <v>18424.3</v>
      </c>
      <c r="N91" s="75">
        <v>9373.59</v>
      </c>
      <c r="O91" s="75">
        <v>-27270.25</v>
      </c>
      <c r="P91" s="75">
        <v>293.22000000000003</v>
      </c>
      <c r="Q91" s="75">
        <v>59060.02</v>
      </c>
      <c r="R91" s="75">
        <v>58389.52</v>
      </c>
    </row>
    <row r="92" spans="1:18" x14ac:dyDescent="0.3">
      <c r="A92">
        <v>75</v>
      </c>
      <c r="B92" s="19">
        <v>49.316499999999998</v>
      </c>
      <c r="C92" s="19">
        <v>32.578299999999999</v>
      </c>
      <c r="D92" s="19">
        <v>11.831</v>
      </c>
      <c r="E92" s="19">
        <v>260.2149</v>
      </c>
      <c r="F92" s="19">
        <v>15.867100000000001</v>
      </c>
      <c r="G92" s="19">
        <v>363.2824</v>
      </c>
      <c r="H92" s="19">
        <v>4611.9294</v>
      </c>
      <c r="I92" s="19">
        <v>8712.4992999999995</v>
      </c>
      <c r="J92" s="75">
        <v>-5270</v>
      </c>
      <c r="K92" s="75">
        <v>-6318.45</v>
      </c>
      <c r="L92" s="75">
        <v>13408.8</v>
      </c>
      <c r="M92" s="75">
        <v>-22743.38</v>
      </c>
      <c r="N92" s="75">
        <v>10598.37</v>
      </c>
      <c r="O92" s="75">
        <v>-11401.6</v>
      </c>
      <c r="P92" s="75">
        <v>13288.62</v>
      </c>
      <c r="Q92" s="75">
        <v>60934.34</v>
      </c>
      <c r="R92" s="75">
        <v>52496.7</v>
      </c>
    </row>
    <row r="93" spans="1:18" x14ac:dyDescent="0.3">
      <c r="A93">
        <v>76</v>
      </c>
      <c r="B93" s="19">
        <v>50.154600000000002</v>
      </c>
      <c r="C93" s="19">
        <v>31.9163</v>
      </c>
      <c r="D93" s="19">
        <v>11.983499999999999</v>
      </c>
      <c r="E93" s="19">
        <v>272.66730000000001</v>
      </c>
      <c r="F93" s="19">
        <v>15.3126</v>
      </c>
      <c r="G93" s="19">
        <v>358.49</v>
      </c>
      <c r="H93" s="19">
        <v>4452.3959000000004</v>
      </c>
      <c r="I93" s="19">
        <v>7988.3923999999997</v>
      </c>
      <c r="J93" s="75">
        <v>11492</v>
      </c>
      <c r="K93" s="75">
        <v>-25185.45</v>
      </c>
      <c r="L93" s="75">
        <v>26950.799999999999</v>
      </c>
      <c r="M93" s="75">
        <v>24575.739999999998</v>
      </c>
      <c r="N93" s="75">
        <v>-14187.78</v>
      </c>
      <c r="O93" s="75">
        <v>-28175.000000000004</v>
      </c>
      <c r="P93" s="75">
        <v>-34571.43</v>
      </c>
      <c r="Q93" s="75">
        <v>-83887.040000000008</v>
      </c>
      <c r="R93" s="75">
        <v>-122988.16000000002</v>
      </c>
    </row>
    <row r="94" spans="1:18" x14ac:dyDescent="0.3">
      <c r="A94">
        <v>77</v>
      </c>
      <c r="B94" s="19">
        <v>49.698300000000003</v>
      </c>
      <c r="C94" s="19">
        <v>33.366500000000002</v>
      </c>
      <c r="D94" s="19">
        <v>11.7464</v>
      </c>
      <c r="E94" s="19">
        <v>267.0915</v>
      </c>
      <c r="F94" s="19">
        <v>15.8085</v>
      </c>
      <c r="G94" s="19">
        <v>363.048</v>
      </c>
      <c r="H94" s="19">
        <v>4571.8203999999996</v>
      </c>
      <c r="I94" s="19">
        <v>8574.4725999999991</v>
      </c>
      <c r="J94" s="75">
        <v>2366</v>
      </c>
      <c r="K94" s="75">
        <v>16145.25</v>
      </c>
      <c r="L94" s="75">
        <v>5896.32</v>
      </c>
      <c r="M94" s="75">
        <v>3387.7</v>
      </c>
      <c r="N94" s="75">
        <v>7978.95</v>
      </c>
      <c r="O94" s="75">
        <v>-12222</v>
      </c>
      <c r="P94" s="75">
        <v>1255.92</v>
      </c>
      <c r="Q94" s="75">
        <v>33329</v>
      </c>
      <c r="R94" s="75">
        <v>58137.14</v>
      </c>
    </row>
    <row r="95" spans="1:18" x14ac:dyDescent="0.3">
      <c r="A95">
        <v>78</v>
      </c>
      <c r="B95" s="19">
        <v>49.6937</v>
      </c>
      <c r="C95" s="19">
        <v>32.761400000000002</v>
      </c>
      <c r="D95" s="19">
        <v>11.9114</v>
      </c>
      <c r="E95" s="19">
        <v>248.2936</v>
      </c>
      <c r="F95" s="19">
        <v>15.394299999999999</v>
      </c>
      <c r="G95" s="19">
        <v>373.28750000000002</v>
      </c>
      <c r="H95" s="19">
        <v>4542.0248000000001</v>
      </c>
      <c r="I95" s="19">
        <v>8223.9698000000008</v>
      </c>
      <c r="J95" s="75">
        <v>2274</v>
      </c>
      <c r="K95" s="75">
        <v>-1100.1000000000001</v>
      </c>
      <c r="L95" s="75">
        <v>20548.32</v>
      </c>
      <c r="M95" s="75">
        <v>-68044.320000000007</v>
      </c>
      <c r="N95" s="75">
        <v>-10535.789999999999</v>
      </c>
      <c r="O95" s="75">
        <v>23616.25</v>
      </c>
      <c r="P95" s="75">
        <v>-7682.76</v>
      </c>
      <c r="Q95" s="75">
        <v>-36771.56</v>
      </c>
      <c r="R95" s="75">
        <v>-77695.960000000006</v>
      </c>
    </row>
    <row r="96" spans="1:18" x14ac:dyDescent="0.3">
      <c r="A96">
        <v>79</v>
      </c>
      <c r="B96" s="19">
        <v>49.476799999999997</v>
      </c>
      <c r="C96" s="19">
        <v>32.655299999999997</v>
      </c>
      <c r="D96" s="19">
        <v>11.5299</v>
      </c>
      <c r="E96" s="19">
        <v>265.9597</v>
      </c>
      <c r="F96" s="19">
        <v>15.1587</v>
      </c>
      <c r="G96" s="19">
        <v>376.56029999999998</v>
      </c>
      <c r="H96" s="19">
        <v>4623.8991999999998</v>
      </c>
      <c r="I96" s="19">
        <v>8881.2494999999999</v>
      </c>
      <c r="J96" s="75">
        <v>-2064</v>
      </c>
      <c r="K96" s="75">
        <v>-4123.95</v>
      </c>
      <c r="L96" s="75">
        <v>-13328.880000000001</v>
      </c>
      <c r="M96" s="75">
        <v>-913.1400000000001</v>
      </c>
      <c r="N96" s="75">
        <v>-21067.11</v>
      </c>
      <c r="O96" s="75">
        <v>35071.050000000003</v>
      </c>
      <c r="P96" s="75">
        <v>16879.560000000001</v>
      </c>
      <c r="Q96" s="75">
        <v>94684.38</v>
      </c>
      <c r="R96" s="75">
        <v>105137.91</v>
      </c>
    </row>
    <row r="97" spans="1:18" x14ac:dyDescent="0.3">
      <c r="A97">
        <v>80</v>
      </c>
      <c r="B97" s="19">
        <v>48.9998</v>
      </c>
      <c r="C97" s="19">
        <v>33.491799999999998</v>
      </c>
      <c r="D97" s="19">
        <v>11.420400000000001</v>
      </c>
      <c r="E97" s="19">
        <v>273.38229999999999</v>
      </c>
      <c r="F97" s="19">
        <v>15.597799999999999</v>
      </c>
      <c r="G97" s="19">
        <v>368.11590000000001</v>
      </c>
      <c r="H97" s="19">
        <v>4478.4152000000004</v>
      </c>
      <c r="I97" s="19">
        <v>9088.5997000000007</v>
      </c>
      <c r="J97" s="75">
        <v>-11604.000000000002</v>
      </c>
      <c r="K97" s="75">
        <v>19716.3</v>
      </c>
      <c r="L97" s="75">
        <v>-23052.48</v>
      </c>
      <c r="M97" s="75">
        <v>27292.739999999998</v>
      </c>
      <c r="N97" s="75">
        <v>-1439.34</v>
      </c>
      <c r="O97" s="75">
        <v>5515.6500000000005</v>
      </c>
      <c r="P97" s="75">
        <v>-26765.64</v>
      </c>
      <c r="Q97" s="75">
        <v>136154.42000000001</v>
      </c>
      <c r="R97" s="75">
        <v>125817.65000000001</v>
      </c>
    </row>
    <row r="98" spans="1:18" x14ac:dyDescent="0.3">
      <c r="A98">
        <v>81</v>
      </c>
      <c r="B98" s="19">
        <v>49.62</v>
      </c>
      <c r="C98" s="19">
        <v>32.442999999999998</v>
      </c>
      <c r="D98" s="19">
        <v>11.8521</v>
      </c>
      <c r="E98" s="19">
        <v>263.94799999999998</v>
      </c>
      <c r="F98" s="19">
        <v>16.2193</v>
      </c>
      <c r="G98" s="19">
        <v>368.8295</v>
      </c>
      <c r="H98" s="19">
        <v>4719.5349999999999</v>
      </c>
      <c r="I98" s="19">
        <v>8789.0655999999999</v>
      </c>
      <c r="J98" s="75">
        <v>800</v>
      </c>
      <c r="K98" s="75">
        <v>-10174.5</v>
      </c>
      <c r="L98" s="75">
        <v>15282.48</v>
      </c>
      <c r="M98" s="75">
        <v>-8557.5999999999985</v>
      </c>
      <c r="N98" s="75">
        <v>26341.710000000003</v>
      </c>
      <c r="O98" s="75">
        <v>8013.2499999999991</v>
      </c>
      <c r="P98" s="75">
        <v>45570.3</v>
      </c>
      <c r="Q98" s="75">
        <v>76247.600000000006</v>
      </c>
      <c r="R98" s="75">
        <v>153523.24000000002</v>
      </c>
    </row>
    <row r="99" spans="1:18" x14ac:dyDescent="0.3">
      <c r="A99">
        <v>82</v>
      </c>
      <c r="B99" s="19">
        <v>49.772100000000002</v>
      </c>
      <c r="C99" s="19">
        <v>32.8354</v>
      </c>
      <c r="D99" s="19">
        <v>11.3078</v>
      </c>
      <c r="E99" s="19">
        <v>278.87139999999999</v>
      </c>
      <c r="F99" s="19">
        <v>16.174399999999999</v>
      </c>
      <c r="G99" s="19">
        <v>368.26850000000002</v>
      </c>
      <c r="H99" s="19">
        <v>4508.9399000000003</v>
      </c>
      <c r="I99" s="19">
        <v>8854.1273999999994</v>
      </c>
      <c r="J99" s="75">
        <v>3842</v>
      </c>
      <c r="K99" s="75">
        <v>1008.9</v>
      </c>
      <c r="L99" s="75">
        <v>-33051.360000000001</v>
      </c>
      <c r="M99" s="75">
        <v>48151.32</v>
      </c>
      <c r="N99" s="75">
        <v>24334.68</v>
      </c>
      <c r="O99" s="75">
        <v>6049.75</v>
      </c>
      <c r="P99" s="75">
        <v>-17608.23</v>
      </c>
      <c r="Q99" s="75">
        <v>89259.96</v>
      </c>
      <c r="R99" s="75">
        <v>121987.02</v>
      </c>
    </row>
    <row r="100" spans="1:18" x14ac:dyDescent="0.3">
      <c r="A100">
        <v>83</v>
      </c>
      <c r="B100" s="19">
        <v>50.138800000000003</v>
      </c>
      <c r="C100" s="19">
        <v>31.941700000000001</v>
      </c>
      <c r="D100" s="19">
        <v>11.889900000000001</v>
      </c>
      <c r="E100" s="19">
        <v>267.6626</v>
      </c>
      <c r="F100" s="19">
        <v>15.539199999999999</v>
      </c>
      <c r="G100" s="19">
        <v>368.20400000000001</v>
      </c>
      <c r="H100" s="19">
        <v>4542.5159999999996</v>
      </c>
      <c r="I100" s="19">
        <v>7482.2168000000001</v>
      </c>
      <c r="J100" s="75">
        <v>11176</v>
      </c>
      <c r="K100" s="75">
        <v>-24461.55</v>
      </c>
      <c r="L100" s="75">
        <v>18639.12</v>
      </c>
      <c r="M100" s="75">
        <v>5557.8799999999992</v>
      </c>
      <c r="N100" s="75">
        <v>-4058.76</v>
      </c>
      <c r="O100" s="75">
        <v>5824</v>
      </c>
      <c r="P100" s="75">
        <v>-7535.4</v>
      </c>
      <c r="Q100" s="75">
        <v>-185122.16</v>
      </c>
      <c r="R100" s="75">
        <v>-179980.87</v>
      </c>
    </row>
    <row r="101" spans="1:18" x14ac:dyDescent="0.3">
      <c r="A101">
        <v>84</v>
      </c>
      <c r="B101" s="19">
        <v>49.971400000000003</v>
      </c>
      <c r="C101" s="19">
        <v>33.203899999999997</v>
      </c>
      <c r="D101" s="19">
        <v>11.409599999999999</v>
      </c>
      <c r="E101" s="19">
        <v>262.07639999999998</v>
      </c>
      <c r="F101" s="19">
        <v>15.6769</v>
      </c>
      <c r="G101" s="19">
        <v>364.67239999999998</v>
      </c>
      <c r="H101" s="19">
        <v>4647.5989</v>
      </c>
      <c r="I101" s="19">
        <v>8168.9951000000001</v>
      </c>
      <c r="J101" s="75">
        <v>7828.0000000000009</v>
      </c>
      <c r="K101" s="75">
        <v>11511.15</v>
      </c>
      <c r="L101" s="75">
        <v>-24011.519999999997</v>
      </c>
      <c r="M101" s="75">
        <v>-15669.679999999998</v>
      </c>
      <c r="N101" s="75">
        <v>2096.4299999999998</v>
      </c>
      <c r="O101" s="75">
        <v>-6536.5999999999995</v>
      </c>
      <c r="P101" s="75">
        <v>23989.47</v>
      </c>
      <c r="Q101" s="75">
        <v>-47766.5</v>
      </c>
      <c r="R101" s="75">
        <v>-48559.249999999993</v>
      </c>
    </row>
    <row r="102" spans="1:18" x14ac:dyDescent="0.3">
      <c r="A102">
        <v>85</v>
      </c>
      <c r="B102" s="19">
        <v>48.695799999999998</v>
      </c>
      <c r="C102" s="19">
        <v>32.732599999999998</v>
      </c>
      <c r="D102" s="19">
        <v>11.3949</v>
      </c>
      <c r="E102" s="19">
        <v>276.2681</v>
      </c>
      <c r="F102" s="19">
        <v>15.686400000000001</v>
      </c>
      <c r="G102" s="19">
        <v>365.72329999999999</v>
      </c>
      <c r="H102" s="19">
        <v>4576.3590000000004</v>
      </c>
      <c r="I102" s="19">
        <v>8211.2042000000001</v>
      </c>
      <c r="J102" s="75">
        <v>-17684</v>
      </c>
      <c r="K102" s="75">
        <v>-1920.9</v>
      </c>
      <c r="L102" s="75">
        <v>-25316.880000000001</v>
      </c>
      <c r="M102" s="75">
        <v>38258.78</v>
      </c>
      <c r="N102" s="75">
        <v>2521.08</v>
      </c>
      <c r="O102" s="75">
        <v>-2858.45</v>
      </c>
      <c r="P102" s="75">
        <v>2617.5</v>
      </c>
      <c r="Q102" s="75">
        <v>-39324.68</v>
      </c>
      <c r="R102" s="75">
        <v>-43707.55</v>
      </c>
    </row>
    <row r="103" spans="1:18" x14ac:dyDescent="0.3">
      <c r="A103">
        <v>86</v>
      </c>
      <c r="B103" s="19">
        <v>49.6008</v>
      </c>
      <c r="C103" s="19">
        <v>32.825099999999999</v>
      </c>
      <c r="D103" s="19">
        <v>11.581300000000001</v>
      </c>
      <c r="E103" s="19">
        <v>270.03480000000002</v>
      </c>
      <c r="F103" s="19">
        <v>15.6883</v>
      </c>
      <c r="G103" s="19">
        <v>379.625</v>
      </c>
      <c r="H103" s="19">
        <v>4456.8140000000003</v>
      </c>
      <c r="I103" s="19">
        <v>8920.9318999999996</v>
      </c>
      <c r="J103" s="75">
        <v>416</v>
      </c>
      <c r="K103" s="75">
        <v>715.35</v>
      </c>
      <c r="L103" s="75">
        <v>-8764.56</v>
      </c>
      <c r="M103" s="75">
        <v>14572.24</v>
      </c>
      <c r="N103" s="75">
        <v>2606.0099999999998</v>
      </c>
      <c r="O103" s="75">
        <v>45797.5</v>
      </c>
      <c r="P103" s="75">
        <v>-33246</v>
      </c>
      <c r="Q103" s="75">
        <v>102620.85999999999</v>
      </c>
      <c r="R103" s="75">
        <v>124717.4</v>
      </c>
    </row>
    <row r="104" spans="1:18" x14ac:dyDescent="0.3">
      <c r="A104">
        <v>87</v>
      </c>
      <c r="B104" s="19">
        <v>50.145499999999998</v>
      </c>
      <c r="C104" s="19">
        <v>32.616300000000003</v>
      </c>
      <c r="D104" s="19">
        <v>11.5382</v>
      </c>
      <c r="E104" s="19">
        <v>278.31630000000001</v>
      </c>
      <c r="F104" s="19">
        <v>15.7181</v>
      </c>
      <c r="G104" s="19">
        <v>362.3141</v>
      </c>
      <c r="H104" s="19">
        <v>4591.8305</v>
      </c>
      <c r="I104" s="19">
        <v>7481.4354000000003</v>
      </c>
      <c r="J104" s="75">
        <v>11310</v>
      </c>
      <c r="K104" s="75">
        <v>-5235.45</v>
      </c>
      <c r="L104" s="75">
        <v>-12591.84</v>
      </c>
      <c r="M104" s="75">
        <v>46041.94</v>
      </c>
      <c r="N104" s="75">
        <v>3938.0699999999997</v>
      </c>
      <c r="O104" s="75">
        <v>-14790.650000000001</v>
      </c>
      <c r="P104" s="75">
        <v>7258.95</v>
      </c>
      <c r="Q104" s="75">
        <v>-185278.44</v>
      </c>
      <c r="R104" s="75">
        <v>-149347.42000000001</v>
      </c>
    </row>
    <row r="105" spans="1:18" x14ac:dyDescent="0.3">
      <c r="A105">
        <v>88</v>
      </c>
      <c r="B105" s="19">
        <v>49.4788</v>
      </c>
      <c r="C105" s="19">
        <v>32.258899999999997</v>
      </c>
      <c r="D105" s="19">
        <v>11.2996</v>
      </c>
      <c r="E105" s="19">
        <v>271.9701</v>
      </c>
      <c r="F105" s="19">
        <v>15.834199999999999</v>
      </c>
      <c r="G105" s="19">
        <v>360.50409999999999</v>
      </c>
      <c r="H105" s="19">
        <v>4651.2902999999997</v>
      </c>
      <c r="I105" s="19">
        <v>8088.2196000000004</v>
      </c>
      <c r="J105" s="75">
        <v>-2024</v>
      </c>
      <c r="K105" s="75">
        <v>-15421.35</v>
      </c>
      <c r="L105" s="75">
        <v>-33779.520000000004</v>
      </c>
      <c r="M105" s="75">
        <v>21926.38</v>
      </c>
      <c r="N105" s="75">
        <v>9127.74</v>
      </c>
      <c r="O105" s="75">
        <v>-21125.649999999998</v>
      </c>
      <c r="P105" s="75">
        <v>25096.89</v>
      </c>
      <c r="Q105" s="75">
        <v>-63921.599999999999</v>
      </c>
      <c r="R105" s="75">
        <v>-80121.109999999986</v>
      </c>
    </row>
    <row r="106" spans="1:18" x14ac:dyDescent="0.3">
      <c r="A106">
        <v>89</v>
      </c>
      <c r="B106" s="19">
        <v>49.752099999999999</v>
      </c>
      <c r="C106" s="19">
        <v>33.072099999999999</v>
      </c>
      <c r="D106" s="19">
        <v>11.779</v>
      </c>
      <c r="E106" s="19">
        <v>259.3039</v>
      </c>
      <c r="F106" s="19">
        <v>15.382999999999999</v>
      </c>
      <c r="G106" s="19">
        <v>358.4119</v>
      </c>
      <c r="H106" s="19">
        <v>4592.1934000000001</v>
      </c>
      <c r="I106" s="19">
        <v>8902.2050999999992</v>
      </c>
      <c r="J106" s="75">
        <v>3442</v>
      </c>
      <c r="K106" s="75">
        <v>7754.85</v>
      </c>
      <c r="L106" s="75">
        <v>8791.2000000000007</v>
      </c>
      <c r="M106" s="75">
        <v>-26205.18</v>
      </c>
      <c r="N106" s="75">
        <v>-11040.9</v>
      </c>
      <c r="O106" s="75">
        <v>-28448.35</v>
      </c>
      <c r="P106" s="75">
        <v>7367.82</v>
      </c>
      <c r="Q106" s="75">
        <v>98875.5</v>
      </c>
      <c r="R106" s="75">
        <v>60536.94</v>
      </c>
    </row>
    <row r="107" spans="1:18" x14ac:dyDescent="0.3">
      <c r="A107">
        <v>90</v>
      </c>
      <c r="B107" s="19">
        <v>49.556699999999999</v>
      </c>
      <c r="C107" s="19">
        <v>32.394100000000002</v>
      </c>
      <c r="D107" s="19">
        <v>12.031700000000001</v>
      </c>
      <c r="E107" s="19">
        <v>247.65729999999999</v>
      </c>
      <c r="F107" s="19">
        <v>15.5625</v>
      </c>
      <c r="G107" s="19">
        <v>359.33139999999997</v>
      </c>
      <c r="H107" s="19">
        <v>4634.0448999999999</v>
      </c>
      <c r="I107" s="19">
        <v>9476.1919999999991</v>
      </c>
      <c r="J107" s="75">
        <v>-466</v>
      </c>
      <c r="K107" s="75">
        <v>-11568.15</v>
      </c>
      <c r="L107" s="75">
        <v>31230.960000000003</v>
      </c>
      <c r="M107" s="75">
        <v>-70462.259999999995</v>
      </c>
      <c r="N107" s="75">
        <v>-3017.25</v>
      </c>
      <c r="O107" s="75">
        <v>-25230.1</v>
      </c>
      <c r="P107" s="75">
        <v>19923.27</v>
      </c>
      <c r="Q107" s="75">
        <v>213672.87999999998</v>
      </c>
      <c r="R107" s="75">
        <v>154083.34999999998</v>
      </c>
    </row>
    <row r="108" spans="1:18" x14ac:dyDescent="0.3">
      <c r="A108">
        <v>91</v>
      </c>
      <c r="B108" s="19">
        <v>49.568899999999999</v>
      </c>
      <c r="C108" s="19">
        <v>32.377299999999998</v>
      </c>
      <c r="D108" s="19">
        <v>12.2683</v>
      </c>
      <c r="E108" s="19">
        <v>261.21570000000003</v>
      </c>
      <c r="F108" s="19">
        <v>15.7706</v>
      </c>
      <c r="G108" s="19">
        <v>370.71820000000002</v>
      </c>
      <c r="H108" s="19">
        <v>4439.1487999999999</v>
      </c>
      <c r="I108" s="19">
        <v>7996.5394999999999</v>
      </c>
      <c r="J108" s="75">
        <v>-222</v>
      </c>
      <c r="K108" s="75">
        <v>-12046.95</v>
      </c>
      <c r="L108" s="75">
        <v>52241.04</v>
      </c>
      <c r="M108" s="75">
        <v>-18940.34</v>
      </c>
      <c r="N108" s="75">
        <v>6284.82</v>
      </c>
      <c r="O108" s="75">
        <v>14623.7</v>
      </c>
      <c r="P108" s="75">
        <v>-38545.56</v>
      </c>
      <c r="Q108" s="75">
        <v>-82257.62</v>
      </c>
      <c r="R108" s="75">
        <v>-78862.91</v>
      </c>
    </row>
    <row r="109" spans="1:18" x14ac:dyDescent="0.3">
      <c r="A109">
        <v>92</v>
      </c>
      <c r="B109" s="19">
        <v>49.514299999999999</v>
      </c>
      <c r="C109" s="19">
        <v>32.545999999999999</v>
      </c>
      <c r="D109" s="19">
        <v>11.7903</v>
      </c>
      <c r="E109" s="19">
        <v>274.85230000000001</v>
      </c>
      <c r="F109" s="19">
        <v>15.4884</v>
      </c>
      <c r="G109" s="19">
        <v>362.3639</v>
      </c>
      <c r="H109" s="19">
        <v>4444.5445</v>
      </c>
      <c r="I109" s="19">
        <v>8855.7767000000003</v>
      </c>
      <c r="J109" s="75">
        <v>-1314</v>
      </c>
      <c r="K109" s="75">
        <v>-7239</v>
      </c>
      <c r="L109" s="75">
        <v>9794.64</v>
      </c>
      <c r="M109" s="75">
        <v>32878.74</v>
      </c>
      <c r="N109" s="75">
        <v>-6329.52</v>
      </c>
      <c r="O109" s="75">
        <v>-14616.35</v>
      </c>
      <c r="P109" s="75">
        <v>-36926.85</v>
      </c>
      <c r="Q109" s="75">
        <v>89589.819999999992</v>
      </c>
      <c r="R109" s="75">
        <v>65837.479999999981</v>
      </c>
    </row>
    <row r="110" spans="1:18" x14ac:dyDescent="0.3">
      <c r="A110">
        <v>93</v>
      </c>
      <c r="B110" s="19">
        <v>49.393000000000001</v>
      </c>
      <c r="C110" s="19">
        <v>32.675800000000002</v>
      </c>
      <c r="D110" s="19">
        <v>11.7905</v>
      </c>
      <c r="E110" s="19">
        <v>272.51100000000002</v>
      </c>
      <c r="F110" s="19">
        <v>15.758800000000001</v>
      </c>
      <c r="G110" s="19">
        <v>364.47519999999997</v>
      </c>
      <c r="H110" s="19">
        <v>4434.2236999999996</v>
      </c>
      <c r="I110" s="19">
        <v>9108.7515000000003</v>
      </c>
      <c r="J110" s="75">
        <v>-3740</v>
      </c>
      <c r="K110" s="75">
        <v>-3539.7000000000003</v>
      </c>
      <c r="L110" s="75">
        <v>9812.4</v>
      </c>
      <c r="M110" s="75">
        <v>23981.8</v>
      </c>
      <c r="N110" s="75">
        <v>5757.36</v>
      </c>
      <c r="O110" s="75">
        <v>-7226.8</v>
      </c>
      <c r="P110" s="75">
        <v>-40023.090000000004</v>
      </c>
      <c r="Q110" s="75">
        <v>140184.78</v>
      </c>
      <c r="R110" s="75">
        <v>125206.75</v>
      </c>
    </row>
    <row r="111" spans="1:18" x14ac:dyDescent="0.3">
      <c r="A111">
        <v>94</v>
      </c>
      <c r="B111" s="19">
        <v>49.450899999999997</v>
      </c>
      <c r="C111" s="19">
        <v>33.084200000000003</v>
      </c>
      <c r="D111" s="19">
        <v>11.6099</v>
      </c>
      <c r="E111" s="19">
        <v>282.37279999999998</v>
      </c>
      <c r="F111" s="19">
        <v>16.045999999999999</v>
      </c>
      <c r="G111" s="19">
        <v>358.2199</v>
      </c>
      <c r="H111" s="19">
        <v>4769.5859</v>
      </c>
      <c r="I111" s="19">
        <v>8543.3333000000002</v>
      </c>
      <c r="J111" s="75">
        <v>-2582</v>
      </c>
      <c r="K111" s="75">
        <v>8099.7</v>
      </c>
      <c r="L111" s="75">
        <v>-6224.8799999999992</v>
      </c>
      <c r="M111" s="75">
        <v>61456.639999999992</v>
      </c>
      <c r="N111" s="75">
        <v>18595.2</v>
      </c>
      <c r="O111" s="75">
        <v>-29120.35</v>
      </c>
      <c r="P111" s="75">
        <v>60585.57</v>
      </c>
      <c r="Q111" s="75">
        <v>27101.14</v>
      </c>
      <c r="R111" s="75">
        <v>137911.01999999999</v>
      </c>
    </row>
    <row r="112" spans="1:18" x14ac:dyDescent="0.3">
      <c r="A112">
        <v>95</v>
      </c>
      <c r="B112" s="19">
        <v>49.2911</v>
      </c>
      <c r="C112" s="19">
        <v>32.193800000000003</v>
      </c>
      <c r="D112" s="19">
        <v>11.5921</v>
      </c>
      <c r="E112" s="19">
        <v>269.03730000000002</v>
      </c>
      <c r="F112" s="19">
        <v>15.2174</v>
      </c>
      <c r="G112" s="19">
        <v>372.6182</v>
      </c>
      <c r="H112" s="19">
        <v>4596.1409000000003</v>
      </c>
      <c r="I112" s="19">
        <v>7803.3716000000004</v>
      </c>
      <c r="J112" s="75">
        <v>-5778</v>
      </c>
      <c r="K112" s="75">
        <v>-17276.699999999997</v>
      </c>
      <c r="L112" s="75">
        <v>-7805.52</v>
      </c>
      <c r="M112" s="75">
        <v>10781.74</v>
      </c>
      <c r="N112" s="75">
        <v>-18443.22</v>
      </c>
      <c r="O112" s="75">
        <v>21273.7</v>
      </c>
      <c r="P112" s="75">
        <v>8552.07</v>
      </c>
      <c r="Q112" s="75">
        <v>-120891.2</v>
      </c>
      <c r="R112" s="75">
        <v>-129587.12999999999</v>
      </c>
    </row>
    <row r="113" spans="1:18" x14ac:dyDescent="0.3">
      <c r="A113">
        <v>96</v>
      </c>
      <c r="B113" s="19">
        <v>48.871299999999998</v>
      </c>
      <c r="C113" s="19">
        <v>32.690600000000003</v>
      </c>
      <c r="D113" s="19">
        <v>11.7675</v>
      </c>
      <c r="E113" s="19">
        <v>262.34730000000002</v>
      </c>
      <c r="F113" s="19">
        <v>15.625400000000001</v>
      </c>
      <c r="G113" s="19">
        <v>361.6866</v>
      </c>
      <c r="H113" s="19">
        <v>4686.2537000000002</v>
      </c>
      <c r="I113" s="19">
        <v>7769.8770000000004</v>
      </c>
      <c r="J113" s="75">
        <v>-14174</v>
      </c>
      <c r="K113" s="75">
        <v>-3117.9</v>
      </c>
      <c r="L113" s="75">
        <v>7769.9999999999991</v>
      </c>
      <c r="M113" s="75">
        <v>-14640.26</v>
      </c>
      <c r="N113" s="75">
        <v>-205.62</v>
      </c>
      <c r="O113" s="75">
        <v>-16986.899999999998</v>
      </c>
      <c r="P113" s="75">
        <v>35585.909999999996</v>
      </c>
      <c r="Q113" s="75">
        <v>-127590.12</v>
      </c>
      <c r="R113" s="75">
        <v>-133358.89000000001</v>
      </c>
    </row>
    <row r="114" spans="1:18" x14ac:dyDescent="0.3">
      <c r="A114">
        <v>97</v>
      </c>
      <c r="B114" s="19">
        <v>49.256599999999999</v>
      </c>
      <c r="C114" s="19">
        <v>33.223300000000002</v>
      </c>
      <c r="D114" s="19">
        <v>11.9209</v>
      </c>
      <c r="E114" s="19">
        <v>285.53300000000002</v>
      </c>
      <c r="F114" s="19">
        <v>15.6599</v>
      </c>
      <c r="G114" s="19">
        <v>377.68579999999997</v>
      </c>
      <c r="H114" s="19">
        <v>4540.4722000000002</v>
      </c>
      <c r="I114" s="19">
        <v>8843.4822000000004</v>
      </c>
      <c r="J114" s="75">
        <v>-6468</v>
      </c>
      <c r="K114" s="75">
        <v>12064.050000000001</v>
      </c>
      <c r="L114" s="75">
        <v>21391.920000000002</v>
      </c>
      <c r="M114" s="75">
        <v>73465.399999999994</v>
      </c>
      <c r="N114" s="75">
        <v>1336.53</v>
      </c>
      <c r="O114" s="75">
        <v>39010.299999999996</v>
      </c>
      <c r="P114" s="75">
        <v>-8148.54</v>
      </c>
      <c r="Q114" s="75">
        <v>87130.92</v>
      </c>
      <c r="R114" s="75">
        <v>219782.57999999996</v>
      </c>
    </row>
    <row r="115" spans="1:18" x14ac:dyDescent="0.3">
      <c r="A115">
        <v>98</v>
      </c>
      <c r="B115" s="19">
        <v>50.426499999999997</v>
      </c>
      <c r="C115" s="19">
        <v>32.859200000000001</v>
      </c>
      <c r="D115" s="19">
        <v>12.116300000000001</v>
      </c>
      <c r="E115" s="19">
        <v>270.14460000000003</v>
      </c>
      <c r="F115" s="19">
        <v>15.472</v>
      </c>
      <c r="G115" s="19">
        <v>375.90320000000003</v>
      </c>
      <c r="H115" s="19">
        <v>4673.1086999999998</v>
      </c>
      <c r="I115" s="19">
        <v>9018.4212000000007</v>
      </c>
      <c r="J115" s="75">
        <v>16930</v>
      </c>
      <c r="K115" s="75">
        <v>1687.2</v>
      </c>
      <c r="L115" s="75">
        <v>38743.440000000002</v>
      </c>
      <c r="M115" s="75">
        <v>14989.48</v>
      </c>
      <c r="N115" s="75">
        <v>-7062.6</v>
      </c>
      <c r="O115" s="75">
        <v>32771.200000000004</v>
      </c>
      <c r="P115" s="75">
        <v>31642.41</v>
      </c>
      <c r="Q115" s="75">
        <v>122118.72</v>
      </c>
      <c r="R115" s="75">
        <v>251819.85</v>
      </c>
    </row>
    <row r="116" spans="1:18" x14ac:dyDescent="0.3">
      <c r="A116">
        <v>99</v>
      </c>
      <c r="B116" s="19">
        <v>48.890900000000002</v>
      </c>
      <c r="C116" s="19">
        <v>33.127200000000002</v>
      </c>
      <c r="D116" s="19">
        <v>11.7658</v>
      </c>
      <c r="E116" s="19">
        <v>270.3168</v>
      </c>
      <c r="F116" s="19">
        <v>15.7079</v>
      </c>
      <c r="G116" s="19">
        <v>366.32130000000001</v>
      </c>
      <c r="H116" s="19">
        <v>4773.8325000000004</v>
      </c>
      <c r="I116" s="19">
        <v>8191.6535999999996</v>
      </c>
      <c r="J116" s="75">
        <v>-13782.000000000002</v>
      </c>
      <c r="K116" s="75">
        <v>9325.1999999999989</v>
      </c>
      <c r="L116" s="75">
        <v>7619.04</v>
      </c>
      <c r="M116" s="75">
        <v>15643.839999999998</v>
      </c>
      <c r="N116" s="75">
        <v>3482.1299999999997</v>
      </c>
      <c r="O116" s="75">
        <v>-765.45</v>
      </c>
      <c r="P116" s="75">
        <v>61859.549999999996</v>
      </c>
      <c r="Q116" s="75">
        <v>-43234.8</v>
      </c>
      <c r="R116" s="75">
        <v>40147.509999999995</v>
      </c>
    </row>
    <row r="117" spans="1:18" x14ac:dyDescent="0.3">
      <c r="A117">
        <v>100</v>
      </c>
      <c r="B117" s="19">
        <v>49.434699999999999</v>
      </c>
      <c r="C117" s="19">
        <v>32.505600000000001</v>
      </c>
      <c r="D117" s="19">
        <v>12.056800000000001</v>
      </c>
      <c r="E117" s="19">
        <v>277.4751</v>
      </c>
      <c r="F117" s="19">
        <v>15.589499999999999</v>
      </c>
      <c r="G117" s="19">
        <v>382.9599</v>
      </c>
      <c r="H117" s="19">
        <v>4634.4357</v>
      </c>
      <c r="I117" s="19">
        <v>7891.8406000000004</v>
      </c>
      <c r="J117" s="75">
        <v>-2906.0000000000005</v>
      </c>
      <c r="K117" s="75">
        <v>-8390.4</v>
      </c>
      <c r="L117" s="75">
        <v>33459.840000000004</v>
      </c>
      <c r="M117" s="75">
        <v>42845.38</v>
      </c>
      <c r="N117" s="75">
        <v>-1810.3500000000001</v>
      </c>
      <c r="O117" s="75">
        <v>57469.649999999994</v>
      </c>
      <c r="P117" s="75">
        <v>20040.509999999998</v>
      </c>
      <c r="Q117" s="75">
        <v>-103197.4</v>
      </c>
      <c r="R117" s="75">
        <v>37511.23000000001</v>
      </c>
    </row>
    <row r="118" spans="1:18" x14ac:dyDescent="0.3">
      <c r="A118">
        <v>101</v>
      </c>
      <c r="B118" s="19">
        <v>49.406199999999998</v>
      </c>
      <c r="C118" s="19">
        <v>32.053100000000001</v>
      </c>
      <c r="D118" s="19">
        <v>11.8194</v>
      </c>
      <c r="E118" s="19">
        <v>258.40780000000001</v>
      </c>
      <c r="F118" s="19">
        <v>15.311400000000001</v>
      </c>
      <c r="G118" s="19">
        <v>369.61110000000002</v>
      </c>
      <c r="H118" s="19">
        <v>4656.7879000000003</v>
      </c>
      <c r="I118" s="19">
        <v>9421.4334999999992</v>
      </c>
      <c r="J118" s="75">
        <v>-3476</v>
      </c>
      <c r="K118" s="75">
        <v>-21286.65</v>
      </c>
      <c r="L118" s="75">
        <v>12378.72</v>
      </c>
      <c r="M118" s="75">
        <v>-29610.36</v>
      </c>
      <c r="N118" s="75">
        <v>-14241.42</v>
      </c>
      <c r="O118" s="75">
        <v>10748.85</v>
      </c>
      <c r="P118" s="75">
        <v>26746.17</v>
      </c>
      <c r="Q118" s="75">
        <v>202721.18</v>
      </c>
      <c r="R118" s="75">
        <v>183980.49</v>
      </c>
    </row>
    <row r="119" spans="1:18" x14ac:dyDescent="0.3">
      <c r="A119">
        <v>102</v>
      </c>
      <c r="B119" s="19">
        <v>49.543300000000002</v>
      </c>
      <c r="C119" s="19">
        <v>32.922800000000002</v>
      </c>
      <c r="D119" s="19">
        <v>11.545</v>
      </c>
      <c r="E119" s="19">
        <v>266.33670000000001</v>
      </c>
      <c r="F119" s="19">
        <v>15.6952</v>
      </c>
      <c r="G119" s="19">
        <v>371.15870000000001</v>
      </c>
      <c r="H119" s="19">
        <v>4570.5847000000003</v>
      </c>
      <c r="I119" s="19">
        <v>7834.5385999999999</v>
      </c>
      <c r="J119" s="75">
        <v>-734.00000000000011</v>
      </c>
      <c r="K119" s="75">
        <v>3499.8</v>
      </c>
      <c r="L119" s="75">
        <v>-11988</v>
      </c>
      <c r="M119" s="75">
        <v>519.45999999999992</v>
      </c>
      <c r="N119" s="75">
        <v>2914.4399999999996</v>
      </c>
      <c r="O119" s="75">
        <v>16165.449999999999</v>
      </c>
      <c r="P119" s="75">
        <v>885.20999999999992</v>
      </c>
      <c r="Q119" s="75">
        <v>-114657.8</v>
      </c>
      <c r="R119" s="75">
        <v>-103395.44</v>
      </c>
    </row>
    <row r="120" spans="1:18" x14ac:dyDescent="0.3">
      <c r="A120">
        <v>103</v>
      </c>
      <c r="B120" s="19">
        <v>49.120100000000001</v>
      </c>
      <c r="C120" s="19">
        <v>32.772399999999998</v>
      </c>
      <c r="D120" s="19">
        <v>11.3536</v>
      </c>
      <c r="E120" s="19">
        <v>263.39190000000002</v>
      </c>
      <c r="F120" s="19">
        <v>15.855399999999999</v>
      </c>
      <c r="G120" s="19">
        <v>365.3956</v>
      </c>
      <c r="H120" s="19">
        <v>4495.2816000000003</v>
      </c>
      <c r="I120" s="19">
        <v>8523.8364999999994</v>
      </c>
      <c r="J120" s="75">
        <v>-9198</v>
      </c>
      <c r="K120" s="75">
        <v>-786.6</v>
      </c>
      <c r="L120" s="75">
        <v>-28984.320000000003</v>
      </c>
      <c r="M120" s="75">
        <v>-10670.78</v>
      </c>
      <c r="N120" s="75">
        <v>10075.379999999999</v>
      </c>
      <c r="O120" s="75">
        <v>-4005.4</v>
      </c>
      <c r="P120" s="75">
        <v>-21705.72</v>
      </c>
      <c r="Q120" s="75">
        <v>23201.78</v>
      </c>
      <c r="R120" s="75">
        <v>-42073.660000000011</v>
      </c>
    </row>
    <row r="121" spans="1:18" x14ac:dyDescent="0.3">
      <c r="A121">
        <v>104</v>
      </c>
      <c r="B121" s="19">
        <v>49.526699999999998</v>
      </c>
      <c r="C121" s="19">
        <v>33.008299999999998</v>
      </c>
      <c r="D121" s="19">
        <v>11.806699999999999</v>
      </c>
      <c r="E121" s="19">
        <v>270.04469999999998</v>
      </c>
      <c r="F121" s="19">
        <v>15.7301</v>
      </c>
      <c r="G121" s="19">
        <v>361.11200000000002</v>
      </c>
      <c r="H121" s="19">
        <v>4630.4712</v>
      </c>
      <c r="I121" s="19">
        <v>8213.2859000000008</v>
      </c>
      <c r="J121" s="75">
        <v>-1066</v>
      </c>
      <c r="K121" s="75">
        <v>5936.55</v>
      </c>
      <c r="L121" s="75">
        <v>11250.960000000001</v>
      </c>
      <c r="M121" s="75">
        <v>14609.86</v>
      </c>
      <c r="N121" s="75">
        <v>4474.4699999999993</v>
      </c>
      <c r="O121" s="75">
        <v>-18998</v>
      </c>
      <c r="P121" s="75">
        <v>18851.16</v>
      </c>
      <c r="Q121" s="75">
        <v>-38908.339999999997</v>
      </c>
      <c r="R121" s="75">
        <v>-3849.3399999999965</v>
      </c>
    </row>
    <row r="122" spans="1:18" x14ac:dyDescent="0.3">
      <c r="A122">
        <v>105</v>
      </c>
      <c r="B122" s="19">
        <v>49.274700000000003</v>
      </c>
      <c r="C122" s="19">
        <v>32.584899999999998</v>
      </c>
      <c r="D122" s="19">
        <v>11.6608</v>
      </c>
      <c r="E122" s="19">
        <v>271.75479999999999</v>
      </c>
      <c r="F122" s="19">
        <v>15.5715</v>
      </c>
      <c r="G122" s="19">
        <v>365.08640000000003</v>
      </c>
      <c r="H122" s="19">
        <v>4619.9246000000003</v>
      </c>
      <c r="I122" s="19">
        <v>7700.1637000000001</v>
      </c>
      <c r="J122" s="75">
        <v>-6106</v>
      </c>
      <c r="K122" s="75">
        <v>-6130.35</v>
      </c>
      <c r="L122" s="75">
        <v>-1704.9599999999998</v>
      </c>
      <c r="M122" s="75">
        <v>21108.240000000002</v>
      </c>
      <c r="N122" s="75">
        <v>-2614.9500000000003</v>
      </c>
      <c r="O122" s="75">
        <v>-5087.6000000000004</v>
      </c>
      <c r="P122" s="75">
        <v>15687.179999999998</v>
      </c>
      <c r="Q122" s="75">
        <v>-141532.78</v>
      </c>
      <c r="R122" s="75">
        <v>-126381.22</v>
      </c>
    </row>
    <row r="123" spans="1:18" x14ac:dyDescent="0.3">
      <c r="A123">
        <v>106</v>
      </c>
      <c r="B123" s="19">
        <v>49.694899999999997</v>
      </c>
      <c r="C123" s="19">
        <v>32.934699999999999</v>
      </c>
      <c r="D123" s="19">
        <v>11.4764</v>
      </c>
      <c r="E123" s="19">
        <v>265.73759999999999</v>
      </c>
      <c r="F123" s="19">
        <v>15.3848</v>
      </c>
      <c r="G123" s="19">
        <v>359.51429999999999</v>
      </c>
      <c r="H123" s="19">
        <v>4615.1817000000001</v>
      </c>
      <c r="I123" s="19">
        <v>8244.8894</v>
      </c>
      <c r="J123" s="75">
        <v>2298</v>
      </c>
      <c r="K123" s="75">
        <v>3838.95</v>
      </c>
      <c r="L123" s="75">
        <v>-18079.68</v>
      </c>
      <c r="M123" s="75">
        <v>-1757.12</v>
      </c>
      <c r="N123" s="75">
        <v>-10960.44</v>
      </c>
      <c r="O123" s="75">
        <v>-24589.949999999997</v>
      </c>
      <c r="P123" s="75">
        <v>14264.31</v>
      </c>
      <c r="Q123" s="75">
        <v>-32587.64</v>
      </c>
      <c r="R123" s="75">
        <v>-67573.570000000007</v>
      </c>
    </row>
    <row r="124" spans="1:18" x14ac:dyDescent="0.3">
      <c r="A124">
        <v>107</v>
      </c>
      <c r="B124" s="19">
        <v>49.599400000000003</v>
      </c>
      <c r="C124" s="19">
        <v>32.2866</v>
      </c>
      <c r="D124" s="19">
        <v>11.4575</v>
      </c>
      <c r="E124" s="19">
        <v>269.53769999999997</v>
      </c>
      <c r="F124" s="19">
        <v>15.969099999999999</v>
      </c>
      <c r="G124" s="19">
        <v>354.67469999999997</v>
      </c>
      <c r="H124" s="19">
        <v>4552.2322000000004</v>
      </c>
      <c r="I124" s="19">
        <v>7890.4341999999997</v>
      </c>
      <c r="J124" s="75">
        <v>388</v>
      </c>
      <c r="K124" s="75">
        <v>-14631.9</v>
      </c>
      <c r="L124" s="75">
        <v>-19758</v>
      </c>
      <c r="M124" s="75">
        <v>12683.26</v>
      </c>
      <c r="N124" s="75">
        <v>15157.77</v>
      </c>
      <c r="O124" s="75">
        <v>-41528.549999999996</v>
      </c>
      <c r="P124" s="75">
        <v>-4620.54</v>
      </c>
      <c r="Q124" s="75">
        <v>-103478.68000000001</v>
      </c>
      <c r="R124" s="75">
        <v>-155788.64000000001</v>
      </c>
    </row>
    <row r="125" spans="1:18" x14ac:dyDescent="0.3">
      <c r="A125">
        <v>108</v>
      </c>
      <c r="B125" s="19">
        <v>49.121299999999998</v>
      </c>
      <c r="C125" s="19">
        <v>33.411799999999999</v>
      </c>
      <c r="D125" s="19">
        <v>11.5037</v>
      </c>
      <c r="E125" s="19">
        <v>265.41030000000001</v>
      </c>
      <c r="F125" s="19">
        <v>15.2942</v>
      </c>
      <c r="G125" s="19">
        <v>365.37329999999997</v>
      </c>
      <c r="H125" s="19">
        <v>4642.2984999999999</v>
      </c>
      <c r="I125" s="19">
        <v>8324.27</v>
      </c>
      <c r="J125" s="75">
        <v>-9174</v>
      </c>
      <c r="K125" s="75">
        <v>17436.3</v>
      </c>
      <c r="L125" s="75">
        <v>-15655.44</v>
      </c>
      <c r="M125" s="75">
        <v>-3000.8599999999997</v>
      </c>
      <c r="N125" s="75">
        <v>-15010.26</v>
      </c>
      <c r="O125" s="75">
        <v>-4083.4500000000003</v>
      </c>
      <c r="P125" s="75">
        <v>22399.350000000002</v>
      </c>
      <c r="Q125" s="75">
        <v>-16711.52</v>
      </c>
      <c r="R125" s="75">
        <v>-23799.88</v>
      </c>
    </row>
    <row r="126" spans="1:18" x14ac:dyDescent="0.3">
      <c r="A126">
        <v>109</v>
      </c>
      <c r="B126" s="19">
        <v>50.215400000000002</v>
      </c>
      <c r="C126" s="19">
        <v>32.607300000000002</v>
      </c>
      <c r="D126" s="19">
        <v>11.857200000000001</v>
      </c>
      <c r="E126" s="19">
        <v>270.77190000000002</v>
      </c>
      <c r="F126" s="19">
        <v>15.2117</v>
      </c>
      <c r="G126" s="19">
        <v>369.46379999999999</v>
      </c>
      <c r="H126" s="19">
        <v>4623.2987000000003</v>
      </c>
      <c r="I126" s="19">
        <v>8240.2340000000004</v>
      </c>
      <c r="J126" s="75">
        <v>12708</v>
      </c>
      <c r="K126" s="75">
        <v>-5491.9500000000007</v>
      </c>
      <c r="L126" s="75">
        <v>15735.36</v>
      </c>
      <c r="M126" s="75">
        <v>17373.22</v>
      </c>
      <c r="N126" s="75">
        <v>-18698.010000000002</v>
      </c>
      <c r="O126" s="75">
        <v>10233.299999999999</v>
      </c>
      <c r="P126" s="75">
        <v>16699.41</v>
      </c>
      <c r="Q126" s="75">
        <v>-33518.720000000001</v>
      </c>
      <c r="R126" s="75">
        <v>15040.61</v>
      </c>
    </row>
    <row r="127" spans="1:18" x14ac:dyDescent="0.3">
      <c r="A127">
        <v>110</v>
      </c>
      <c r="B127" s="19">
        <v>49.724499999999999</v>
      </c>
      <c r="C127" s="19">
        <v>33.205300000000001</v>
      </c>
      <c r="D127" s="19">
        <v>12.02</v>
      </c>
      <c r="E127" s="19">
        <v>277.07499999999999</v>
      </c>
      <c r="F127" s="19">
        <v>15.606999999999999</v>
      </c>
      <c r="G127" s="19">
        <v>369.82530000000003</v>
      </c>
      <c r="H127" s="19">
        <v>4564.6669000000002</v>
      </c>
      <c r="I127" s="19">
        <v>9043.3642999999993</v>
      </c>
      <c r="J127" s="75">
        <v>2890</v>
      </c>
      <c r="K127" s="75">
        <v>11551.05</v>
      </c>
      <c r="L127" s="75">
        <v>30192.000000000004</v>
      </c>
      <c r="M127" s="75">
        <v>41325</v>
      </c>
      <c r="N127" s="75">
        <v>-1028.0999999999999</v>
      </c>
      <c r="O127" s="75">
        <v>11498.55</v>
      </c>
      <c r="P127" s="75">
        <v>-890.13</v>
      </c>
      <c r="Q127" s="75">
        <v>127107.34</v>
      </c>
      <c r="R127" s="75">
        <v>222645.71</v>
      </c>
    </row>
    <row r="128" spans="1:18" x14ac:dyDescent="0.3">
      <c r="A128">
        <v>111</v>
      </c>
      <c r="B128" s="19">
        <v>49.560699999999997</v>
      </c>
      <c r="C128" s="19">
        <v>32.293399999999998</v>
      </c>
      <c r="D128" s="19">
        <v>11.5464</v>
      </c>
      <c r="E128" s="19">
        <v>270.07040000000001</v>
      </c>
      <c r="F128" s="19">
        <v>15.7033</v>
      </c>
      <c r="G128" s="19">
        <v>365.65649999999999</v>
      </c>
      <c r="H128" s="19">
        <v>4699.4096</v>
      </c>
      <c r="I128" s="19">
        <v>9407.7278000000006</v>
      </c>
      <c r="J128" s="75">
        <v>-386</v>
      </c>
      <c r="K128" s="75">
        <v>-14438.100000000002</v>
      </c>
      <c r="L128" s="75">
        <v>-11863.68</v>
      </c>
      <c r="M128" s="75">
        <v>14707.52</v>
      </c>
      <c r="N128" s="75">
        <v>3276.51</v>
      </c>
      <c r="O128" s="75">
        <v>-3092.25</v>
      </c>
      <c r="P128" s="75">
        <v>39532.68</v>
      </c>
      <c r="Q128" s="75">
        <v>199980.04</v>
      </c>
      <c r="R128" s="75">
        <v>227716.72</v>
      </c>
    </row>
    <row r="129" spans="1:18" x14ac:dyDescent="0.3">
      <c r="A129">
        <v>112</v>
      </c>
      <c r="B129" s="19">
        <v>49.434899999999999</v>
      </c>
      <c r="C129" s="19">
        <v>32.768300000000004</v>
      </c>
      <c r="D129" s="19">
        <v>11.493</v>
      </c>
      <c r="E129" s="19">
        <v>270.50729999999999</v>
      </c>
      <c r="F129" s="19">
        <v>15.638999999999999</v>
      </c>
      <c r="G129" s="19">
        <v>362.41649999999998</v>
      </c>
      <c r="H129" s="19">
        <v>4664.6018000000004</v>
      </c>
      <c r="I129" s="19">
        <v>8270.5995000000003</v>
      </c>
      <c r="J129" s="75">
        <v>-2902</v>
      </c>
      <c r="K129" s="75">
        <v>-903.44999999999993</v>
      </c>
      <c r="L129" s="75">
        <v>-16605.599999999999</v>
      </c>
      <c r="M129" s="75">
        <v>16367.739999999998</v>
      </c>
      <c r="N129" s="75">
        <v>402.29999999999995</v>
      </c>
      <c r="O129" s="75">
        <v>-14432.25</v>
      </c>
      <c r="P129" s="75">
        <v>29090.34</v>
      </c>
      <c r="Q129" s="75">
        <v>-27445.620000000003</v>
      </c>
      <c r="R129" s="75">
        <v>-16428.540000000005</v>
      </c>
    </row>
    <row r="130" spans="1:18" x14ac:dyDescent="0.3">
      <c r="A130">
        <v>113</v>
      </c>
      <c r="B130" s="19">
        <v>49.022300000000001</v>
      </c>
      <c r="C130" s="19">
        <v>31.8795</v>
      </c>
      <c r="D130" s="19">
        <v>11.3507</v>
      </c>
      <c r="E130" s="19">
        <v>262.60919999999999</v>
      </c>
      <c r="F130" s="19">
        <v>15.614699999999999</v>
      </c>
      <c r="G130" s="19">
        <v>365.07889999999998</v>
      </c>
      <c r="H130" s="19">
        <v>4585.8733000000002</v>
      </c>
      <c r="I130" s="19">
        <v>8506.5643999999993</v>
      </c>
      <c r="J130" s="75">
        <v>-11154</v>
      </c>
      <c r="K130" s="75">
        <v>-26234.25</v>
      </c>
      <c r="L130" s="75">
        <v>-29241.84</v>
      </c>
      <c r="M130" s="75">
        <v>-13645.04</v>
      </c>
      <c r="N130" s="75">
        <v>-683.91</v>
      </c>
      <c r="O130" s="75">
        <v>-5113.8500000000004</v>
      </c>
      <c r="P130" s="75">
        <v>5471.79</v>
      </c>
      <c r="Q130" s="75">
        <v>19747.36</v>
      </c>
      <c r="R130" s="75">
        <v>-60853.74000000002</v>
      </c>
    </row>
    <row r="131" spans="1:18" x14ac:dyDescent="0.3">
      <c r="A131">
        <v>114</v>
      </c>
      <c r="B131" s="19">
        <v>49.890900000000002</v>
      </c>
      <c r="C131" s="19">
        <v>33.093899999999998</v>
      </c>
      <c r="D131" s="19">
        <v>11.666</v>
      </c>
      <c r="E131" s="19">
        <v>261.45609999999999</v>
      </c>
      <c r="F131" s="19">
        <v>15.6303</v>
      </c>
      <c r="G131" s="19">
        <v>358.54559999999998</v>
      </c>
      <c r="H131" s="19">
        <v>4455.1242000000002</v>
      </c>
      <c r="I131" s="19">
        <v>7767.3217000000004</v>
      </c>
      <c r="J131" s="75">
        <v>6218</v>
      </c>
      <c r="K131" s="75">
        <v>8376.15</v>
      </c>
      <c r="L131" s="75">
        <v>-1243.2</v>
      </c>
      <c r="M131" s="75">
        <v>-18026.82</v>
      </c>
      <c r="N131" s="75">
        <v>13.409999999999998</v>
      </c>
      <c r="O131" s="75">
        <v>-27980.399999999998</v>
      </c>
      <c r="P131" s="75">
        <v>-33752.94</v>
      </c>
      <c r="Q131" s="75">
        <v>-128101.18</v>
      </c>
      <c r="R131" s="75">
        <v>-194496.97999999998</v>
      </c>
    </row>
    <row r="132" spans="1:18" x14ac:dyDescent="0.3">
      <c r="A132">
        <v>115</v>
      </c>
      <c r="B132" s="19">
        <v>49.5107</v>
      </c>
      <c r="C132" s="19">
        <v>33.254600000000003</v>
      </c>
      <c r="D132" s="19">
        <v>11.6668</v>
      </c>
      <c r="E132" s="19">
        <v>250.44280000000001</v>
      </c>
      <c r="F132" s="19">
        <v>15.9339</v>
      </c>
      <c r="G132" s="19">
        <v>370.09089999999998</v>
      </c>
      <c r="H132" s="19">
        <v>4691.7055</v>
      </c>
      <c r="I132" s="19">
        <v>8174.7561999999998</v>
      </c>
      <c r="J132" s="75">
        <v>-1386</v>
      </c>
      <c r="K132" s="75">
        <v>12956.1</v>
      </c>
      <c r="L132" s="75">
        <v>-1172.1600000000001</v>
      </c>
      <c r="M132" s="75">
        <v>-59877.36</v>
      </c>
      <c r="N132" s="75">
        <v>13584.33</v>
      </c>
      <c r="O132" s="75">
        <v>12428.15</v>
      </c>
      <c r="P132" s="75">
        <v>37221.449999999997</v>
      </c>
      <c r="Q132" s="75">
        <v>-46614.28</v>
      </c>
      <c r="R132" s="75">
        <v>-32859.769999999997</v>
      </c>
    </row>
    <row r="133" spans="1:18" x14ac:dyDescent="0.3">
      <c r="A133">
        <v>116</v>
      </c>
      <c r="B133" s="19">
        <v>49.848199999999999</v>
      </c>
      <c r="C133" s="19">
        <v>32.506500000000003</v>
      </c>
      <c r="D133" s="19">
        <v>11.561500000000001</v>
      </c>
      <c r="E133" s="19">
        <v>264.19830000000002</v>
      </c>
      <c r="F133" s="19">
        <v>15.892200000000001</v>
      </c>
      <c r="G133" s="19">
        <v>360.07</v>
      </c>
      <c r="H133" s="19">
        <v>4573.6814999999997</v>
      </c>
      <c r="I133" s="19">
        <v>8206.1355000000003</v>
      </c>
      <c r="J133" s="75">
        <v>5364</v>
      </c>
      <c r="K133" s="75">
        <v>-8364.75</v>
      </c>
      <c r="L133" s="75">
        <v>-10522.8</v>
      </c>
      <c r="M133" s="75">
        <v>-7606.46</v>
      </c>
      <c r="N133" s="75">
        <v>11720.34</v>
      </c>
      <c r="O133" s="75">
        <v>-22645</v>
      </c>
      <c r="P133" s="75">
        <v>1814.25</v>
      </c>
      <c r="Q133" s="75">
        <v>-40338.420000000006</v>
      </c>
      <c r="R133" s="75">
        <v>-70578.84</v>
      </c>
    </row>
    <row r="134" spans="1:18" x14ac:dyDescent="0.3">
      <c r="A134">
        <v>117</v>
      </c>
      <c r="B134" s="19">
        <v>49.6584</v>
      </c>
      <c r="C134" s="19">
        <v>32.672499999999999</v>
      </c>
      <c r="D134" s="19">
        <v>11.1774</v>
      </c>
      <c r="E134" s="19">
        <v>256.48509999999999</v>
      </c>
      <c r="F134" s="19">
        <v>15.5305</v>
      </c>
      <c r="G134" s="19">
        <v>370.76940000000002</v>
      </c>
      <c r="H134" s="19">
        <v>4497.7401</v>
      </c>
      <c r="I134" s="19">
        <v>9046.0288999999993</v>
      </c>
      <c r="J134" s="75">
        <v>1568</v>
      </c>
      <c r="K134" s="75">
        <v>-3633.75</v>
      </c>
      <c r="L134" s="75">
        <v>-44630.880000000005</v>
      </c>
      <c r="M134" s="75">
        <v>-36916.620000000003</v>
      </c>
      <c r="N134" s="75">
        <v>-4447.6500000000005</v>
      </c>
      <c r="O134" s="75">
        <v>14802.9</v>
      </c>
      <c r="P134" s="75">
        <v>-20968.170000000002</v>
      </c>
      <c r="Q134" s="75">
        <v>127640.26</v>
      </c>
      <c r="R134" s="75">
        <v>33414.089999999997</v>
      </c>
    </row>
    <row r="135" spans="1:18" x14ac:dyDescent="0.3">
      <c r="A135">
        <v>118</v>
      </c>
      <c r="B135" s="19">
        <v>49.967799999999997</v>
      </c>
      <c r="C135" s="19">
        <v>32.786700000000003</v>
      </c>
      <c r="D135" s="19">
        <v>11.5352</v>
      </c>
      <c r="E135" s="19">
        <v>264.44830000000002</v>
      </c>
      <c r="F135" s="19">
        <v>15.6587</v>
      </c>
      <c r="G135" s="19">
        <v>359.75889999999998</v>
      </c>
      <c r="H135" s="19">
        <v>4701.6193000000003</v>
      </c>
      <c r="I135" s="19">
        <v>8512.6005000000005</v>
      </c>
      <c r="J135" s="75">
        <v>7756</v>
      </c>
      <c r="K135" s="75">
        <v>-379.04999999999995</v>
      </c>
      <c r="L135" s="75">
        <v>-12858.240000000002</v>
      </c>
      <c r="M135" s="75">
        <v>-6656.46</v>
      </c>
      <c r="N135" s="75">
        <v>1282.8900000000001</v>
      </c>
      <c r="O135" s="75">
        <v>-23733.850000000002</v>
      </c>
      <c r="P135" s="75">
        <v>40195.589999999997</v>
      </c>
      <c r="Q135" s="75">
        <v>20954.580000000002</v>
      </c>
      <c r="R135" s="75">
        <v>26561.459999999992</v>
      </c>
    </row>
    <row r="136" spans="1:18" x14ac:dyDescent="0.3">
      <c r="A136">
        <v>119</v>
      </c>
      <c r="B136" s="19">
        <v>48.662500000000001</v>
      </c>
      <c r="C136" s="19">
        <v>31.4757</v>
      </c>
      <c r="D136" s="19">
        <v>11.7241</v>
      </c>
      <c r="E136" s="19">
        <v>263.47399999999999</v>
      </c>
      <c r="F136" s="19">
        <v>16.186299999999999</v>
      </c>
      <c r="G136" s="19">
        <v>368.24470000000002</v>
      </c>
      <c r="H136" s="19">
        <v>4540.2379000000001</v>
      </c>
      <c r="I136" s="19">
        <v>8873.3994999999995</v>
      </c>
      <c r="J136" s="75">
        <v>-18350</v>
      </c>
      <c r="K136" s="75">
        <v>-37742.550000000003</v>
      </c>
      <c r="L136" s="75">
        <v>3916.08</v>
      </c>
      <c r="M136" s="75">
        <v>-10358.799999999999</v>
      </c>
      <c r="N136" s="75">
        <v>24866.61</v>
      </c>
      <c r="O136" s="75">
        <v>5966.4500000000007</v>
      </c>
      <c r="P136" s="75">
        <v>-8218.83</v>
      </c>
      <c r="Q136" s="75">
        <v>93114.38</v>
      </c>
      <c r="R136" s="75">
        <v>53193.340000000004</v>
      </c>
    </row>
    <row r="137" spans="1:18" x14ac:dyDescent="0.3">
      <c r="A137">
        <v>120</v>
      </c>
      <c r="B137" s="19">
        <v>49.209000000000003</v>
      </c>
      <c r="C137" s="19">
        <v>32.977400000000003</v>
      </c>
      <c r="D137" s="19">
        <v>11.9298</v>
      </c>
      <c r="E137" s="19">
        <v>265.3845</v>
      </c>
      <c r="F137" s="19">
        <v>15.2125</v>
      </c>
      <c r="G137" s="19">
        <v>370.83670000000001</v>
      </c>
      <c r="H137" s="19">
        <v>4579.4398000000001</v>
      </c>
      <c r="I137" s="19">
        <v>8809.0044999999991</v>
      </c>
      <c r="J137" s="75">
        <v>-7420</v>
      </c>
      <c r="K137" s="75">
        <v>5055.8999999999996</v>
      </c>
      <c r="L137" s="75">
        <v>22182.239999999998</v>
      </c>
      <c r="M137" s="75">
        <v>-3098.9</v>
      </c>
      <c r="N137" s="75">
        <v>-18662.25</v>
      </c>
      <c r="O137" s="75">
        <v>15038.45</v>
      </c>
      <c r="P137" s="75">
        <v>3541.74</v>
      </c>
      <c r="Q137" s="75">
        <v>80235.38</v>
      </c>
      <c r="R137" s="75">
        <v>96872.56</v>
      </c>
    </row>
    <row r="138" spans="1:18" x14ac:dyDescent="0.3">
      <c r="A138">
        <v>121</v>
      </c>
      <c r="B138" s="19">
        <v>48.933900000000001</v>
      </c>
      <c r="C138" s="19">
        <v>33.736400000000003</v>
      </c>
      <c r="D138" s="19">
        <v>11.392799999999999</v>
      </c>
      <c r="E138" s="19">
        <v>246.9564</v>
      </c>
      <c r="F138" s="19">
        <v>15.5154</v>
      </c>
      <c r="G138" s="19">
        <v>365.03579999999999</v>
      </c>
      <c r="H138" s="19">
        <v>4599.2745999999997</v>
      </c>
      <c r="I138" s="19">
        <v>7911.5977999999996</v>
      </c>
      <c r="J138" s="75">
        <v>-12922</v>
      </c>
      <c r="K138" s="75">
        <v>26687.4</v>
      </c>
      <c r="L138" s="75">
        <v>-25503.360000000001</v>
      </c>
      <c r="M138" s="75">
        <v>-73125.680000000008</v>
      </c>
      <c r="N138" s="75">
        <v>-5122.62</v>
      </c>
      <c r="O138" s="75">
        <v>-5264.7</v>
      </c>
      <c r="P138" s="75">
        <v>9492.18</v>
      </c>
      <c r="Q138" s="75">
        <v>-99245.96</v>
      </c>
      <c r="R138" s="75">
        <v>-185004.74</v>
      </c>
    </row>
    <row r="139" spans="1:18" x14ac:dyDescent="0.3">
      <c r="A139">
        <v>122</v>
      </c>
      <c r="B139" s="19">
        <v>49.017800000000001</v>
      </c>
      <c r="C139" s="19">
        <v>32.127000000000002</v>
      </c>
      <c r="D139" s="19">
        <v>11.181900000000001</v>
      </c>
      <c r="E139" s="19">
        <v>273.59570000000002</v>
      </c>
      <c r="F139" s="19">
        <v>16.113299999999999</v>
      </c>
      <c r="G139" s="19">
        <v>358.33499999999998</v>
      </c>
      <c r="H139" s="19">
        <v>4538.9494000000004</v>
      </c>
      <c r="I139" s="19">
        <v>8934.0182000000004</v>
      </c>
      <c r="J139" s="75">
        <v>-11244</v>
      </c>
      <c r="K139" s="75">
        <v>-19180.5</v>
      </c>
      <c r="L139" s="75">
        <v>-44231.28</v>
      </c>
      <c r="M139" s="75">
        <v>28103.66</v>
      </c>
      <c r="N139" s="75">
        <v>21603.510000000002</v>
      </c>
      <c r="O139" s="75">
        <v>-28717.5</v>
      </c>
      <c r="P139" s="75">
        <v>-8605.3799999999992</v>
      </c>
      <c r="Q139" s="75">
        <v>105238.12000000001</v>
      </c>
      <c r="R139" s="75">
        <v>42966.630000000019</v>
      </c>
    </row>
    <row r="140" spans="1:18" x14ac:dyDescent="0.3">
      <c r="A140">
        <v>123</v>
      </c>
      <c r="B140" s="19">
        <v>49.3675</v>
      </c>
      <c r="C140" s="19">
        <v>33.145800000000001</v>
      </c>
      <c r="D140" s="19">
        <v>11.675000000000001</v>
      </c>
      <c r="E140" s="19">
        <v>259.36259999999999</v>
      </c>
      <c r="F140" s="19">
        <v>15.925700000000001</v>
      </c>
      <c r="G140" s="19">
        <v>362.74970000000002</v>
      </c>
      <c r="H140" s="19">
        <v>4547.1971999999996</v>
      </c>
      <c r="I140" s="19">
        <v>9082.2163999999993</v>
      </c>
      <c r="J140" s="75">
        <v>-4250</v>
      </c>
      <c r="K140" s="75">
        <v>9855.2999999999993</v>
      </c>
      <c r="L140" s="75">
        <v>-444</v>
      </c>
      <c r="M140" s="75">
        <v>-25982.12</v>
      </c>
      <c r="N140" s="75">
        <v>13217.79</v>
      </c>
      <c r="O140" s="75">
        <v>-13266.05</v>
      </c>
      <c r="P140" s="75">
        <v>-6131.0400000000009</v>
      </c>
      <c r="Q140" s="75">
        <v>134877.75999999998</v>
      </c>
      <c r="R140" s="75">
        <v>107877.63999999998</v>
      </c>
    </row>
    <row r="141" spans="1:18" x14ac:dyDescent="0.3">
      <c r="A141">
        <v>124</v>
      </c>
      <c r="B141" s="19">
        <v>49.067700000000002</v>
      </c>
      <c r="C141" s="19">
        <v>31.94</v>
      </c>
      <c r="D141" s="19">
        <v>12.0037</v>
      </c>
      <c r="E141" s="19">
        <v>255.9248</v>
      </c>
      <c r="F141" s="19">
        <v>15.3719</v>
      </c>
      <c r="G141" s="19">
        <v>364.55599999999998</v>
      </c>
      <c r="H141" s="19">
        <v>4484.9263000000001</v>
      </c>
      <c r="I141" s="19">
        <v>8598.9364000000005</v>
      </c>
      <c r="J141" s="75">
        <v>-10246</v>
      </c>
      <c r="K141" s="75">
        <v>-24510</v>
      </c>
      <c r="L141" s="75">
        <v>28744.559999999998</v>
      </c>
      <c r="M141" s="75">
        <v>-39045.760000000002</v>
      </c>
      <c r="N141" s="75">
        <v>-11537.07</v>
      </c>
      <c r="O141" s="75">
        <v>-6944</v>
      </c>
      <c r="P141" s="75">
        <v>-24812.31</v>
      </c>
      <c r="Q141" s="75">
        <v>38221.760000000002</v>
      </c>
      <c r="R141" s="75">
        <v>-50128.82</v>
      </c>
    </row>
    <row r="142" spans="1:18" x14ac:dyDescent="0.3">
      <c r="A142">
        <v>125</v>
      </c>
      <c r="B142" s="19">
        <v>48.058</v>
      </c>
      <c r="C142" s="19">
        <v>33.656599999999997</v>
      </c>
      <c r="D142" s="19">
        <v>11.8413</v>
      </c>
      <c r="E142" s="19">
        <v>273.96530000000001</v>
      </c>
      <c r="F142" s="19">
        <v>16.134799999999998</v>
      </c>
      <c r="G142" s="19">
        <v>376.57380000000001</v>
      </c>
      <c r="H142" s="19">
        <v>4657.1516000000001</v>
      </c>
      <c r="I142" s="19">
        <v>8576.3204000000005</v>
      </c>
      <c r="J142" s="75">
        <v>-30440</v>
      </c>
      <c r="K142" s="75">
        <v>24413.100000000002</v>
      </c>
      <c r="L142" s="75">
        <v>14323.44</v>
      </c>
      <c r="M142" s="75">
        <v>29508.14</v>
      </c>
      <c r="N142" s="75">
        <v>22564.560000000001</v>
      </c>
      <c r="O142" s="75">
        <v>35118.299999999996</v>
      </c>
      <c r="P142" s="75">
        <v>26855.279999999999</v>
      </c>
      <c r="Q142" s="75">
        <v>33698.559999999998</v>
      </c>
      <c r="R142" s="75">
        <v>156041.38</v>
      </c>
    </row>
    <row r="143" spans="1:18" x14ac:dyDescent="0.3">
      <c r="A143">
        <v>126</v>
      </c>
      <c r="B143" s="19">
        <v>49.593699999999998</v>
      </c>
      <c r="C143" s="19">
        <v>34.448799999999999</v>
      </c>
      <c r="D143" s="19">
        <v>11.9405</v>
      </c>
      <c r="E143" s="19">
        <v>262.78179999999998</v>
      </c>
      <c r="F143" s="19">
        <v>15.568099999999999</v>
      </c>
      <c r="G143" s="19">
        <v>365.81279999999998</v>
      </c>
      <c r="H143" s="19">
        <v>4592.4346999999998</v>
      </c>
      <c r="I143" s="19">
        <v>8267.3654999999999</v>
      </c>
      <c r="J143" s="75">
        <v>274</v>
      </c>
      <c r="K143" s="75">
        <v>46990.8</v>
      </c>
      <c r="L143" s="75">
        <v>23132.400000000001</v>
      </c>
      <c r="M143" s="75">
        <v>-12989.16</v>
      </c>
      <c r="N143" s="75">
        <v>-2766.93</v>
      </c>
      <c r="O143" s="75">
        <v>-2545.1999999999998</v>
      </c>
      <c r="P143" s="75">
        <v>7440.21</v>
      </c>
      <c r="Q143" s="75">
        <v>-28092.42</v>
      </c>
      <c r="R143" s="75">
        <v>31443.700000000012</v>
      </c>
    </row>
    <row r="144" spans="1:18" x14ac:dyDescent="0.3">
      <c r="A144">
        <v>127</v>
      </c>
      <c r="B144" s="19">
        <v>49.727499999999999</v>
      </c>
      <c r="C144" s="19">
        <v>33.008800000000001</v>
      </c>
      <c r="D144" s="19">
        <v>11.8969</v>
      </c>
      <c r="E144" s="19">
        <v>247.65950000000001</v>
      </c>
      <c r="F144" s="19">
        <v>15.7728</v>
      </c>
      <c r="G144" s="19">
        <v>364.9939</v>
      </c>
      <c r="H144" s="19">
        <v>4393.7332999999999</v>
      </c>
      <c r="I144" s="19">
        <v>8554.0197000000007</v>
      </c>
      <c r="J144" s="75">
        <v>2950</v>
      </c>
      <c r="K144" s="75">
        <v>5950.8</v>
      </c>
      <c r="L144" s="75">
        <v>19260.72</v>
      </c>
      <c r="M144" s="75">
        <v>-70453.900000000009</v>
      </c>
      <c r="N144" s="75">
        <v>6383.1600000000008</v>
      </c>
      <c r="O144" s="75">
        <v>-5411.35</v>
      </c>
      <c r="P144" s="75">
        <v>-52170.21</v>
      </c>
      <c r="Q144" s="75">
        <v>29238.420000000002</v>
      </c>
      <c r="R144" s="75">
        <v>-64252.36</v>
      </c>
    </row>
    <row r="145" spans="1:18" x14ac:dyDescent="0.3">
      <c r="A145">
        <v>128</v>
      </c>
      <c r="B145" s="19">
        <v>49.601500000000001</v>
      </c>
      <c r="C145" s="19">
        <v>33.0077</v>
      </c>
      <c r="D145" s="19">
        <v>11.6929</v>
      </c>
      <c r="E145" s="19">
        <v>271.76620000000003</v>
      </c>
      <c r="F145" s="19">
        <v>15.5998</v>
      </c>
      <c r="G145" s="19">
        <v>371.00349999999997</v>
      </c>
      <c r="H145" s="19">
        <v>4491.6138000000001</v>
      </c>
      <c r="I145" s="19">
        <v>8043.7209999999995</v>
      </c>
      <c r="J145" s="75">
        <v>429.99999999999994</v>
      </c>
      <c r="K145" s="75">
        <v>5919.45</v>
      </c>
      <c r="L145" s="75">
        <v>1145.52</v>
      </c>
      <c r="M145" s="75">
        <v>21151.56</v>
      </c>
      <c r="N145" s="75">
        <v>-1349.94</v>
      </c>
      <c r="O145" s="75">
        <v>15622.25</v>
      </c>
      <c r="P145" s="75">
        <v>-22806.06</v>
      </c>
      <c r="Q145" s="75">
        <v>-72821.320000000007</v>
      </c>
      <c r="R145" s="75">
        <v>-52708.540000000008</v>
      </c>
    </row>
    <row r="146" spans="1:18" x14ac:dyDescent="0.3">
      <c r="A146">
        <v>129</v>
      </c>
      <c r="B146" s="19">
        <v>49.958799999999997</v>
      </c>
      <c r="C146" s="19">
        <v>32.322899999999997</v>
      </c>
      <c r="D146" s="19">
        <v>11.6126</v>
      </c>
      <c r="E146" s="19">
        <v>279.87779999999998</v>
      </c>
      <c r="F146" s="19">
        <v>16.0852</v>
      </c>
      <c r="G146" s="19">
        <v>369.9325</v>
      </c>
      <c r="H146" s="19">
        <v>4414.3832000000002</v>
      </c>
      <c r="I146" s="19">
        <v>7634.0227999999997</v>
      </c>
      <c r="J146" s="75">
        <v>7576.0000000000009</v>
      </c>
      <c r="K146" s="75">
        <v>-13597.35</v>
      </c>
      <c r="L146" s="75">
        <v>-5985.12</v>
      </c>
      <c r="M146" s="75">
        <v>51975.64</v>
      </c>
      <c r="N146" s="75">
        <v>20347.439999999999</v>
      </c>
      <c r="O146" s="75">
        <v>11873.75</v>
      </c>
      <c r="P146" s="75">
        <v>-45975.24</v>
      </c>
      <c r="Q146" s="75">
        <v>-154760.95999999999</v>
      </c>
      <c r="R146" s="75">
        <v>-128545.84</v>
      </c>
    </row>
    <row r="147" spans="1:18" x14ac:dyDescent="0.3">
      <c r="A147">
        <v>130</v>
      </c>
      <c r="B147" s="19">
        <v>48.9572</v>
      </c>
      <c r="C147" s="19">
        <v>32.314</v>
      </c>
      <c r="D147" s="19">
        <v>11.8924</v>
      </c>
      <c r="E147" s="19">
        <v>255.2474</v>
      </c>
      <c r="F147" s="19">
        <v>15.3363</v>
      </c>
      <c r="G147" s="19">
        <v>369.62610000000001</v>
      </c>
      <c r="H147" s="19">
        <v>4578.2614999999996</v>
      </c>
      <c r="I147" s="19">
        <v>7565.6113999999998</v>
      </c>
      <c r="J147" s="75">
        <v>-12456</v>
      </c>
      <c r="K147" s="75">
        <v>-13851</v>
      </c>
      <c r="L147" s="75">
        <v>18861.12</v>
      </c>
      <c r="M147" s="75">
        <v>-41619.880000000005</v>
      </c>
      <c r="N147" s="75">
        <v>-13128.390000000001</v>
      </c>
      <c r="O147" s="75">
        <v>10801.35</v>
      </c>
      <c r="P147" s="75">
        <v>3188.25</v>
      </c>
      <c r="Q147" s="75">
        <v>-168443.24</v>
      </c>
      <c r="R147" s="75">
        <v>-216647.79</v>
      </c>
    </row>
    <row r="148" spans="1:18" x14ac:dyDescent="0.3">
      <c r="A148">
        <v>131</v>
      </c>
      <c r="B148" s="19">
        <v>49.180799999999998</v>
      </c>
      <c r="C148" s="19">
        <v>33.661799999999999</v>
      </c>
      <c r="D148" s="19">
        <v>11.7712</v>
      </c>
      <c r="E148" s="19">
        <v>267.58589999999998</v>
      </c>
      <c r="F148" s="19">
        <v>15.7903</v>
      </c>
      <c r="G148" s="19">
        <v>366.80360000000002</v>
      </c>
      <c r="H148" s="19">
        <v>4702.9741999999997</v>
      </c>
      <c r="I148" s="19">
        <v>8360.7034999999996</v>
      </c>
      <c r="J148" s="75">
        <v>-7984</v>
      </c>
      <c r="K148" s="75">
        <v>24561.3</v>
      </c>
      <c r="L148" s="75">
        <v>8098.56</v>
      </c>
      <c r="M148" s="75">
        <v>5266.42</v>
      </c>
      <c r="N148" s="75">
        <v>7165.41</v>
      </c>
      <c r="O148" s="75">
        <v>922.6</v>
      </c>
      <c r="P148" s="75">
        <v>40602.060000000005</v>
      </c>
      <c r="Q148" s="75">
        <v>-9424.82</v>
      </c>
      <c r="R148" s="75">
        <v>69207.53</v>
      </c>
    </row>
    <row r="149" spans="1:18" x14ac:dyDescent="0.3">
      <c r="A149">
        <v>132</v>
      </c>
      <c r="B149" s="19">
        <v>49.753300000000003</v>
      </c>
      <c r="C149" s="19">
        <v>33.017400000000002</v>
      </c>
      <c r="D149" s="19">
        <v>11.501300000000001</v>
      </c>
      <c r="E149" s="19">
        <v>277.0324</v>
      </c>
      <c r="F149" s="19">
        <v>15.136100000000001</v>
      </c>
      <c r="G149" s="19">
        <v>360.45440000000002</v>
      </c>
      <c r="H149" s="19">
        <v>4574.0081</v>
      </c>
      <c r="I149" s="19">
        <v>8394.9331999999995</v>
      </c>
      <c r="J149" s="75">
        <v>3466</v>
      </c>
      <c r="K149" s="75">
        <v>6195.9000000000005</v>
      </c>
      <c r="L149" s="75">
        <v>-15868.56</v>
      </c>
      <c r="M149" s="75">
        <v>41163.120000000003</v>
      </c>
      <c r="N149" s="75">
        <v>-22077.33</v>
      </c>
      <c r="O149" s="75">
        <v>-21299.600000000002</v>
      </c>
      <c r="P149" s="75">
        <v>1912.23</v>
      </c>
      <c r="Q149" s="75">
        <v>-2578.8799999999997</v>
      </c>
      <c r="R149" s="75">
        <v>-9087.1199999999972</v>
      </c>
    </row>
    <row r="150" spans="1:18" x14ac:dyDescent="0.3">
      <c r="A150">
        <v>133</v>
      </c>
      <c r="B150" s="19">
        <v>49.504800000000003</v>
      </c>
      <c r="C150" s="19">
        <v>33.353700000000003</v>
      </c>
      <c r="D150" s="19">
        <v>12.1065</v>
      </c>
      <c r="E150" s="19">
        <v>262.92309999999998</v>
      </c>
      <c r="F150" s="19">
        <v>15.6556</v>
      </c>
      <c r="G150" s="19">
        <v>366.64240000000001</v>
      </c>
      <c r="H150" s="19">
        <v>4746.6293999999998</v>
      </c>
      <c r="I150" s="19">
        <v>8174.1998999999996</v>
      </c>
      <c r="J150" s="75">
        <v>-1504</v>
      </c>
      <c r="K150" s="75">
        <v>15780.449999999999</v>
      </c>
      <c r="L150" s="75">
        <v>37873.199999999997</v>
      </c>
      <c r="M150" s="75">
        <v>-12452.22</v>
      </c>
      <c r="N150" s="75">
        <v>1144.3200000000002</v>
      </c>
      <c r="O150" s="75">
        <v>358.40000000000003</v>
      </c>
      <c r="P150" s="75">
        <v>53698.619999999995</v>
      </c>
      <c r="Q150" s="75">
        <v>-46725.54</v>
      </c>
      <c r="R150" s="75">
        <v>48173.229999999989</v>
      </c>
    </row>
    <row r="151" spans="1:18" x14ac:dyDescent="0.3">
      <c r="A151">
        <v>134</v>
      </c>
      <c r="B151" s="19">
        <v>49.396999999999998</v>
      </c>
      <c r="C151" s="19">
        <v>32.214799999999997</v>
      </c>
      <c r="D151" s="19">
        <v>11.5768</v>
      </c>
      <c r="E151" s="19">
        <v>267.66219999999998</v>
      </c>
      <c r="F151" s="19">
        <v>15.774900000000001</v>
      </c>
      <c r="G151" s="19">
        <v>367.06549999999999</v>
      </c>
      <c r="H151" s="19">
        <v>4407.6486000000004</v>
      </c>
      <c r="I151" s="19">
        <v>8022.8908000000001</v>
      </c>
      <c r="J151" s="75">
        <v>-3660</v>
      </c>
      <c r="K151" s="75">
        <v>-16678.2</v>
      </c>
      <c r="L151" s="75">
        <v>-9164.16</v>
      </c>
      <c r="M151" s="75">
        <v>5556.36</v>
      </c>
      <c r="N151" s="75">
        <v>6477.03</v>
      </c>
      <c r="O151" s="75">
        <v>1839.2499999999998</v>
      </c>
      <c r="P151" s="75">
        <v>-47995.62</v>
      </c>
      <c r="Q151" s="75">
        <v>-76987.360000000001</v>
      </c>
      <c r="R151" s="75">
        <v>-140612.70000000001</v>
      </c>
    </row>
    <row r="152" spans="1:18" x14ac:dyDescent="0.3">
      <c r="A152">
        <v>135</v>
      </c>
      <c r="B152" s="19">
        <v>49.1098</v>
      </c>
      <c r="C152" s="19">
        <v>32.265900000000002</v>
      </c>
      <c r="D152" s="19">
        <v>11.774100000000001</v>
      </c>
      <c r="E152" s="19">
        <v>265.41590000000002</v>
      </c>
      <c r="F152" s="19">
        <v>15.5038</v>
      </c>
      <c r="G152" s="19">
        <v>367.60980000000001</v>
      </c>
      <c r="H152" s="19">
        <v>4568.8290999999999</v>
      </c>
      <c r="I152" s="19">
        <v>8882.4902000000002</v>
      </c>
      <c r="J152" s="75">
        <v>-9404</v>
      </c>
      <c r="K152" s="75">
        <v>-15221.85</v>
      </c>
      <c r="L152" s="75">
        <v>8356.08</v>
      </c>
      <c r="M152" s="75">
        <v>-2979.58</v>
      </c>
      <c r="N152" s="75">
        <v>-5641.14</v>
      </c>
      <c r="O152" s="75">
        <v>3744.3</v>
      </c>
      <c r="P152" s="75">
        <v>358.53000000000003</v>
      </c>
      <c r="Q152" s="75">
        <v>94932.52</v>
      </c>
      <c r="R152" s="75">
        <v>74144.86</v>
      </c>
    </row>
    <row r="153" spans="1:18" x14ac:dyDescent="0.3">
      <c r="A153">
        <v>136</v>
      </c>
      <c r="B153" s="19">
        <v>49.784300000000002</v>
      </c>
      <c r="C153" s="19">
        <v>32.470999999999997</v>
      </c>
      <c r="D153" s="19">
        <v>11.889200000000001</v>
      </c>
      <c r="E153" s="19">
        <v>267.1857</v>
      </c>
      <c r="F153" s="19">
        <v>15.6816</v>
      </c>
      <c r="G153" s="19">
        <v>367.34019999999998</v>
      </c>
      <c r="H153" s="19">
        <v>4701.7440999999999</v>
      </c>
      <c r="I153" s="19">
        <v>8761.0907000000007</v>
      </c>
      <c r="J153" s="75">
        <v>4086</v>
      </c>
      <c r="K153" s="75">
        <v>-9376.5</v>
      </c>
      <c r="L153" s="75">
        <v>18576.96</v>
      </c>
      <c r="M153" s="75">
        <v>3745.66</v>
      </c>
      <c r="N153" s="75">
        <v>2306.52</v>
      </c>
      <c r="O153" s="75">
        <v>2800.7000000000003</v>
      </c>
      <c r="P153" s="75">
        <v>40233.03</v>
      </c>
      <c r="Q153" s="75">
        <v>70652.62</v>
      </c>
      <c r="R153" s="75">
        <v>133024.99</v>
      </c>
    </row>
    <row r="154" spans="1:18" x14ac:dyDescent="0.3">
      <c r="A154">
        <v>137</v>
      </c>
      <c r="B154" s="19">
        <v>50.182899999999997</v>
      </c>
      <c r="C154" s="19">
        <v>31.864699999999999</v>
      </c>
      <c r="D154" s="19">
        <v>11.7599</v>
      </c>
      <c r="E154" s="19">
        <v>270.34500000000003</v>
      </c>
      <c r="F154" s="19">
        <v>15.439500000000001</v>
      </c>
      <c r="G154" s="19">
        <v>390.47140000000002</v>
      </c>
      <c r="H154" s="19">
        <v>4659.4957999999997</v>
      </c>
      <c r="I154" s="19">
        <v>8166.6431000000002</v>
      </c>
      <c r="J154" s="75">
        <v>12058</v>
      </c>
      <c r="K154" s="75">
        <v>-26656.05</v>
      </c>
      <c r="L154" s="75">
        <v>7095.12</v>
      </c>
      <c r="M154" s="75">
        <v>15750.999999999998</v>
      </c>
      <c r="N154" s="75">
        <v>-8515.35</v>
      </c>
      <c r="O154" s="75">
        <v>83759.899999999994</v>
      </c>
      <c r="P154" s="75">
        <v>27558.54</v>
      </c>
      <c r="Q154" s="75">
        <v>-48236.9</v>
      </c>
      <c r="R154" s="75">
        <v>62814.26</v>
      </c>
    </row>
    <row r="155" spans="1:18" x14ac:dyDescent="0.3">
      <c r="A155">
        <v>138</v>
      </c>
      <c r="B155" s="19">
        <v>49.586599999999997</v>
      </c>
      <c r="C155" s="19">
        <v>32.5473</v>
      </c>
      <c r="D155" s="19">
        <v>11.5122</v>
      </c>
      <c r="E155" s="19">
        <v>288.39210000000003</v>
      </c>
      <c r="F155" s="19">
        <v>15.9291</v>
      </c>
      <c r="G155" s="19">
        <v>362.46589999999998</v>
      </c>
      <c r="H155" s="19">
        <v>4420.4673000000003</v>
      </c>
      <c r="I155" s="19">
        <v>8211.6108000000004</v>
      </c>
      <c r="J155" s="75">
        <v>132</v>
      </c>
      <c r="K155" s="75">
        <v>-7201.95</v>
      </c>
      <c r="L155" s="75">
        <v>-14900.640000000001</v>
      </c>
      <c r="M155" s="75">
        <v>84329.98</v>
      </c>
      <c r="N155" s="75">
        <v>13369.769999999999</v>
      </c>
      <c r="O155" s="75">
        <v>-14259.349999999999</v>
      </c>
      <c r="P155" s="75">
        <v>-44150.009999999995</v>
      </c>
      <c r="Q155" s="75">
        <v>-39243.360000000001</v>
      </c>
      <c r="R155" s="75">
        <v>-21923.55999999999</v>
      </c>
    </row>
    <row r="156" spans="1:18" x14ac:dyDescent="0.3">
      <c r="A156">
        <v>139</v>
      </c>
      <c r="B156" s="19">
        <v>48.978400000000001</v>
      </c>
      <c r="C156" s="19">
        <v>33.398000000000003</v>
      </c>
      <c r="D156" s="19">
        <v>11.6272</v>
      </c>
      <c r="E156" s="19">
        <v>246.5247</v>
      </c>
      <c r="F156" s="19">
        <v>15.502800000000001</v>
      </c>
      <c r="G156" s="19">
        <v>370.79250000000002</v>
      </c>
      <c r="H156" s="19">
        <v>4702.1812</v>
      </c>
      <c r="I156" s="19">
        <v>8295.3528999999999</v>
      </c>
      <c r="J156" s="75">
        <v>-12032</v>
      </c>
      <c r="K156" s="75">
        <v>17043</v>
      </c>
      <c r="L156" s="75">
        <v>-4688.6400000000003</v>
      </c>
      <c r="M156" s="75">
        <v>-74766.14</v>
      </c>
      <c r="N156" s="75">
        <v>-5685.84</v>
      </c>
      <c r="O156" s="75">
        <v>14883.750000000002</v>
      </c>
      <c r="P156" s="75">
        <v>40364.160000000003</v>
      </c>
      <c r="Q156" s="75">
        <v>-22494.94</v>
      </c>
      <c r="R156" s="75">
        <v>-47376.649999999994</v>
      </c>
    </row>
    <row r="157" spans="1:18" x14ac:dyDescent="0.3">
      <c r="A157">
        <v>140</v>
      </c>
      <c r="B157" s="19">
        <v>49.853700000000003</v>
      </c>
      <c r="C157" s="19">
        <v>32.424999999999997</v>
      </c>
      <c r="D157" s="19">
        <v>11.601900000000001</v>
      </c>
      <c r="E157" s="19">
        <v>267.4803</v>
      </c>
      <c r="F157" s="19">
        <v>15.5358</v>
      </c>
      <c r="G157" s="19">
        <v>358.37610000000001</v>
      </c>
      <c r="H157" s="19">
        <v>4515.6264000000001</v>
      </c>
      <c r="I157" s="19">
        <v>9165.4559000000008</v>
      </c>
      <c r="J157" s="75">
        <v>5474</v>
      </c>
      <c r="K157" s="75">
        <v>-10687.5</v>
      </c>
      <c r="L157" s="75">
        <v>-6935.2800000000007</v>
      </c>
      <c r="M157" s="75">
        <v>4865.1400000000003</v>
      </c>
      <c r="N157" s="75">
        <v>-4210.7400000000007</v>
      </c>
      <c r="O157" s="75">
        <v>-28573.65</v>
      </c>
      <c r="P157" s="75">
        <v>-15602.279999999999</v>
      </c>
      <c r="Q157" s="75">
        <v>151525.66</v>
      </c>
      <c r="R157" s="75">
        <v>95855.35</v>
      </c>
    </row>
    <row r="158" spans="1:18" x14ac:dyDescent="0.3">
      <c r="A158">
        <v>141</v>
      </c>
      <c r="B158" s="19">
        <v>49.447600000000001</v>
      </c>
      <c r="C158" s="19">
        <v>33.025700000000001</v>
      </c>
      <c r="D158" s="19">
        <v>11.8262</v>
      </c>
      <c r="E158" s="19">
        <v>275.38830000000002</v>
      </c>
      <c r="F158" s="19">
        <v>15.8523</v>
      </c>
      <c r="G158" s="19">
        <v>361.34399999999999</v>
      </c>
      <c r="H158" s="19">
        <v>4415.7187999999996</v>
      </c>
      <c r="I158" s="19">
        <v>8161.7713000000003</v>
      </c>
      <c r="J158" s="75">
        <v>-2648</v>
      </c>
      <c r="K158" s="75">
        <v>6432.4500000000007</v>
      </c>
      <c r="L158" s="75">
        <v>12982.56</v>
      </c>
      <c r="M158" s="75">
        <v>34915.54</v>
      </c>
      <c r="N158" s="75">
        <v>9936.81</v>
      </c>
      <c r="O158" s="75">
        <v>-18186</v>
      </c>
      <c r="P158" s="75">
        <v>-45574.559999999998</v>
      </c>
      <c r="Q158" s="75">
        <v>-49211.26</v>
      </c>
      <c r="R158" s="75">
        <v>-51352.46</v>
      </c>
    </row>
    <row r="159" spans="1:18" x14ac:dyDescent="0.3">
      <c r="A159">
        <v>142</v>
      </c>
      <c r="B159" s="19">
        <v>49.513100000000001</v>
      </c>
      <c r="C159" s="19">
        <v>33.235199999999999</v>
      </c>
      <c r="D159" s="19">
        <v>11.944699999999999</v>
      </c>
      <c r="E159" s="19">
        <v>253.23609999999999</v>
      </c>
      <c r="F159" s="19">
        <v>15.7536</v>
      </c>
      <c r="G159" s="19">
        <v>364.74340000000001</v>
      </c>
      <c r="H159" s="19">
        <v>4589.3723</v>
      </c>
      <c r="I159" s="19">
        <v>7759.4732000000004</v>
      </c>
      <c r="J159" s="75">
        <v>-1338</v>
      </c>
      <c r="K159" s="75">
        <v>12403.199999999999</v>
      </c>
      <c r="L159" s="75">
        <v>23505.360000000001</v>
      </c>
      <c r="M159" s="75">
        <v>-49262.82</v>
      </c>
      <c r="N159" s="75">
        <v>5524.92</v>
      </c>
      <c r="O159" s="75">
        <v>-6288.1</v>
      </c>
      <c r="P159" s="75">
        <v>6521.49</v>
      </c>
      <c r="Q159" s="75">
        <v>-129670.88</v>
      </c>
      <c r="R159" s="75">
        <v>-138604.83000000002</v>
      </c>
    </row>
    <row r="160" spans="1:18" x14ac:dyDescent="0.3">
      <c r="A160">
        <v>143</v>
      </c>
      <c r="B160" s="19">
        <v>49.545699999999997</v>
      </c>
      <c r="C160" s="19">
        <v>32.107599999999998</v>
      </c>
      <c r="D160" s="19">
        <v>12.207000000000001</v>
      </c>
      <c r="E160" s="19">
        <v>261.84730000000002</v>
      </c>
      <c r="F160" s="19">
        <v>15.710699999999999</v>
      </c>
      <c r="G160" s="19">
        <v>368.3836</v>
      </c>
      <c r="H160" s="19">
        <v>4547.8723</v>
      </c>
      <c r="I160" s="19">
        <v>7887.2331000000004</v>
      </c>
      <c r="J160" s="75">
        <v>-686</v>
      </c>
      <c r="K160" s="75">
        <v>-19733.400000000001</v>
      </c>
      <c r="L160" s="75">
        <v>46797.599999999999</v>
      </c>
      <c r="M160" s="75">
        <v>-16540.259999999998</v>
      </c>
      <c r="N160" s="75">
        <v>3607.2899999999995</v>
      </c>
      <c r="O160" s="75">
        <v>6452.5999999999995</v>
      </c>
      <c r="P160" s="75">
        <v>-5928.51</v>
      </c>
      <c r="Q160" s="75">
        <v>-104118.90000000001</v>
      </c>
      <c r="R160" s="75">
        <v>-90149.580000000016</v>
      </c>
    </row>
    <row r="161" spans="1:18" x14ac:dyDescent="0.3">
      <c r="A161">
        <v>144</v>
      </c>
      <c r="B161" s="19">
        <v>49.204900000000002</v>
      </c>
      <c r="C161" s="19">
        <v>33.211599999999997</v>
      </c>
      <c r="D161" s="19">
        <v>11.691000000000001</v>
      </c>
      <c r="E161" s="19">
        <v>267.09550000000002</v>
      </c>
      <c r="F161" s="19">
        <v>15.634499999999999</v>
      </c>
      <c r="G161" s="19">
        <v>356.5591</v>
      </c>
      <c r="H161" s="19">
        <v>4516.7330000000002</v>
      </c>
      <c r="I161" s="19">
        <v>7854.7394000000004</v>
      </c>
      <c r="J161" s="75">
        <v>-7502</v>
      </c>
      <c r="K161" s="75">
        <v>11730.6</v>
      </c>
      <c r="L161" s="75">
        <v>976.8</v>
      </c>
      <c r="M161" s="75">
        <v>3402.8999999999996</v>
      </c>
      <c r="N161" s="75">
        <v>201.14999999999998</v>
      </c>
      <c r="O161" s="75">
        <v>-34933.15</v>
      </c>
      <c r="P161" s="75">
        <v>-15270.300000000001</v>
      </c>
      <c r="Q161" s="75">
        <v>-110617.64</v>
      </c>
      <c r="R161" s="75">
        <v>-152011.64000000001</v>
      </c>
    </row>
    <row r="162" spans="1:18" x14ac:dyDescent="0.3">
      <c r="A162">
        <v>145</v>
      </c>
      <c r="B162" s="19">
        <v>49.365200000000002</v>
      </c>
      <c r="C162" s="19">
        <v>33.201000000000001</v>
      </c>
      <c r="D162" s="19">
        <v>12.0852</v>
      </c>
      <c r="E162" s="19">
        <v>269.66379999999998</v>
      </c>
      <c r="F162" s="19">
        <v>15.5776</v>
      </c>
      <c r="G162" s="19">
        <v>375.6635</v>
      </c>
      <c r="H162" s="19">
        <v>4570.6530000000002</v>
      </c>
      <c r="I162" s="19">
        <v>8427.2760999999991</v>
      </c>
      <c r="J162" s="75">
        <v>-4296</v>
      </c>
      <c r="K162" s="75">
        <v>11428.5</v>
      </c>
      <c r="L162" s="75">
        <v>35981.760000000002</v>
      </c>
      <c r="M162" s="75">
        <v>13162.44</v>
      </c>
      <c r="N162" s="75">
        <v>-2342.2800000000002</v>
      </c>
      <c r="O162" s="75">
        <v>31932.25</v>
      </c>
      <c r="P162" s="75">
        <v>905.7</v>
      </c>
      <c r="Q162" s="75">
        <v>3889.7</v>
      </c>
      <c r="R162" s="75">
        <v>90662.07</v>
      </c>
    </row>
    <row r="163" spans="1:18" x14ac:dyDescent="0.3">
      <c r="A163">
        <v>146</v>
      </c>
      <c r="B163" s="19">
        <v>48.993400000000001</v>
      </c>
      <c r="C163" s="19">
        <v>32.363599999999998</v>
      </c>
      <c r="D163" s="19">
        <v>11.651</v>
      </c>
      <c r="E163" s="19">
        <v>271.04300000000001</v>
      </c>
      <c r="F163" s="19">
        <v>15.9595</v>
      </c>
      <c r="G163" s="19">
        <v>367.10910000000001</v>
      </c>
      <c r="H163" s="19">
        <v>4490.1745000000001</v>
      </c>
      <c r="I163" s="19">
        <v>9073.0512999999992</v>
      </c>
      <c r="J163" s="75">
        <v>-11732</v>
      </c>
      <c r="K163" s="75">
        <v>-12437.4</v>
      </c>
      <c r="L163" s="75">
        <v>-2575.2000000000003</v>
      </c>
      <c r="M163" s="75">
        <v>18403.400000000001</v>
      </c>
      <c r="N163" s="75">
        <v>14728.650000000001</v>
      </c>
      <c r="O163" s="75">
        <v>1991.8500000000001</v>
      </c>
      <c r="P163" s="75">
        <v>-23237.850000000002</v>
      </c>
      <c r="Q163" s="75">
        <v>133044.74</v>
      </c>
      <c r="R163" s="75">
        <v>118186.18999999999</v>
      </c>
    </row>
    <row r="164" spans="1:18" x14ac:dyDescent="0.3">
      <c r="A164">
        <v>147</v>
      </c>
      <c r="B164" s="19">
        <v>49.651400000000002</v>
      </c>
      <c r="C164" s="19">
        <v>32.156599999999997</v>
      </c>
      <c r="D164" s="19">
        <v>11.8344</v>
      </c>
      <c r="E164" s="19">
        <v>265.90370000000001</v>
      </c>
      <c r="F164" s="19">
        <v>14.8772</v>
      </c>
      <c r="G164" s="19">
        <v>363.80610000000001</v>
      </c>
      <c r="H164" s="19">
        <v>4486.3829999999998</v>
      </c>
      <c r="I164" s="19">
        <v>8431.7232999999997</v>
      </c>
      <c r="J164" s="75">
        <v>1428</v>
      </c>
      <c r="K164" s="75">
        <v>-18336.899999999998</v>
      </c>
      <c r="L164" s="75">
        <v>13710.720000000001</v>
      </c>
      <c r="M164" s="75">
        <v>-1125.94</v>
      </c>
      <c r="N164" s="75">
        <v>-33650.160000000003</v>
      </c>
      <c r="O164" s="75">
        <v>-9568.6500000000015</v>
      </c>
      <c r="P164" s="75">
        <v>-24375.300000000003</v>
      </c>
      <c r="Q164" s="75">
        <v>4779.1400000000003</v>
      </c>
      <c r="R164" s="75">
        <v>-67139.090000000011</v>
      </c>
    </row>
    <row r="165" spans="1:18" x14ac:dyDescent="0.3">
      <c r="A165">
        <v>148</v>
      </c>
      <c r="B165" s="19">
        <v>49.1449</v>
      </c>
      <c r="C165" s="19">
        <v>32.923000000000002</v>
      </c>
      <c r="D165" s="19">
        <v>12.0579</v>
      </c>
      <c r="E165" s="19">
        <v>273.19400000000002</v>
      </c>
      <c r="F165" s="19">
        <v>15.6404</v>
      </c>
      <c r="G165" s="19">
        <v>369.62299999999999</v>
      </c>
      <c r="H165" s="19">
        <v>4580.6462000000001</v>
      </c>
      <c r="I165" s="19">
        <v>8446.1267000000007</v>
      </c>
      <c r="J165" s="75">
        <v>-8702</v>
      </c>
      <c r="K165" s="75">
        <v>3505.5</v>
      </c>
      <c r="L165" s="75">
        <v>33557.520000000004</v>
      </c>
      <c r="M165" s="75">
        <v>26577.200000000001</v>
      </c>
      <c r="N165" s="75">
        <v>464.88</v>
      </c>
      <c r="O165" s="75">
        <v>10790.5</v>
      </c>
      <c r="P165" s="75">
        <v>3903.66</v>
      </c>
      <c r="Q165" s="75">
        <v>7659.8200000000006</v>
      </c>
      <c r="R165" s="75">
        <v>77757.080000000016</v>
      </c>
    </row>
    <row r="166" spans="1:18" x14ac:dyDescent="0.3">
      <c r="A166">
        <v>149</v>
      </c>
      <c r="B166" s="19">
        <v>50.179200000000002</v>
      </c>
      <c r="C166" s="19">
        <v>32.071399999999997</v>
      </c>
      <c r="D166" s="19">
        <v>11.8881</v>
      </c>
      <c r="E166" s="19">
        <v>270.70409999999998</v>
      </c>
      <c r="F166" s="19">
        <v>15.3674</v>
      </c>
      <c r="G166" s="19">
        <v>354.73439999999999</v>
      </c>
      <c r="H166" s="19">
        <v>4403.4903000000004</v>
      </c>
      <c r="I166" s="19">
        <v>8177.2641999999996</v>
      </c>
      <c r="J166" s="75">
        <v>11984</v>
      </c>
      <c r="K166" s="75">
        <v>-20765.100000000002</v>
      </c>
      <c r="L166" s="75">
        <v>18479.28</v>
      </c>
      <c r="M166" s="75">
        <v>17115.580000000002</v>
      </c>
      <c r="N166" s="75">
        <v>-11738.22</v>
      </c>
      <c r="O166" s="75">
        <v>-41319.599999999999</v>
      </c>
      <c r="P166" s="75">
        <v>-49243.11</v>
      </c>
      <c r="Q166" s="75">
        <v>-46112.68</v>
      </c>
      <c r="R166" s="75">
        <v>-121599.85</v>
      </c>
    </row>
    <row r="167" spans="1:18" x14ac:dyDescent="0.3">
      <c r="A167">
        <v>150</v>
      </c>
      <c r="B167" s="19">
        <v>48.999699999999997</v>
      </c>
      <c r="C167" s="19">
        <v>32.921500000000002</v>
      </c>
      <c r="D167" s="19">
        <v>11.8415</v>
      </c>
      <c r="E167" s="19">
        <v>263.51650000000001</v>
      </c>
      <c r="F167" s="19">
        <v>15.718</v>
      </c>
      <c r="G167" s="19">
        <v>367.92790000000002</v>
      </c>
      <c r="H167" s="19">
        <v>4579.8041000000003</v>
      </c>
      <c r="I167" s="19">
        <v>8564.7307999999994</v>
      </c>
      <c r="J167" s="75">
        <v>-11606</v>
      </c>
      <c r="K167" s="75">
        <v>3462.75</v>
      </c>
      <c r="L167" s="75">
        <v>14341.2</v>
      </c>
      <c r="M167" s="75">
        <v>-10197.299999999999</v>
      </c>
      <c r="N167" s="75">
        <v>3933.6</v>
      </c>
      <c r="O167" s="75">
        <v>4857.6499999999996</v>
      </c>
      <c r="P167" s="75">
        <v>3651.0299999999997</v>
      </c>
      <c r="Q167" s="75">
        <v>31380.639999999999</v>
      </c>
      <c r="R167" s="75">
        <v>39823.57</v>
      </c>
    </row>
    <row r="168" spans="1:18" x14ac:dyDescent="0.3">
      <c r="A168">
        <v>151</v>
      </c>
      <c r="B168" s="19">
        <v>49.493600000000001</v>
      </c>
      <c r="C168" s="19">
        <v>32.7224</v>
      </c>
      <c r="D168" s="19">
        <v>11.6593</v>
      </c>
      <c r="E168" s="19">
        <v>264.27019999999999</v>
      </c>
      <c r="F168" s="19">
        <v>15.400700000000001</v>
      </c>
      <c r="G168" s="19">
        <v>363.6857</v>
      </c>
      <c r="H168" s="19">
        <v>4508.3451999999997</v>
      </c>
      <c r="I168" s="19">
        <v>8870.6926000000003</v>
      </c>
      <c r="J168" s="75">
        <v>-1728</v>
      </c>
      <c r="K168" s="75">
        <v>-2211.6</v>
      </c>
      <c r="L168" s="75">
        <v>-1838.16</v>
      </c>
      <c r="M168" s="75">
        <v>-7333.24</v>
      </c>
      <c r="N168" s="75">
        <v>-10249.710000000001</v>
      </c>
      <c r="O168" s="75">
        <v>-9990.0499999999993</v>
      </c>
      <c r="P168" s="75">
        <v>-17786.64</v>
      </c>
      <c r="Q168" s="75">
        <v>92573</v>
      </c>
      <c r="R168" s="75">
        <v>41435.600000000006</v>
      </c>
    </row>
    <row r="169" spans="1:18" x14ac:dyDescent="0.3">
      <c r="A169">
        <v>152</v>
      </c>
      <c r="B169" s="19">
        <v>49.295200000000001</v>
      </c>
      <c r="C169" s="19">
        <v>33.5383</v>
      </c>
      <c r="D169" s="19">
        <v>11.4339</v>
      </c>
      <c r="E169" s="19">
        <v>268.904</v>
      </c>
      <c r="F169" s="19">
        <v>15.0953</v>
      </c>
      <c r="G169" s="19">
        <v>366.72320000000002</v>
      </c>
      <c r="H169" s="19">
        <v>4467.3903</v>
      </c>
      <c r="I169" s="19">
        <v>8310.3215</v>
      </c>
      <c r="J169" s="75">
        <v>-5696</v>
      </c>
      <c r="K169" s="75">
        <v>21041.55</v>
      </c>
      <c r="L169" s="75">
        <v>-21853.68</v>
      </c>
      <c r="M169" s="75">
        <v>10275.200000000001</v>
      </c>
      <c r="N169" s="75">
        <v>-23901.089999999997</v>
      </c>
      <c r="O169" s="75">
        <v>641.20000000000005</v>
      </c>
      <c r="P169" s="75">
        <v>-30073.11</v>
      </c>
      <c r="Q169" s="75">
        <v>-19501.22</v>
      </c>
      <c r="R169" s="75">
        <v>-69067.149999999994</v>
      </c>
    </row>
    <row r="170" spans="1:18" x14ac:dyDescent="0.3">
      <c r="A170">
        <v>153</v>
      </c>
      <c r="B170" s="19">
        <v>50.042099999999998</v>
      </c>
      <c r="C170" s="19">
        <v>32.3474</v>
      </c>
      <c r="D170" s="19">
        <v>11.586499999999999</v>
      </c>
      <c r="E170" s="19">
        <v>270.3938</v>
      </c>
      <c r="F170" s="19">
        <v>15.7476</v>
      </c>
      <c r="G170" s="19">
        <v>365.80079999999998</v>
      </c>
      <c r="H170" s="19">
        <v>4511.3973999999998</v>
      </c>
      <c r="I170" s="19">
        <v>8955.5238000000008</v>
      </c>
      <c r="J170" s="75">
        <v>9242</v>
      </c>
      <c r="K170" s="75">
        <v>-12899.1</v>
      </c>
      <c r="L170" s="75">
        <v>-8302.7999999999993</v>
      </c>
      <c r="M170" s="75">
        <v>15936.440000000002</v>
      </c>
      <c r="N170" s="75">
        <v>5256.72</v>
      </c>
      <c r="O170" s="75">
        <v>-2587.1999999999998</v>
      </c>
      <c r="P170" s="75">
        <v>-16870.98</v>
      </c>
      <c r="Q170" s="75">
        <v>109539.23999999999</v>
      </c>
      <c r="R170" s="75">
        <v>99314.319999999992</v>
      </c>
    </row>
    <row r="171" spans="1:18" x14ac:dyDescent="0.3">
      <c r="A171">
        <v>154</v>
      </c>
      <c r="B171" s="19">
        <v>49.844200000000001</v>
      </c>
      <c r="C171" s="19">
        <v>32.511000000000003</v>
      </c>
      <c r="D171" s="19">
        <v>12.12</v>
      </c>
      <c r="E171" s="19">
        <v>261.00529999999998</v>
      </c>
      <c r="F171" s="19">
        <v>15.4415</v>
      </c>
      <c r="G171" s="19">
        <v>356.27280000000002</v>
      </c>
      <c r="H171" s="19">
        <v>4559.2175999999999</v>
      </c>
      <c r="I171" s="19">
        <v>8016.3091999999997</v>
      </c>
      <c r="J171" s="75">
        <v>5284</v>
      </c>
      <c r="K171" s="75">
        <v>-8236.5</v>
      </c>
      <c r="L171" s="75">
        <v>39072</v>
      </c>
      <c r="M171" s="75">
        <v>-19739.86</v>
      </c>
      <c r="N171" s="75">
        <v>-8425.9500000000007</v>
      </c>
      <c r="O171" s="75">
        <v>-35935.200000000004</v>
      </c>
      <c r="P171" s="75">
        <v>-2524.9199999999996</v>
      </c>
      <c r="Q171" s="75">
        <v>-78303.679999999993</v>
      </c>
      <c r="R171" s="75">
        <v>-108810.11</v>
      </c>
    </row>
    <row r="172" spans="1:18" x14ac:dyDescent="0.3">
      <c r="A172">
        <v>155</v>
      </c>
      <c r="B172" s="19">
        <v>49.295200000000001</v>
      </c>
      <c r="C172" s="19">
        <v>32.9011</v>
      </c>
      <c r="D172" s="19">
        <v>11.760999999999999</v>
      </c>
      <c r="E172" s="19">
        <v>264.35250000000002</v>
      </c>
      <c r="F172" s="19">
        <v>15.4001</v>
      </c>
      <c r="G172" s="19">
        <v>357.1035</v>
      </c>
      <c r="H172" s="19">
        <v>4541.8635999999997</v>
      </c>
      <c r="I172" s="19">
        <v>7944.5623999999998</v>
      </c>
      <c r="J172" s="75">
        <v>-5696</v>
      </c>
      <c r="K172" s="75">
        <v>2881.35</v>
      </c>
      <c r="L172" s="75">
        <v>7192.8</v>
      </c>
      <c r="M172" s="75">
        <v>-7020.5</v>
      </c>
      <c r="N172" s="75">
        <v>-10276.529999999999</v>
      </c>
      <c r="O172" s="75">
        <v>-33027.75</v>
      </c>
      <c r="P172" s="75">
        <v>-7731.12</v>
      </c>
      <c r="Q172" s="75">
        <v>-92653.04</v>
      </c>
      <c r="R172" s="75">
        <v>-146330.78999999998</v>
      </c>
    </row>
    <row r="173" spans="1:18" x14ac:dyDescent="0.3">
      <c r="A173">
        <v>156</v>
      </c>
      <c r="B173" s="19">
        <v>49.747</v>
      </c>
      <c r="C173" s="19">
        <v>32.436300000000003</v>
      </c>
      <c r="D173" s="19">
        <v>11.6663</v>
      </c>
      <c r="E173" s="19">
        <v>273.4076</v>
      </c>
      <c r="F173" s="19">
        <v>15.869400000000001</v>
      </c>
      <c r="G173" s="19">
        <v>373.55220000000003</v>
      </c>
      <c r="H173" s="19">
        <v>4566.7939999999999</v>
      </c>
      <c r="I173" s="19">
        <v>8763.3986999999997</v>
      </c>
      <c r="J173" s="75">
        <v>3340</v>
      </c>
      <c r="K173" s="75">
        <v>-10365.450000000001</v>
      </c>
      <c r="L173" s="75">
        <v>-1216.56</v>
      </c>
      <c r="M173" s="75">
        <v>27388.880000000001</v>
      </c>
      <c r="N173" s="75">
        <v>10701.18</v>
      </c>
      <c r="O173" s="75">
        <v>24542.7</v>
      </c>
      <c r="P173" s="75">
        <v>-252</v>
      </c>
      <c r="Q173" s="75">
        <v>71114.22</v>
      </c>
      <c r="R173" s="75">
        <v>125252.97</v>
      </c>
    </row>
    <row r="174" spans="1:18" x14ac:dyDescent="0.3">
      <c r="A174">
        <v>157</v>
      </c>
      <c r="B174" s="19">
        <v>49.273899999999998</v>
      </c>
      <c r="C174" s="19">
        <v>32.5321</v>
      </c>
      <c r="D174" s="19">
        <v>11.348699999999999</v>
      </c>
      <c r="E174" s="19">
        <v>273.81139999999999</v>
      </c>
      <c r="F174" s="19">
        <v>15.358499999999999</v>
      </c>
      <c r="G174" s="19">
        <v>368.89499999999998</v>
      </c>
      <c r="H174" s="19">
        <v>4493.8887999999997</v>
      </c>
      <c r="I174" s="19">
        <v>8486.9357999999993</v>
      </c>
      <c r="J174" s="75">
        <v>-6122</v>
      </c>
      <c r="K174" s="75">
        <v>-7635.1500000000005</v>
      </c>
      <c r="L174" s="75">
        <v>-29419.439999999999</v>
      </c>
      <c r="M174" s="75">
        <v>28923.32</v>
      </c>
      <c r="N174" s="75">
        <v>-12136.050000000001</v>
      </c>
      <c r="O174" s="75">
        <v>8242.5</v>
      </c>
      <c r="P174" s="75">
        <v>-22123.559999999998</v>
      </c>
      <c r="Q174" s="75">
        <v>15821.64</v>
      </c>
      <c r="R174" s="75">
        <v>-24448.739999999998</v>
      </c>
    </row>
    <row r="175" spans="1:18" x14ac:dyDescent="0.3">
      <c r="A175">
        <v>158</v>
      </c>
      <c r="B175" s="19">
        <v>48.979100000000003</v>
      </c>
      <c r="C175" s="19">
        <v>32.127000000000002</v>
      </c>
      <c r="D175" s="19">
        <v>11.9193</v>
      </c>
      <c r="E175" s="19">
        <v>256.04539999999997</v>
      </c>
      <c r="F175" s="19">
        <v>15.594799999999999</v>
      </c>
      <c r="G175" s="19">
        <v>371.42599999999999</v>
      </c>
      <c r="H175" s="19">
        <v>4647.5380999999998</v>
      </c>
      <c r="I175" s="19">
        <v>8542.7378000000008</v>
      </c>
      <c r="J175" s="75">
        <v>-12018</v>
      </c>
      <c r="K175" s="75">
        <v>-19180.5</v>
      </c>
      <c r="L175" s="75">
        <v>21249.84</v>
      </c>
      <c r="M175" s="75">
        <v>-38587.480000000003</v>
      </c>
      <c r="N175" s="75">
        <v>-1573.44</v>
      </c>
      <c r="O175" s="75">
        <v>17101</v>
      </c>
      <c r="P175" s="75">
        <v>23971.23</v>
      </c>
      <c r="Q175" s="75">
        <v>26982.04</v>
      </c>
      <c r="R175" s="75">
        <v>17944.689999999999</v>
      </c>
    </row>
    <row r="176" spans="1:18" x14ac:dyDescent="0.3">
      <c r="A176">
        <v>159</v>
      </c>
      <c r="B176" s="19">
        <v>48.753799999999998</v>
      </c>
      <c r="C176" s="19">
        <v>31.4483</v>
      </c>
      <c r="D176" s="19">
        <v>11.2773</v>
      </c>
      <c r="E176" s="19">
        <v>264.46820000000002</v>
      </c>
      <c r="F176" s="19">
        <v>15.926</v>
      </c>
      <c r="G176" s="19">
        <v>361.89139999999998</v>
      </c>
      <c r="H176" s="19">
        <v>4627.6117999999997</v>
      </c>
      <c r="I176" s="19">
        <v>8678.3763999999992</v>
      </c>
      <c r="J176" s="75">
        <v>-16524</v>
      </c>
      <c r="K176" s="75">
        <v>-38523.449999999997</v>
      </c>
      <c r="L176" s="75">
        <v>-35759.760000000002</v>
      </c>
      <c r="M176" s="75">
        <v>-6580.84</v>
      </c>
      <c r="N176" s="75">
        <v>13231.199999999999</v>
      </c>
      <c r="O176" s="75">
        <v>-16270.1</v>
      </c>
      <c r="P176" s="75">
        <v>17993.34</v>
      </c>
      <c r="Q176" s="75">
        <v>54109.760000000009</v>
      </c>
      <c r="R176" s="75">
        <v>-28323.849999999991</v>
      </c>
    </row>
    <row r="177" spans="1:18" x14ac:dyDescent="0.3">
      <c r="A177">
        <v>160</v>
      </c>
      <c r="B177" s="19">
        <v>49.356900000000003</v>
      </c>
      <c r="C177" s="19">
        <v>33.604199999999999</v>
      </c>
      <c r="D177" s="19">
        <v>11.616099999999999</v>
      </c>
      <c r="E177" s="19">
        <v>263.97570000000002</v>
      </c>
      <c r="F177" s="19">
        <v>15.308400000000001</v>
      </c>
      <c r="G177" s="19">
        <v>370.416</v>
      </c>
      <c r="H177" s="19">
        <v>4643.7741999999998</v>
      </c>
      <c r="I177" s="19">
        <v>8887.3902999999991</v>
      </c>
      <c r="J177" s="75">
        <v>-4462</v>
      </c>
      <c r="K177" s="75">
        <v>22919.7</v>
      </c>
      <c r="L177" s="75">
        <v>-5674.32</v>
      </c>
      <c r="M177" s="75">
        <v>-8452.34</v>
      </c>
      <c r="N177" s="75">
        <v>-14375.52</v>
      </c>
      <c r="O177" s="75">
        <v>13566</v>
      </c>
      <c r="P177" s="75">
        <v>22842.059999999998</v>
      </c>
      <c r="Q177" s="75">
        <v>95912.540000000008</v>
      </c>
      <c r="R177" s="75">
        <v>122276.12000000001</v>
      </c>
    </row>
    <row r="178" spans="1:18" x14ac:dyDescent="0.3">
      <c r="A178">
        <v>161</v>
      </c>
      <c r="B178" s="19">
        <v>49.9</v>
      </c>
      <c r="C178" s="19">
        <v>33.073099999999997</v>
      </c>
      <c r="D178" s="19">
        <v>11.483000000000001</v>
      </c>
      <c r="E178" s="19">
        <v>266.27379999999999</v>
      </c>
      <c r="F178" s="19">
        <v>15.6534</v>
      </c>
      <c r="G178" s="19">
        <v>365.23309999999998</v>
      </c>
      <c r="H178" s="19">
        <v>4641.0060999999996</v>
      </c>
      <c r="I178" s="19">
        <v>8478.7682999999997</v>
      </c>
      <c r="J178" s="75">
        <v>6400</v>
      </c>
      <c r="K178" s="75">
        <v>7783.35</v>
      </c>
      <c r="L178" s="75">
        <v>-17493.600000000002</v>
      </c>
      <c r="M178" s="75">
        <v>280.44</v>
      </c>
      <c r="N178" s="75">
        <v>1045.98</v>
      </c>
      <c r="O178" s="75">
        <v>-4574.1499999999996</v>
      </c>
      <c r="P178" s="75">
        <v>22011.63</v>
      </c>
      <c r="Q178" s="75">
        <v>14188.140000000001</v>
      </c>
      <c r="R178" s="75">
        <v>29641.79</v>
      </c>
    </row>
    <row r="179" spans="1:18" x14ac:dyDescent="0.3">
      <c r="A179">
        <v>162</v>
      </c>
      <c r="B179" s="19">
        <v>49.325899999999997</v>
      </c>
      <c r="C179" s="19">
        <v>32.680700000000002</v>
      </c>
      <c r="D179" s="19">
        <v>11.3931</v>
      </c>
      <c r="E179" s="19">
        <v>285.2099</v>
      </c>
      <c r="F179" s="19">
        <v>15.8164</v>
      </c>
      <c r="G179" s="19">
        <v>370.47300000000001</v>
      </c>
      <c r="H179" s="19">
        <v>4514.7323999999999</v>
      </c>
      <c r="I179" s="19">
        <v>8143.3990999999996</v>
      </c>
      <c r="J179" s="75">
        <v>-5082</v>
      </c>
      <c r="K179" s="75">
        <v>-3400.05</v>
      </c>
      <c r="L179" s="75">
        <v>-25476.719999999998</v>
      </c>
      <c r="M179" s="75">
        <v>72237.62</v>
      </c>
      <c r="N179" s="75">
        <v>8332.08</v>
      </c>
      <c r="O179" s="75">
        <v>13765.5</v>
      </c>
      <c r="P179" s="75">
        <v>-15870.480000000001</v>
      </c>
      <c r="Q179" s="75">
        <v>-52885.7</v>
      </c>
      <c r="R179" s="75">
        <v>-8379.75</v>
      </c>
    </row>
    <row r="180" spans="1:18" x14ac:dyDescent="0.3">
      <c r="A180">
        <v>163</v>
      </c>
      <c r="B180" s="19">
        <v>49.244799999999998</v>
      </c>
      <c r="C180" s="19">
        <v>32.719900000000003</v>
      </c>
      <c r="D180" s="19">
        <v>11.7319</v>
      </c>
      <c r="E180" s="19">
        <v>260.601</v>
      </c>
      <c r="F180" s="19">
        <v>15.8375</v>
      </c>
      <c r="G180" s="19">
        <v>373.3005</v>
      </c>
      <c r="H180" s="19">
        <v>4659.5469999999996</v>
      </c>
      <c r="I180" s="19">
        <v>8365.0134999999991</v>
      </c>
      <c r="J180" s="75">
        <v>-6704</v>
      </c>
      <c r="K180" s="75">
        <v>-2282.85</v>
      </c>
      <c r="L180" s="75">
        <v>4608.72</v>
      </c>
      <c r="M180" s="75">
        <v>-21276.2</v>
      </c>
      <c r="N180" s="75">
        <v>9275.25</v>
      </c>
      <c r="O180" s="75">
        <v>23661.75</v>
      </c>
      <c r="P180" s="75">
        <v>27573.899999999998</v>
      </c>
      <c r="Q180" s="75">
        <v>-8562.8200000000015</v>
      </c>
      <c r="R180" s="75">
        <v>26293.749999999993</v>
      </c>
    </row>
    <row r="181" spans="1:18" x14ac:dyDescent="0.3">
      <c r="A181">
        <v>164</v>
      </c>
      <c r="B181" s="19">
        <v>49.533099999999997</v>
      </c>
      <c r="C181" s="19">
        <v>32.720999999999997</v>
      </c>
      <c r="D181" s="19">
        <v>12.138299999999999</v>
      </c>
      <c r="E181" s="19">
        <v>270.93810000000002</v>
      </c>
      <c r="F181" s="19">
        <v>15.178699999999999</v>
      </c>
      <c r="G181" s="19">
        <v>368.0437</v>
      </c>
      <c r="H181" s="19">
        <v>4594.4939999999997</v>
      </c>
      <c r="I181" s="19">
        <v>8494.9853999999996</v>
      </c>
      <c r="J181" s="75">
        <v>-938</v>
      </c>
      <c r="K181" s="75">
        <v>-2251.5</v>
      </c>
      <c r="L181" s="75">
        <v>40697.040000000001</v>
      </c>
      <c r="M181" s="75">
        <v>18004.780000000002</v>
      </c>
      <c r="N181" s="75">
        <v>-20173.11</v>
      </c>
      <c r="O181" s="75">
        <v>5262.95</v>
      </c>
      <c r="P181" s="75">
        <v>8058</v>
      </c>
      <c r="Q181" s="75">
        <v>17431.559999999998</v>
      </c>
      <c r="R181" s="75">
        <v>66091.72</v>
      </c>
    </row>
    <row r="182" spans="1:18" x14ac:dyDescent="0.3">
      <c r="A182">
        <v>165</v>
      </c>
      <c r="B182" s="19">
        <v>49.2712</v>
      </c>
      <c r="C182" s="19">
        <v>33.286799999999999</v>
      </c>
      <c r="D182" s="19">
        <v>11.302099999999999</v>
      </c>
      <c r="E182" s="19">
        <v>262.15179999999998</v>
      </c>
      <c r="F182" s="19">
        <v>16.072500000000002</v>
      </c>
      <c r="G182" s="19">
        <v>370.77679999999998</v>
      </c>
      <c r="H182" s="19">
        <v>4526.4629999999997</v>
      </c>
      <c r="I182" s="19">
        <v>8501.4755999999998</v>
      </c>
      <c r="J182" s="75">
        <v>-6176</v>
      </c>
      <c r="K182" s="75">
        <v>13873.800000000001</v>
      </c>
      <c r="L182" s="75">
        <v>-33557.520000000004</v>
      </c>
      <c r="M182" s="75">
        <v>-15383.159999999998</v>
      </c>
      <c r="N182" s="75">
        <v>19779.75</v>
      </c>
      <c r="O182" s="75">
        <v>14828.8</v>
      </c>
      <c r="P182" s="75">
        <v>-12351.3</v>
      </c>
      <c r="Q182" s="75">
        <v>18729.599999999999</v>
      </c>
      <c r="R182" s="75">
        <v>-256.02999999999884</v>
      </c>
    </row>
    <row r="183" spans="1:18" x14ac:dyDescent="0.3">
      <c r="A183">
        <v>166</v>
      </c>
      <c r="B183" s="19">
        <v>49.378</v>
      </c>
      <c r="C183" s="19">
        <v>32.659999999999997</v>
      </c>
      <c r="D183" s="19">
        <v>11.3443</v>
      </c>
      <c r="E183" s="19">
        <v>266.01990000000001</v>
      </c>
      <c r="F183" s="19">
        <v>15.2805</v>
      </c>
      <c r="G183" s="19">
        <v>361.71769999999998</v>
      </c>
      <c r="H183" s="19">
        <v>4563.6395000000002</v>
      </c>
      <c r="I183" s="19">
        <v>8160.6605</v>
      </c>
      <c r="J183" s="75">
        <v>-4040.0000000000005</v>
      </c>
      <c r="K183" s="75">
        <v>-3990.0000000000005</v>
      </c>
      <c r="L183" s="75">
        <v>-29810.16</v>
      </c>
      <c r="M183" s="75">
        <v>-684.38</v>
      </c>
      <c r="N183" s="75">
        <v>-15622.65</v>
      </c>
      <c r="O183" s="75">
        <v>-16878.05</v>
      </c>
      <c r="P183" s="75">
        <v>-1198.3499999999999</v>
      </c>
      <c r="Q183" s="75">
        <v>-49433.42</v>
      </c>
      <c r="R183" s="75">
        <v>-121657.01000000001</v>
      </c>
    </row>
    <row r="184" spans="1:18" x14ac:dyDescent="0.3">
      <c r="A184">
        <v>167</v>
      </c>
      <c r="B184" s="19">
        <v>48.827100000000002</v>
      </c>
      <c r="C184" s="19">
        <v>33.034100000000002</v>
      </c>
      <c r="D184" s="19">
        <v>11.6196</v>
      </c>
      <c r="E184" s="19">
        <v>259.99209999999999</v>
      </c>
      <c r="F184" s="19">
        <v>15.4596</v>
      </c>
      <c r="G184" s="19">
        <v>359.74619999999999</v>
      </c>
      <c r="H184" s="19">
        <v>4567.6727000000001</v>
      </c>
      <c r="I184" s="19">
        <v>8319.3780999999999</v>
      </c>
      <c r="J184" s="75">
        <v>-15058</v>
      </c>
      <c r="K184" s="75">
        <v>6671.85</v>
      </c>
      <c r="L184" s="75">
        <v>-5363.52</v>
      </c>
      <c r="M184" s="75">
        <v>-23590.02</v>
      </c>
      <c r="N184" s="75">
        <v>-7616.88</v>
      </c>
      <c r="O184" s="75">
        <v>-23778.3</v>
      </c>
      <c r="P184" s="75">
        <v>11.61</v>
      </c>
      <c r="Q184" s="75">
        <v>-17689.900000000001</v>
      </c>
      <c r="R184" s="75">
        <v>-86413.16</v>
      </c>
    </row>
    <row r="185" spans="1:18" x14ac:dyDescent="0.3">
      <c r="A185">
        <v>168</v>
      </c>
      <c r="B185" s="19">
        <v>49.535200000000003</v>
      </c>
      <c r="C185" s="19">
        <v>32.615699999999997</v>
      </c>
      <c r="D185" s="19">
        <v>11.7834</v>
      </c>
      <c r="E185" s="19">
        <v>269.26159999999999</v>
      </c>
      <c r="F185" s="19">
        <v>15.6045</v>
      </c>
      <c r="G185" s="19">
        <v>372.31799999999998</v>
      </c>
      <c r="H185" s="19">
        <v>4532.4175999999998</v>
      </c>
      <c r="I185" s="19">
        <v>9137.7358999999997</v>
      </c>
      <c r="J185" s="75">
        <v>-896</v>
      </c>
      <c r="K185" s="75">
        <v>-5252.55</v>
      </c>
      <c r="L185" s="75">
        <v>9181.92</v>
      </c>
      <c r="M185" s="75">
        <v>11634.08</v>
      </c>
      <c r="N185" s="75">
        <v>-1139.8499999999999</v>
      </c>
      <c r="O185" s="75">
        <v>20223</v>
      </c>
      <c r="P185" s="75">
        <v>-10564.92</v>
      </c>
      <c r="Q185" s="75">
        <v>145981.66</v>
      </c>
      <c r="R185" s="75">
        <v>169167.34</v>
      </c>
    </row>
    <row r="186" spans="1:18" x14ac:dyDescent="0.3">
      <c r="A186">
        <v>169</v>
      </c>
      <c r="B186" s="19">
        <v>49.202500000000001</v>
      </c>
      <c r="C186" s="19">
        <v>32.629199999999997</v>
      </c>
      <c r="D186" s="19">
        <v>11.874599999999999</v>
      </c>
      <c r="E186" s="19">
        <v>259.1071</v>
      </c>
      <c r="F186" s="19">
        <v>15.5938</v>
      </c>
      <c r="G186" s="19">
        <v>358.14359999999999</v>
      </c>
      <c r="H186" s="19">
        <v>4636.6854000000003</v>
      </c>
      <c r="I186" s="19">
        <v>8747.7710999999999</v>
      </c>
      <c r="J186" s="75">
        <v>-7550</v>
      </c>
      <c r="K186" s="75">
        <v>-4867.8</v>
      </c>
      <c r="L186" s="75">
        <v>17280.48</v>
      </c>
      <c r="M186" s="75">
        <v>-26953.02</v>
      </c>
      <c r="N186" s="75">
        <v>-1618.14</v>
      </c>
      <c r="O186" s="75">
        <v>-29387.399999999998</v>
      </c>
      <c r="P186" s="75">
        <v>20715.420000000002</v>
      </c>
      <c r="Q186" s="75">
        <v>67988.7</v>
      </c>
      <c r="R186" s="75">
        <v>35608.240000000005</v>
      </c>
    </row>
    <row r="187" spans="1:18" x14ac:dyDescent="0.3">
      <c r="A187">
        <v>170</v>
      </c>
      <c r="B187" s="19">
        <v>50.026000000000003</v>
      </c>
      <c r="C187" s="19">
        <v>32.421100000000003</v>
      </c>
      <c r="D187" s="19">
        <v>11.7049</v>
      </c>
      <c r="E187" s="19">
        <v>254.17939999999999</v>
      </c>
      <c r="F187" s="19">
        <v>15.7377</v>
      </c>
      <c r="G187" s="19">
        <v>362.40949999999998</v>
      </c>
      <c r="H187" s="19">
        <v>4535.6026000000002</v>
      </c>
      <c r="I187" s="19">
        <v>8390.3680999999997</v>
      </c>
      <c r="J187" s="75">
        <v>8920</v>
      </c>
      <c r="K187" s="75">
        <v>-10798.65</v>
      </c>
      <c r="L187" s="75">
        <v>2211.12</v>
      </c>
      <c r="M187" s="75">
        <v>-45678.28</v>
      </c>
      <c r="N187" s="75">
        <v>4814.1900000000005</v>
      </c>
      <c r="O187" s="75">
        <v>-14456.749999999998</v>
      </c>
      <c r="P187" s="75">
        <v>-9609.42</v>
      </c>
      <c r="Q187" s="75">
        <v>-3491.8999999999996</v>
      </c>
      <c r="R187" s="75">
        <v>-68089.689999999988</v>
      </c>
    </row>
    <row r="188" spans="1:18" x14ac:dyDescent="0.3">
      <c r="A188">
        <v>171</v>
      </c>
      <c r="B188" s="19">
        <v>49.650100000000002</v>
      </c>
      <c r="C188" s="19">
        <v>32.405500000000004</v>
      </c>
      <c r="D188" s="19">
        <v>11.4072</v>
      </c>
      <c r="E188" s="19">
        <v>282.01639999999998</v>
      </c>
      <c r="F188" s="19">
        <v>15.775</v>
      </c>
      <c r="G188" s="19">
        <v>356.99650000000003</v>
      </c>
      <c r="H188" s="19">
        <v>4772.5051999999996</v>
      </c>
      <c r="I188" s="19">
        <v>8200.1916000000001</v>
      </c>
      <c r="J188" s="75">
        <v>1402</v>
      </c>
      <c r="K188" s="75">
        <v>-11243.25</v>
      </c>
      <c r="L188" s="75">
        <v>-24224.639999999999</v>
      </c>
      <c r="M188" s="75">
        <v>60102.32</v>
      </c>
      <c r="N188" s="75">
        <v>6481.5</v>
      </c>
      <c r="O188" s="75">
        <v>-33402.25</v>
      </c>
      <c r="P188" s="75">
        <v>61461.359999999993</v>
      </c>
      <c r="Q188" s="75">
        <v>-41527.199999999997</v>
      </c>
      <c r="R188" s="75">
        <v>19049.839999999997</v>
      </c>
    </row>
    <row r="189" spans="1:18" x14ac:dyDescent="0.3">
      <c r="A189">
        <v>172</v>
      </c>
      <c r="B189" s="19">
        <v>49.849899999999998</v>
      </c>
      <c r="C189" s="19">
        <v>32.050600000000003</v>
      </c>
      <c r="D189" s="19">
        <v>11.597799999999999</v>
      </c>
      <c r="E189" s="19">
        <v>255.7654</v>
      </c>
      <c r="F189" s="19">
        <v>15.997400000000001</v>
      </c>
      <c r="G189" s="19">
        <v>361.08600000000001</v>
      </c>
      <c r="H189" s="19">
        <v>4561.7601000000004</v>
      </c>
      <c r="I189" s="19">
        <v>8969.1916999999994</v>
      </c>
      <c r="J189" s="75">
        <v>5397.9999999999991</v>
      </c>
      <c r="K189" s="75">
        <v>-21357.899999999998</v>
      </c>
      <c r="L189" s="75">
        <v>-7299.36</v>
      </c>
      <c r="M189" s="75">
        <v>-39651.479999999996</v>
      </c>
      <c r="N189" s="75">
        <v>16422.78</v>
      </c>
      <c r="O189" s="75">
        <v>-19089</v>
      </c>
      <c r="P189" s="75">
        <v>-1762.17</v>
      </c>
      <c r="Q189" s="75">
        <v>112272.82</v>
      </c>
      <c r="R189" s="75">
        <v>44933.690000000017</v>
      </c>
    </row>
    <row r="190" spans="1:18" x14ac:dyDescent="0.3">
      <c r="A190">
        <v>173</v>
      </c>
      <c r="B190" s="19">
        <v>50.18</v>
      </c>
      <c r="C190" s="19">
        <v>33.162100000000002</v>
      </c>
      <c r="D190" s="19">
        <v>11.6172</v>
      </c>
      <c r="E190" s="19">
        <v>277.97140000000002</v>
      </c>
      <c r="F190" s="19">
        <v>15.950100000000001</v>
      </c>
      <c r="G190" s="19">
        <v>371.09690000000001</v>
      </c>
      <c r="H190" s="19">
        <v>4541.5700999999999</v>
      </c>
      <c r="I190" s="19">
        <v>8285.8309000000008</v>
      </c>
      <c r="J190" s="75">
        <v>12000</v>
      </c>
      <c r="K190" s="75">
        <v>10319.849999999999</v>
      </c>
      <c r="L190" s="75">
        <v>-5576.6399999999994</v>
      </c>
      <c r="M190" s="75">
        <v>44731.32</v>
      </c>
      <c r="N190" s="75">
        <v>14308.47</v>
      </c>
      <c r="O190" s="75">
        <v>15949.15</v>
      </c>
      <c r="P190" s="75">
        <v>-7819.17</v>
      </c>
      <c r="Q190" s="75">
        <v>-24399.34</v>
      </c>
      <c r="R190" s="75">
        <v>59513.64</v>
      </c>
    </row>
    <row r="191" spans="1:18" x14ac:dyDescent="0.3">
      <c r="A191">
        <v>174</v>
      </c>
      <c r="B191" s="19">
        <v>49.366700000000002</v>
      </c>
      <c r="C191" s="19">
        <v>33.219499999999996</v>
      </c>
      <c r="D191" s="19">
        <v>12.0839</v>
      </c>
      <c r="E191" s="19">
        <v>272.52269999999999</v>
      </c>
      <c r="F191" s="19">
        <v>15.312099999999999</v>
      </c>
      <c r="G191" s="19">
        <v>361.14909999999998</v>
      </c>
      <c r="H191" s="19">
        <v>4730.2165999999997</v>
      </c>
      <c r="I191" s="19">
        <v>8804.6419000000005</v>
      </c>
      <c r="J191" s="75">
        <v>-4266</v>
      </c>
      <c r="K191" s="75">
        <v>11955.75</v>
      </c>
      <c r="L191" s="75">
        <v>35866.32</v>
      </c>
      <c r="M191" s="75">
        <v>24026.260000000002</v>
      </c>
      <c r="N191" s="75">
        <v>-14210.130000000001</v>
      </c>
      <c r="O191" s="75">
        <v>-18868.150000000001</v>
      </c>
      <c r="P191" s="75">
        <v>48774.780000000006</v>
      </c>
      <c r="Q191" s="75">
        <v>79362.86</v>
      </c>
      <c r="R191" s="75">
        <v>162641.69</v>
      </c>
    </row>
    <row r="192" spans="1:18" x14ac:dyDescent="0.3">
      <c r="A192">
        <v>175</v>
      </c>
      <c r="B192" s="19">
        <v>49.600299999999997</v>
      </c>
      <c r="C192" s="19">
        <v>32.558399999999999</v>
      </c>
      <c r="D192" s="19">
        <v>11.6854</v>
      </c>
      <c r="E192" s="19">
        <v>266.47160000000002</v>
      </c>
      <c r="F192" s="19">
        <v>15.432499999999999</v>
      </c>
      <c r="G192" s="19">
        <v>368.8322</v>
      </c>
      <c r="H192" s="19">
        <v>4490.1711999999998</v>
      </c>
      <c r="I192" s="19">
        <v>8204.5849999999991</v>
      </c>
      <c r="J192" s="75">
        <v>406</v>
      </c>
      <c r="K192" s="75">
        <v>-6885.6</v>
      </c>
      <c r="L192" s="75">
        <v>479.52000000000004</v>
      </c>
      <c r="M192" s="75">
        <v>1032.08</v>
      </c>
      <c r="N192" s="75">
        <v>-8828.25</v>
      </c>
      <c r="O192" s="75">
        <v>8022.6999999999989</v>
      </c>
      <c r="P192" s="75">
        <v>-23238.84</v>
      </c>
      <c r="Q192" s="75">
        <v>-40648.520000000004</v>
      </c>
      <c r="R192" s="75">
        <v>-69660.91</v>
      </c>
    </row>
    <row r="193" spans="1:18" x14ac:dyDescent="0.3">
      <c r="A193">
        <v>176</v>
      </c>
      <c r="B193" s="19">
        <v>48.953800000000001</v>
      </c>
      <c r="C193" s="19">
        <v>32.671100000000003</v>
      </c>
      <c r="D193" s="19">
        <v>11.730600000000001</v>
      </c>
      <c r="E193" s="19">
        <v>275.57150000000001</v>
      </c>
      <c r="F193" s="19">
        <v>16.091000000000001</v>
      </c>
      <c r="G193" s="19">
        <v>367.76639999999998</v>
      </c>
      <c r="H193" s="19">
        <v>4638.2311</v>
      </c>
      <c r="I193" s="19">
        <v>8617.6671999999999</v>
      </c>
      <c r="J193" s="75">
        <v>-12524</v>
      </c>
      <c r="K193" s="75">
        <v>-3673.6499999999996</v>
      </c>
      <c r="L193" s="75">
        <v>4493.28</v>
      </c>
      <c r="M193" s="75">
        <v>35611.699999999997</v>
      </c>
      <c r="N193" s="75">
        <v>20606.7</v>
      </c>
      <c r="O193" s="75">
        <v>4292.3999999999996</v>
      </c>
      <c r="P193" s="75">
        <v>21179.13</v>
      </c>
      <c r="Q193" s="75">
        <v>41967.92</v>
      </c>
      <c r="R193" s="75">
        <v>111953.48</v>
      </c>
    </row>
    <row r="194" spans="1:18" x14ac:dyDescent="0.3">
      <c r="A194">
        <v>177</v>
      </c>
      <c r="B194" s="19">
        <v>49.701300000000003</v>
      </c>
      <c r="C194" s="19">
        <v>33.990099999999998</v>
      </c>
      <c r="D194" s="19">
        <v>11.8809</v>
      </c>
      <c r="E194" s="19">
        <v>272.64510000000001</v>
      </c>
      <c r="F194" s="19">
        <v>15.434100000000001</v>
      </c>
      <c r="G194" s="19">
        <v>369.25099999999998</v>
      </c>
      <c r="H194" s="19">
        <v>4490.3813</v>
      </c>
      <c r="I194" s="19">
        <v>9215.4017999999996</v>
      </c>
      <c r="J194" s="75">
        <v>2426</v>
      </c>
      <c r="K194" s="75">
        <v>33917.85</v>
      </c>
      <c r="L194" s="75">
        <v>17839.919999999998</v>
      </c>
      <c r="M194" s="75">
        <v>24491.38</v>
      </c>
      <c r="N194" s="75">
        <v>-8756.73</v>
      </c>
      <c r="O194" s="75">
        <v>9488.5</v>
      </c>
      <c r="P194" s="75">
        <v>-23175.81</v>
      </c>
      <c r="Q194" s="75">
        <v>161514.84</v>
      </c>
      <c r="R194" s="75">
        <v>217745.95</v>
      </c>
    </row>
    <row r="195" spans="1:18" x14ac:dyDescent="0.3">
      <c r="A195">
        <v>178</v>
      </c>
      <c r="B195" s="19">
        <v>49.456600000000002</v>
      </c>
      <c r="C195" s="19">
        <v>33.023099999999999</v>
      </c>
      <c r="D195" s="19">
        <v>11.8446</v>
      </c>
      <c r="E195" s="19">
        <v>248.6027</v>
      </c>
      <c r="F195" s="19">
        <v>16.0611</v>
      </c>
      <c r="G195" s="19">
        <v>369.01060000000001</v>
      </c>
      <c r="H195" s="19">
        <v>4510.3287</v>
      </c>
      <c r="I195" s="19">
        <v>8339.4940999999999</v>
      </c>
      <c r="J195" s="75">
        <v>-2468</v>
      </c>
      <c r="K195" s="75">
        <v>6358.3499999999995</v>
      </c>
      <c r="L195" s="75">
        <v>14616.48</v>
      </c>
      <c r="M195" s="75">
        <v>-66869.740000000005</v>
      </c>
      <c r="N195" s="75">
        <v>19270.169999999998</v>
      </c>
      <c r="O195" s="75">
        <v>8647.1</v>
      </c>
      <c r="P195" s="75">
        <v>-17191.59</v>
      </c>
      <c r="Q195" s="75">
        <v>-13666.7</v>
      </c>
      <c r="R195" s="75">
        <v>-51303.930000000008</v>
      </c>
    </row>
    <row r="196" spans="1:18" x14ac:dyDescent="0.3">
      <c r="A196">
        <v>179</v>
      </c>
      <c r="B196" s="19">
        <v>50.306699999999999</v>
      </c>
      <c r="C196" s="19">
        <v>32.757800000000003</v>
      </c>
      <c r="D196" s="19">
        <v>11.533200000000001</v>
      </c>
      <c r="E196" s="19">
        <v>267.7586</v>
      </c>
      <c r="F196" s="19">
        <v>15.565899999999999</v>
      </c>
      <c r="G196" s="19">
        <v>357.8811</v>
      </c>
      <c r="H196" s="19">
        <v>4606.9477999999999</v>
      </c>
      <c r="I196" s="19">
        <v>8357.1501000000007</v>
      </c>
      <c r="J196" s="75">
        <v>14534</v>
      </c>
      <c r="K196" s="75">
        <v>-1202.7</v>
      </c>
      <c r="L196" s="75">
        <v>-13035.840000000002</v>
      </c>
      <c r="M196" s="75">
        <v>5922.68</v>
      </c>
      <c r="N196" s="75">
        <v>-2865.27</v>
      </c>
      <c r="O196" s="75">
        <v>-30306.149999999998</v>
      </c>
      <c r="P196" s="75">
        <v>11794.14</v>
      </c>
      <c r="Q196" s="75">
        <v>-10135.5</v>
      </c>
      <c r="R196" s="75">
        <v>-25294.639999999999</v>
      </c>
    </row>
    <row r="197" spans="1:18" x14ac:dyDescent="0.3">
      <c r="A197">
        <v>180</v>
      </c>
      <c r="B197" s="19">
        <v>49.038699999999999</v>
      </c>
      <c r="C197" s="19">
        <v>33.240099999999998</v>
      </c>
      <c r="D197" s="19">
        <v>11.32</v>
      </c>
      <c r="E197" s="19">
        <v>266.83760000000001</v>
      </c>
      <c r="F197" s="19">
        <v>15.7136</v>
      </c>
      <c r="G197" s="19">
        <v>380.31490000000002</v>
      </c>
      <c r="H197" s="19">
        <v>4700.9569000000001</v>
      </c>
      <c r="I197" s="19">
        <v>9301.223</v>
      </c>
      <c r="J197" s="75">
        <v>-10826</v>
      </c>
      <c r="K197" s="75">
        <v>12542.85</v>
      </c>
      <c r="L197" s="75">
        <v>-31968</v>
      </c>
      <c r="M197" s="75">
        <v>2422.8799999999997</v>
      </c>
      <c r="N197" s="75">
        <v>3736.9199999999996</v>
      </c>
      <c r="O197" s="75">
        <v>48212.15</v>
      </c>
      <c r="P197" s="75">
        <v>39996.870000000003</v>
      </c>
      <c r="Q197" s="75">
        <v>178679.08</v>
      </c>
      <c r="R197" s="75">
        <v>242796.75</v>
      </c>
    </row>
    <row r="198" spans="1:18" x14ac:dyDescent="0.3">
      <c r="A198">
        <v>181</v>
      </c>
      <c r="B198" s="19">
        <v>50.166499999999999</v>
      </c>
      <c r="C198" s="19">
        <v>32.5685</v>
      </c>
      <c r="D198" s="19">
        <v>11.6295</v>
      </c>
      <c r="E198" s="19">
        <v>266.96589999999998</v>
      </c>
      <c r="F198" s="19">
        <v>15.9855</v>
      </c>
      <c r="G198" s="19">
        <v>361.96809999999999</v>
      </c>
      <c r="H198" s="19">
        <v>4719.7203</v>
      </c>
      <c r="I198" s="19">
        <v>7894.2276000000002</v>
      </c>
      <c r="J198" s="75">
        <v>11730</v>
      </c>
      <c r="K198" s="75">
        <v>-6597.75</v>
      </c>
      <c r="L198" s="75">
        <v>-4484.4000000000005</v>
      </c>
      <c r="M198" s="75">
        <v>2910.42</v>
      </c>
      <c r="N198" s="75">
        <v>15890.849999999999</v>
      </c>
      <c r="O198" s="75">
        <v>-16001.650000000001</v>
      </c>
      <c r="P198" s="75">
        <v>45625.89</v>
      </c>
      <c r="Q198" s="75">
        <v>-102720</v>
      </c>
      <c r="R198" s="75">
        <v>-53646.64</v>
      </c>
    </row>
    <row r="199" spans="1:18" x14ac:dyDescent="0.3">
      <c r="A199">
        <v>182</v>
      </c>
      <c r="B199" s="19">
        <v>49.685299999999998</v>
      </c>
      <c r="C199" s="19">
        <v>32.270099999999999</v>
      </c>
      <c r="D199" s="19">
        <v>11.345700000000001</v>
      </c>
      <c r="E199" s="19">
        <v>274.09800000000001</v>
      </c>
      <c r="F199" s="19">
        <v>15.3347</v>
      </c>
      <c r="G199" s="19">
        <v>368.18400000000003</v>
      </c>
      <c r="H199" s="19">
        <v>4457.3050000000003</v>
      </c>
      <c r="I199" s="19">
        <v>8283.3376000000007</v>
      </c>
      <c r="J199" s="75">
        <v>2106</v>
      </c>
      <c r="K199" s="75">
        <v>-15102.150000000001</v>
      </c>
      <c r="L199" s="75">
        <v>-29685.84</v>
      </c>
      <c r="M199" s="75">
        <v>30012.399999999998</v>
      </c>
      <c r="N199" s="75">
        <v>-13199.91</v>
      </c>
      <c r="O199" s="75">
        <v>5754</v>
      </c>
      <c r="P199" s="75">
        <v>-33098.699999999997</v>
      </c>
      <c r="Q199" s="75">
        <v>-24898</v>
      </c>
      <c r="R199" s="75">
        <v>-78112.200000000012</v>
      </c>
    </row>
    <row r="200" spans="1:18" x14ac:dyDescent="0.3">
      <c r="A200">
        <v>183</v>
      </c>
      <c r="B200" s="19">
        <v>49.386299999999999</v>
      </c>
      <c r="C200" s="19">
        <v>33.409199999999998</v>
      </c>
      <c r="D200" s="19">
        <v>11.383699999999999</v>
      </c>
      <c r="E200" s="19">
        <v>259.01819999999998</v>
      </c>
      <c r="F200" s="19">
        <v>15.5702</v>
      </c>
      <c r="G200" s="19">
        <v>367.47770000000003</v>
      </c>
      <c r="H200" s="19">
        <v>4546.5583999999999</v>
      </c>
      <c r="I200" s="19">
        <v>8058.4952999999996</v>
      </c>
      <c r="J200" s="75">
        <v>-3874</v>
      </c>
      <c r="K200" s="75">
        <v>17362.2</v>
      </c>
      <c r="L200" s="75">
        <v>-26311.440000000002</v>
      </c>
      <c r="M200" s="75">
        <v>-27290.84</v>
      </c>
      <c r="N200" s="75">
        <v>-2673.06</v>
      </c>
      <c r="O200" s="75">
        <v>3281.95</v>
      </c>
      <c r="P200" s="75">
        <v>-6322.68</v>
      </c>
      <c r="Q200" s="75">
        <v>-69866.459999999992</v>
      </c>
      <c r="R200" s="75">
        <v>-115694.32999999999</v>
      </c>
    </row>
    <row r="201" spans="1:18" x14ac:dyDescent="0.3">
      <c r="A201">
        <v>184</v>
      </c>
      <c r="B201" s="19">
        <v>49.108499999999999</v>
      </c>
      <c r="C201" s="19">
        <v>32.782400000000003</v>
      </c>
      <c r="D201" s="19">
        <v>11.651999999999999</v>
      </c>
      <c r="E201" s="19">
        <v>272.78550000000001</v>
      </c>
      <c r="F201" s="19">
        <v>15.415699999999999</v>
      </c>
      <c r="G201" s="19">
        <v>376.14870000000002</v>
      </c>
      <c r="H201" s="19">
        <v>4471.1441999999997</v>
      </c>
      <c r="I201" s="19">
        <v>8237.1139999999996</v>
      </c>
      <c r="J201" s="75">
        <v>-9430</v>
      </c>
      <c r="K201" s="75">
        <v>-501.6</v>
      </c>
      <c r="L201" s="75">
        <v>-2486.4</v>
      </c>
      <c r="M201" s="75">
        <v>25024.899999999998</v>
      </c>
      <c r="N201" s="75">
        <v>-9579.2099999999991</v>
      </c>
      <c r="O201" s="75">
        <v>33630.450000000004</v>
      </c>
      <c r="P201" s="75">
        <v>-28946.940000000002</v>
      </c>
      <c r="Q201" s="75">
        <v>-34142.720000000001</v>
      </c>
      <c r="R201" s="75">
        <v>-26431.520000000004</v>
      </c>
    </row>
    <row r="202" spans="1:18" x14ac:dyDescent="0.3">
      <c r="A202">
        <v>185</v>
      </c>
      <c r="B202" s="19">
        <v>49.532600000000002</v>
      </c>
      <c r="C202" s="19">
        <v>33.159100000000002</v>
      </c>
      <c r="D202" s="19">
        <v>11.8644</v>
      </c>
      <c r="E202" s="19">
        <v>269.1377</v>
      </c>
      <c r="F202" s="19">
        <v>15.6991</v>
      </c>
      <c r="G202" s="19">
        <v>369.08010000000002</v>
      </c>
      <c r="H202" s="19">
        <v>4646.6755999999996</v>
      </c>
      <c r="I202" s="19">
        <v>8755.4562999999998</v>
      </c>
      <c r="J202" s="75">
        <v>-948</v>
      </c>
      <c r="K202" s="75">
        <v>10234.349999999999</v>
      </c>
      <c r="L202" s="75">
        <v>16374.720000000001</v>
      </c>
      <c r="M202" s="75">
        <v>11163.26</v>
      </c>
      <c r="N202" s="75">
        <v>3088.77</v>
      </c>
      <c r="O202" s="75">
        <v>8890.3499999999985</v>
      </c>
      <c r="P202" s="75">
        <v>23712.48</v>
      </c>
      <c r="Q202" s="75">
        <v>69525.739999999991</v>
      </c>
      <c r="R202" s="75">
        <v>142041.66999999998</v>
      </c>
    </row>
    <row r="203" spans="1:18" x14ac:dyDescent="0.3">
      <c r="A203">
        <v>186</v>
      </c>
      <c r="B203" s="19">
        <v>49.222299999999997</v>
      </c>
      <c r="C203" s="19">
        <v>32.911200000000001</v>
      </c>
      <c r="D203" s="19">
        <v>11.720599999999999</v>
      </c>
      <c r="E203" s="19">
        <v>257.87400000000002</v>
      </c>
      <c r="F203" s="19">
        <v>16.1907</v>
      </c>
      <c r="G203" s="19">
        <v>371.58479999999997</v>
      </c>
      <c r="H203" s="19">
        <v>4649.8383000000003</v>
      </c>
      <c r="I203" s="19">
        <v>8393.4866999999995</v>
      </c>
      <c r="J203" s="75">
        <v>-7154</v>
      </c>
      <c r="K203" s="75">
        <v>3169.2</v>
      </c>
      <c r="L203" s="75">
        <v>3605.2799999999997</v>
      </c>
      <c r="M203" s="75">
        <v>-31638.800000000003</v>
      </c>
      <c r="N203" s="75">
        <v>25063.289999999997</v>
      </c>
      <c r="O203" s="75">
        <v>17656.800000000003</v>
      </c>
      <c r="P203" s="75">
        <v>24661.29</v>
      </c>
      <c r="Q203" s="75">
        <v>-2868.18</v>
      </c>
      <c r="R203" s="75">
        <v>32494.879999999997</v>
      </c>
    </row>
    <row r="204" spans="1:18" x14ac:dyDescent="0.3">
      <c r="A204">
        <v>187</v>
      </c>
      <c r="B204" s="19">
        <v>50.624299999999998</v>
      </c>
      <c r="C204" s="19">
        <v>32.575800000000001</v>
      </c>
      <c r="D204" s="19">
        <v>11.3452</v>
      </c>
      <c r="E204" s="19">
        <v>267.13200000000001</v>
      </c>
      <c r="F204" s="19">
        <v>15.5098</v>
      </c>
      <c r="G204" s="19">
        <v>372.35480000000001</v>
      </c>
      <c r="H204" s="19">
        <v>4606.0041000000001</v>
      </c>
      <c r="I204" s="19">
        <v>8111.0802000000003</v>
      </c>
      <c r="J204" s="75">
        <v>20886</v>
      </c>
      <c r="K204" s="75">
        <v>-6389.7000000000007</v>
      </c>
      <c r="L204" s="75">
        <v>-29730.239999999998</v>
      </c>
      <c r="M204" s="75">
        <v>3541.6000000000004</v>
      </c>
      <c r="N204" s="75">
        <v>-5372.9400000000005</v>
      </c>
      <c r="O204" s="75">
        <v>20351.8</v>
      </c>
      <c r="P204" s="75">
        <v>11511.03</v>
      </c>
      <c r="Q204" s="75">
        <v>-59349.48</v>
      </c>
      <c r="R204" s="75">
        <v>-44551.93</v>
      </c>
    </row>
    <row r="205" spans="1:18" x14ac:dyDescent="0.3">
      <c r="A205">
        <v>188</v>
      </c>
      <c r="B205" s="19">
        <v>49.072099999999999</v>
      </c>
      <c r="C205" s="19">
        <v>33.635399999999997</v>
      </c>
      <c r="D205" s="19">
        <v>11.6244</v>
      </c>
      <c r="E205" s="19">
        <v>281.1223</v>
      </c>
      <c r="F205" s="19">
        <v>15.4856</v>
      </c>
      <c r="G205" s="19">
        <v>371.8143</v>
      </c>
      <c r="H205" s="19">
        <v>4422.317</v>
      </c>
      <c r="I205" s="19">
        <v>8260.8250000000007</v>
      </c>
      <c r="J205" s="75">
        <v>-10158</v>
      </c>
      <c r="K205" s="75">
        <v>23808.9</v>
      </c>
      <c r="L205" s="75">
        <v>-4937.28</v>
      </c>
      <c r="M205" s="75">
        <v>56704.74</v>
      </c>
      <c r="N205" s="75">
        <v>-6454.68</v>
      </c>
      <c r="O205" s="75">
        <v>18460.05</v>
      </c>
      <c r="P205" s="75">
        <v>-43595.100000000006</v>
      </c>
      <c r="Q205" s="75">
        <v>-29400.52</v>
      </c>
      <c r="R205" s="75">
        <v>4428.1099999999897</v>
      </c>
    </row>
    <row r="206" spans="1:18" x14ac:dyDescent="0.3">
      <c r="A206">
        <v>189</v>
      </c>
      <c r="B206" s="19">
        <v>48.7408</v>
      </c>
      <c r="C206" s="19">
        <v>32.609299999999998</v>
      </c>
      <c r="D206" s="19">
        <v>11.7118</v>
      </c>
      <c r="E206" s="19">
        <v>269.82670000000002</v>
      </c>
      <c r="F206" s="19">
        <v>15.327999999999999</v>
      </c>
      <c r="G206" s="19">
        <v>363.6583</v>
      </c>
      <c r="H206" s="19">
        <v>4689.5263000000004</v>
      </c>
      <c r="I206" s="19">
        <v>8526.7785000000003</v>
      </c>
      <c r="J206" s="75">
        <v>-16784</v>
      </c>
      <c r="K206" s="75">
        <v>-5434.95</v>
      </c>
      <c r="L206" s="75">
        <v>2823.84</v>
      </c>
      <c r="M206" s="75">
        <v>13781.460000000001</v>
      </c>
      <c r="N206" s="75">
        <v>-13499.4</v>
      </c>
      <c r="O206" s="75">
        <v>-10085.949999999999</v>
      </c>
      <c r="P206" s="75">
        <v>36567.69</v>
      </c>
      <c r="Q206" s="75">
        <v>23790.18</v>
      </c>
      <c r="R206" s="75">
        <v>31158.870000000003</v>
      </c>
    </row>
    <row r="207" spans="1:18" x14ac:dyDescent="0.3">
      <c r="A207">
        <v>190</v>
      </c>
      <c r="B207" s="19">
        <v>49.383600000000001</v>
      </c>
      <c r="C207" s="19">
        <v>32.519100000000002</v>
      </c>
      <c r="D207" s="19">
        <v>11.7418</v>
      </c>
      <c r="E207" s="19">
        <v>267.99509999999998</v>
      </c>
      <c r="F207" s="19">
        <v>15.525</v>
      </c>
      <c r="G207" s="19">
        <v>364.99160000000001</v>
      </c>
      <c r="H207" s="19">
        <v>4730.6659</v>
      </c>
      <c r="I207" s="19">
        <v>8686.1146000000008</v>
      </c>
      <c r="J207" s="75">
        <v>-3928</v>
      </c>
      <c r="K207" s="75">
        <v>-8005.65</v>
      </c>
      <c r="L207" s="75">
        <v>5487.84</v>
      </c>
      <c r="M207" s="75">
        <v>6821.38</v>
      </c>
      <c r="N207" s="75">
        <v>-4693.5</v>
      </c>
      <c r="O207" s="75">
        <v>-5419.4</v>
      </c>
      <c r="P207" s="75">
        <v>48909.57</v>
      </c>
      <c r="Q207" s="75">
        <v>55657.399999999994</v>
      </c>
      <c r="R207" s="75">
        <v>94829.64</v>
      </c>
    </row>
    <row r="208" spans="1:18" x14ac:dyDescent="0.3">
      <c r="A208">
        <v>191</v>
      </c>
      <c r="B208" s="19">
        <v>49.605499999999999</v>
      </c>
      <c r="C208" s="19">
        <v>32.391199999999998</v>
      </c>
      <c r="D208" s="19">
        <v>11.4533</v>
      </c>
      <c r="E208" s="19">
        <v>282.49459999999999</v>
      </c>
      <c r="F208" s="19">
        <v>15.774699999999999</v>
      </c>
      <c r="G208" s="19">
        <v>366.50020000000001</v>
      </c>
      <c r="H208" s="19">
        <v>4673.4892</v>
      </c>
      <c r="I208" s="19">
        <v>8488.1463000000003</v>
      </c>
      <c r="J208" s="75">
        <v>509.99999999999994</v>
      </c>
      <c r="K208" s="75">
        <v>-11650.8</v>
      </c>
      <c r="L208" s="75">
        <v>-20130.960000000003</v>
      </c>
      <c r="M208" s="75">
        <v>61919.479999999996</v>
      </c>
      <c r="N208" s="75">
        <v>6468.09</v>
      </c>
      <c r="O208" s="75">
        <v>-139.30000000000001</v>
      </c>
      <c r="P208" s="75">
        <v>31756.559999999998</v>
      </c>
      <c r="Q208" s="75">
        <v>16063.740000000002</v>
      </c>
      <c r="R208" s="75">
        <v>84796.81</v>
      </c>
    </row>
    <row r="209" spans="1:18" x14ac:dyDescent="0.3">
      <c r="A209">
        <v>192</v>
      </c>
      <c r="B209" s="19">
        <v>50.164999999999999</v>
      </c>
      <c r="C209" s="19">
        <v>33.135199999999998</v>
      </c>
      <c r="D209" s="19">
        <v>11.869199999999999</v>
      </c>
      <c r="E209" s="19">
        <v>272.93959999999998</v>
      </c>
      <c r="F209" s="19">
        <v>16.315000000000001</v>
      </c>
      <c r="G209" s="19">
        <v>369.08839999999998</v>
      </c>
      <c r="H209" s="19">
        <v>4548.4570999999996</v>
      </c>
      <c r="I209" s="19">
        <v>8724.9410000000007</v>
      </c>
      <c r="J209" s="75">
        <v>11700</v>
      </c>
      <c r="K209" s="75">
        <v>9553.2000000000007</v>
      </c>
      <c r="L209" s="75">
        <v>16800.96</v>
      </c>
      <c r="M209" s="75">
        <v>25610.48</v>
      </c>
      <c r="N209" s="75">
        <v>30619.500000000004</v>
      </c>
      <c r="O209" s="75">
        <v>8919.4</v>
      </c>
      <c r="P209" s="75">
        <v>-5753.07</v>
      </c>
      <c r="Q209" s="75">
        <v>63422.68</v>
      </c>
      <c r="R209" s="75">
        <v>160873.15</v>
      </c>
    </row>
    <row r="210" spans="1:18" x14ac:dyDescent="0.3">
      <c r="A210">
        <v>193</v>
      </c>
      <c r="B210" s="19">
        <v>49.595300000000002</v>
      </c>
      <c r="C210" s="19">
        <v>33.376100000000001</v>
      </c>
      <c r="D210" s="19">
        <v>11.7949</v>
      </c>
      <c r="E210" s="19">
        <v>251.7319</v>
      </c>
      <c r="F210" s="19">
        <v>15.7509</v>
      </c>
      <c r="G210" s="19">
        <v>366.69909999999999</v>
      </c>
      <c r="H210" s="19">
        <v>4758.4543000000003</v>
      </c>
      <c r="I210" s="19">
        <v>8826.6010000000006</v>
      </c>
      <c r="J210" s="75">
        <v>306</v>
      </c>
      <c r="K210" s="75">
        <v>16418.849999999999</v>
      </c>
      <c r="L210" s="75">
        <v>10203.120000000001</v>
      </c>
      <c r="M210" s="75">
        <v>-54978.78</v>
      </c>
      <c r="N210" s="75">
        <v>5404.23</v>
      </c>
      <c r="O210" s="75">
        <v>556.85</v>
      </c>
      <c r="P210" s="75">
        <v>57246.090000000004</v>
      </c>
      <c r="Q210" s="75">
        <v>83754.679999999993</v>
      </c>
      <c r="R210" s="75">
        <v>118911.03999999999</v>
      </c>
    </row>
    <row r="211" spans="1:18" x14ac:dyDescent="0.3">
      <c r="A211">
        <v>194</v>
      </c>
      <c r="B211" s="19">
        <v>49.452599999999997</v>
      </c>
      <c r="C211" s="19">
        <v>32.181800000000003</v>
      </c>
      <c r="D211" s="19">
        <v>11.7531</v>
      </c>
      <c r="E211" s="19">
        <v>257.56529999999998</v>
      </c>
      <c r="F211" s="19">
        <v>16.033000000000001</v>
      </c>
      <c r="G211" s="19">
        <v>373.42540000000002</v>
      </c>
      <c r="H211" s="19">
        <v>4653.2209000000003</v>
      </c>
      <c r="I211" s="19">
        <v>8284.2081999999991</v>
      </c>
      <c r="J211" s="75">
        <v>-2548.0000000000005</v>
      </c>
      <c r="K211" s="75">
        <v>-17618.7</v>
      </c>
      <c r="L211" s="75">
        <v>6491.28</v>
      </c>
      <c r="M211" s="75">
        <v>-32811.86</v>
      </c>
      <c r="N211" s="75">
        <v>18014.100000000002</v>
      </c>
      <c r="O211" s="75">
        <v>24098.899999999998</v>
      </c>
      <c r="P211" s="75">
        <v>25676.07</v>
      </c>
      <c r="Q211" s="75">
        <v>-24723.88</v>
      </c>
      <c r="R211" s="75">
        <v>-3422.09</v>
      </c>
    </row>
    <row r="212" spans="1:18" x14ac:dyDescent="0.3">
      <c r="A212">
        <v>195</v>
      </c>
      <c r="B212" s="19">
        <v>49.993400000000001</v>
      </c>
      <c r="C212" s="19">
        <v>33.403799999999997</v>
      </c>
      <c r="D212" s="19">
        <v>11.3939</v>
      </c>
      <c r="E212" s="19">
        <v>264.22620000000001</v>
      </c>
      <c r="F212" s="19">
        <v>15.5914</v>
      </c>
      <c r="G212" s="19">
        <v>361.44990000000001</v>
      </c>
      <c r="H212" s="19">
        <v>4548.0933999999997</v>
      </c>
      <c r="I212" s="19">
        <v>8984.3438000000006</v>
      </c>
      <c r="J212" s="75">
        <v>8268</v>
      </c>
      <c r="K212" s="75">
        <v>17208.3</v>
      </c>
      <c r="L212" s="75">
        <v>-25405.68</v>
      </c>
      <c r="M212" s="75">
        <v>-7500.44</v>
      </c>
      <c r="N212" s="75">
        <v>-1725.42</v>
      </c>
      <c r="O212" s="75">
        <v>-17815.349999999999</v>
      </c>
      <c r="P212" s="75">
        <v>-5862.18</v>
      </c>
      <c r="Q212" s="75">
        <v>115303.24</v>
      </c>
      <c r="R212" s="75">
        <v>82470.47</v>
      </c>
    </row>
    <row r="213" spans="1:18" x14ac:dyDescent="0.3">
      <c r="A213">
        <v>196</v>
      </c>
      <c r="B213" s="19">
        <v>49.956800000000001</v>
      </c>
      <c r="C213" s="19">
        <v>32.920099999999998</v>
      </c>
      <c r="D213" s="19">
        <v>11.4945</v>
      </c>
      <c r="E213" s="19">
        <v>263.4975</v>
      </c>
      <c r="F213" s="19">
        <v>15.6355</v>
      </c>
      <c r="G213" s="19">
        <v>363.58879999999999</v>
      </c>
      <c r="H213" s="19">
        <v>4462.2523000000001</v>
      </c>
      <c r="I213" s="19">
        <v>8362.9624000000003</v>
      </c>
      <c r="J213" s="75">
        <v>7536.0000000000009</v>
      </c>
      <c r="K213" s="75">
        <v>3422.85</v>
      </c>
      <c r="L213" s="75">
        <v>-16472.400000000001</v>
      </c>
      <c r="M213" s="75">
        <v>-10269.5</v>
      </c>
      <c r="N213" s="75">
        <v>245.85</v>
      </c>
      <c r="O213" s="75">
        <v>-10329.200000000001</v>
      </c>
      <c r="P213" s="75">
        <v>-31614.51</v>
      </c>
      <c r="Q213" s="75">
        <v>-8973.0400000000009</v>
      </c>
      <c r="R213" s="75">
        <v>-66453.950000000012</v>
      </c>
    </row>
    <row r="214" spans="1:18" x14ac:dyDescent="0.3">
      <c r="A214">
        <v>197</v>
      </c>
      <c r="B214" s="19">
        <v>49.745600000000003</v>
      </c>
      <c r="C214" s="19">
        <v>33.366399999999999</v>
      </c>
      <c r="D214" s="19">
        <v>11.9808</v>
      </c>
      <c r="E214" s="19">
        <v>282.98899999999998</v>
      </c>
      <c r="F214" s="19">
        <v>15.4693</v>
      </c>
      <c r="G214" s="19">
        <v>364.17689999999999</v>
      </c>
      <c r="H214" s="19">
        <v>4596.5391</v>
      </c>
      <c r="I214" s="19">
        <v>8875.8659000000007</v>
      </c>
      <c r="J214" s="75">
        <v>3312</v>
      </c>
      <c r="K214" s="75">
        <v>16142.4</v>
      </c>
      <c r="L214" s="75">
        <v>26711.040000000001</v>
      </c>
      <c r="M214" s="75">
        <v>63798.200000000004</v>
      </c>
      <c r="N214" s="75">
        <v>-7183.2900000000009</v>
      </c>
      <c r="O214" s="75">
        <v>-8270.85</v>
      </c>
      <c r="P214" s="75">
        <v>8671.5300000000007</v>
      </c>
      <c r="Q214" s="75">
        <v>93607.66</v>
      </c>
      <c r="R214" s="75">
        <v>196788.69</v>
      </c>
    </row>
    <row r="215" spans="1:18" x14ac:dyDescent="0.3">
      <c r="A215">
        <v>198</v>
      </c>
      <c r="B215" s="19">
        <v>49.806399999999996</v>
      </c>
      <c r="C215" s="19">
        <v>33.1081</v>
      </c>
      <c r="D215" s="19">
        <v>11.8714</v>
      </c>
      <c r="E215" s="19">
        <v>267.31180000000001</v>
      </c>
      <c r="F215" s="19">
        <v>15.133599999999999</v>
      </c>
      <c r="G215" s="19">
        <v>359.32369999999997</v>
      </c>
      <c r="H215" s="19">
        <v>4731.6561000000002</v>
      </c>
      <c r="I215" s="19">
        <v>8555.3462999999992</v>
      </c>
      <c r="J215" s="75">
        <v>4528</v>
      </c>
      <c r="K215" s="75">
        <v>8780.85</v>
      </c>
      <c r="L215" s="75">
        <v>16996.32</v>
      </c>
      <c r="M215" s="75">
        <v>4224.8399999999992</v>
      </c>
      <c r="N215" s="75">
        <v>-22189.08</v>
      </c>
      <c r="O215" s="75">
        <v>-25257.050000000003</v>
      </c>
      <c r="P215" s="75">
        <v>49206.63</v>
      </c>
      <c r="Q215" s="75">
        <v>29503.739999999998</v>
      </c>
      <c r="R215" s="75">
        <v>65794.249999999985</v>
      </c>
    </row>
    <row r="216" spans="1:18" x14ac:dyDescent="0.3">
      <c r="A216">
        <v>199</v>
      </c>
      <c r="B216" s="19">
        <v>50.721600000000002</v>
      </c>
      <c r="C216" s="19">
        <v>32.552500000000002</v>
      </c>
      <c r="D216" s="19">
        <v>11.658799999999999</v>
      </c>
      <c r="E216" s="19">
        <v>274.03140000000002</v>
      </c>
      <c r="F216" s="19">
        <v>15.841900000000001</v>
      </c>
      <c r="G216" s="19">
        <v>363.70350000000002</v>
      </c>
      <c r="H216" s="19">
        <v>4534.3323</v>
      </c>
      <c r="I216" s="19">
        <v>8164.6225000000004</v>
      </c>
      <c r="J216" s="75">
        <v>22832</v>
      </c>
      <c r="K216" s="75">
        <v>-7053.75</v>
      </c>
      <c r="L216" s="75">
        <v>-1882.56</v>
      </c>
      <c r="M216" s="75">
        <v>29759.32</v>
      </c>
      <c r="N216" s="75">
        <v>9471.93</v>
      </c>
      <c r="O216" s="75">
        <v>-9927.75</v>
      </c>
      <c r="P216" s="75">
        <v>-9990.5099999999984</v>
      </c>
      <c r="Q216" s="75">
        <v>-48641.02</v>
      </c>
      <c r="R216" s="75">
        <v>-15432.339999999989</v>
      </c>
    </row>
    <row r="217" spans="1:18" x14ac:dyDescent="0.3">
      <c r="A217">
        <v>200</v>
      </c>
      <c r="B217" s="19">
        <v>49.377099999999999</v>
      </c>
      <c r="C217" s="19">
        <v>32.816099999999999</v>
      </c>
      <c r="D217" s="19">
        <v>11.888299999999999</v>
      </c>
      <c r="E217" s="19">
        <v>266.18389999999999</v>
      </c>
      <c r="F217" s="19">
        <v>15.881</v>
      </c>
      <c r="G217" s="19">
        <v>367.75599999999997</v>
      </c>
      <c r="H217" s="19">
        <v>4542.5450000000001</v>
      </c>
      <c r="I217" s="19">
        <v>8236.4267999999993</v>
      </c>
      <c r="J217" s="75">
        <v>-4058</v>
      </c>
      <c r="K217" s="75">
        <v>458.84999999999997</v>
      </c>
      <c r="L217" s="75">
        <v>18497.04</v>
      </c>
      <c r="M217" s="75">
        <v>-61.18</v>
      </c>
      <c r="N217" s="75">
        <v>11219.7</v>
      </c>
      <c r="O217" s="75">
        <v>4256</v>
      </c>
      <c r="P217" s="75">
        <v>-7526.7</v>
      </c>
      <c r="Q217" s="75">
        <v>-34280.160000000003</v>
      </c>
      <c r="R217" s="75">
        <v>-11494.45</v>
      </c>
    </row>
    <row r="218" spans="1:18" x14ac:dyDescent="0.3">
      <c r="A218">
        <v>201</v>
      </c>
      <c r="B218" s="19">
        <v>49.548999999999999</v>
      </c>
      <c r="C218" s="19">
        <v>33.2224</v>
      </c>
      <c r="D218" s="19">
        <v>11.5951</v>
      </c>
      <c r="E218" s="19">
        <v>270.13780000000003</v>
      </c>
      <c r="F218" s="19">
        <v>15.596</v>
      </c>
      <c r="G218" s="19">
        <v>353.93130000000002</v>
      </c>
      <c r="H218" s="19">
        <v>4669.8507</v>
      </c>
      <c r="I218" s="19">
        <v>7972.9081999999999</v>
      </c>
      <c r="J218" s="75">
        <v>-620</v>
      </c>
      <c r="K218" s="75">
        <v>12038.4</v>
      </c>
      <c r="L218" s="75">
        <v>-7539.12</v>
      </c>
      <c r="M218" s="75">
        <v>14963.640000000001</v>
      </c>
      <c r="N218" s="75">
        <v>-1519.8000000000002</v>
      </c>
      <c r="O218" s="75">
        <v>-44130.450000000004</v>
      </c>
      <c r="P218" s="75">
        <v>30665.010000000002</v>
      </c>
      <c r="Q218" s="75">
        <v>-86983.88</v>
      </c>
      <c r="R218" s="75">
        <v>-83126.200000000012</v>
      </c>
    </row>
    <row r="219" spans="1:18" x14ac:dyDescent="0.3">
      <c r="A219">
        <v>202</v>
      </c>
      <c r="B219" s="19">
        <v>49.459800000000001</v>
      </c>
      <c r="C219" s="19">
        <v>32.271799999999999</v>
      </c>
      <c r="D219" s="19">
        <v>11.9734</v>
      </c>
      <c r="E219" s="19">
        <v>265.94439999999997</v>
      </c>
      <c r="F219" s="19">
        <v>15.5031</v>
      </c>
      <c r="G219" s="19">
        <v>374.48759999999999</v>
      </c>
      <c r="H219" s="19">
        <v>4528.7408999999998</v>
      </c>
      <c r="I219" s="19">
        <v>8546.3870999999999</v>
      </c>
      <c r="J219" s="75">
        <v>-2404</v>
      </c>
      <c r="K219" s="75">
        <v>-15053.7</v>
      </c>
      <c r="L219" s="75">
        <v>26053.919999999998</v>
      </c>
      <c r="M219" s="75">
        <v>-971.28</v>
      </c>
      <c r="N219" s="75">
        <v>-5672.43</v>
      </c>
      <c r="O219" s="75">
        <v>27816.600000000002</v>
      </c>
      <c r="P219" s="75">
        <v>-11667.929999999998</v>
      </c>
      <c r="Q219" s="75">
        <v>27711.9</v>
      </c>
      <c r="R219" s="75">
        <v>45813.08</v>
      </c>
    </row>
    <row r="220" spans="1:18" x14ac:dyDescent="0.3">
      <c r="A220">
        <v>203</v>
      </c>
      <c r="B220" s="19">
        <v>49.773099999999999</v>
      </c>
      <c r="C220" s="19">
        <v>33.167200000000001</v>
      </c>
      <c r="D220" s="19">
        <v>12.082100000000001</v>
      </c>
      <c r="E220" s="19">
        <v>258.93639999999999</v>
      </c>
      <c r="F220" s="19">
        <v>15.801500000000001</v>
      </c>
      <c r="G220" s="19">
        <v>369.33539999999999</v>
      </c>
      <c r="H220" s="19">
        <v>4510.1778999999997</v>
      </c>
      <c r="I220" s="19">
        <v>8402.2793999999994</v>
      </c>
      <c r="J220" s="75">
        <v>3862</v>
      </c>
      <c r="K220" s="75">
        <v>10465.200000000001</v>
      </c>
      <c r="L220" s="75">
        <v>35706.480000000003</v>
      </c>
      <c r="M220" s="75">
        <v>-27601.68</v>
      </c>
      <c r="N220" s="75">
        <v>7666.05</v>
      </c>
      <c r="O220" s="75">
        <v>9783.9</v>
      </c>
      <c r="P220" s="75">
        <v>-17236.829999999998</v>
      </c>
      <c r="Q220" s="75">
        <v>-1109.6399999999999</v>
      </c>
      <c r="R220" s="75">
        <v>21535.480000000007</v>
      </c>
    </row>
    <row r="221" spans="1:18" x14ac:dyDescent="0.3">
      <c r="A221">
        <v>204</v>
      </c>
      <c r="B221" s="19">
        <v>49.160200000000003</v>
      </c>
      <c r="C221" s="19">
        <v>32.681800000000003</v>
      </c>
      <c r="D221" s="19">
        <v>11.5124</v>
      </c>
      <c r="E221" s="19">
        <v>257.07690000000002</v>
      </c>
      <c r="F221" s="19">
        <v>15.8636</v>
      </c>
      <c r="G221" s="19">
        <v>370.12189999999998</v>
      </c>
      <c r="H221" s="19">
        <v>4558.1905999999999</v>
      </c>
      <c r="I221" s="19">
        <v>8191.2924000000003</v>
      </c>
      <c r="J221" s="75">
        <v>-8396</v>
      </c>
      <c r="K221" s="75">
        <v>-3368.7</v>
      </c>
      <c r="L221" s="75">
        <v>-14882.88</v>
      </c>
      <c r="M221" s="75">
        <v>-34667.780000000006</v>
      </c>
      <c r="N221" s="75">
        <v>10441.92</v>
      </c>
      <c r="O221" s="75">
        <v>12536.65</v>
      </c>
      <c r="P221" s="75">
        <v>-2833.02</v>
      </c>
      <c r="Q221" s="75">
        <v>-43307.040000000001</v>
      </c>
      <c r="R221" s="75">
        <v>-84476.85</v>
      </c>
    </row>
    <row r="222" spans="1:18" x14ac:dyDescent="0.3">
      <c r="A222">
        <v>205</v>
      </c>
      <c r="B222" s="19">
        <v>49.470799999999997</v>
      </c>
      <c r="C222" s="19">
        <v>32.822899999999997</v>
      </c>
      <c r="D222" s="19">
        <v>11.7814</v>
      </c>
      <c r="E222" s="19">
        <v>272.8272</v>
      </c>
      <c r="F222" s="19">
        <v>15.4328</v>
      </c>
      <c r="G222" s="19">
        <v>362.94380000000001</v>
      </c>
      <c r="H222" s="19">
        <v>4582.643</v>
      </c>
      <c r="I222" s="19">
        <v>8476.5522000000001</v>
      </c>
      <c r="J222" s="75">
        <v>-2184</v>
      </c>
      <c r="K222" s="75">
        <v>652.65</v>
      </c>
      <c r="L222" s="75">
        <v>9004.32</v>
      </c>
      <c r="M222" s="75">
        <v>25183.360000000001</v>
      </c>
      <c r="N222" s="75">
        <v>-8814.84</v>
      </c>
      <c r="O222" s="75">
        <v>-12586.7</v>
      </c>
      <c r="P222" s="75">
        <v>4502.7</v>
      </c>
      <c r="Q222" s="75">
        <v>13744.919999999998</v>
      </c>
      <c r="R222" s="75">
        <v>29502.41</v>
      </c>
    </row>
    <row r="223" spans="1:18" x14ac:dyDescent="0.3">
      <c r="A223">
        <v>206</v>
      </c>
      <c r="B223" s="19">
        <v>49.6006</v>
      </c>
      <c r="C223" s="19">
        <v>32.056399999999996</v>
      </c>
      <c r="D223" s="19">
        <v>11.6554</v>
      </c>
      <c r="E223" s="19">
        <v>262.37970000000001</v>
      </c>
      <c r="F223" s="19">
        <v>15.186500000000001</v>
      </c>
      <c r="G223" s="19">
        <v>365.42529999999999</v>
      </c>
      <c r="H223" s="19">
        <v>4722.7686999999996</v>
      </c>
      <c r="I223" s="19">
        <v>8558.7178000000004</v>
      </c>
      <c r="J223" s="75">
        <v>412</v>
      </c>
      <c r="K223" s="75">
        <v>-21192.600000000002</v>
      </c>
      <c r="L223" s="75">
        <v>-2184.48</v>
      </c>
      <c r="M223" s="75">
        <v>-14517.14</v>
      </c>
      <c r="N223" s="75">
        <v>-19824.45</v>
      </c>
      <c r="O223" s="75">
        <v>-3901.4500000000003</v>
      </c>
      <c r="P223" s="75">
        <v>46540.41</v>
      </c>
      <c r="Q223" s="75">
        <v>30178.039999999997</v>
      </c>
      <c r="R223" s="75">
        <v>15510.330000000005</v>
      </c>
    </row>
    <row r="224" spans="1:18" x14ac:dyDescent="0.3">
      <c r="A224">
        <v>207</v>
      </c>
      <c r="B224" s="19">
        <v>49.937800000000003</v>
      </c>
      <c r="C224" s="19">
        <v>31.9983</v>
      </c>
      <c r="D224" s="19">
        <v>11.2363</v>
      </c>
      <c r="E224" s="19">
        <v>265.53399999999999</v>
      </c>
      <c r="F224" s="19">
        <v>15.687200000000001</v>
      </c>
      <c r="G224" s="19">
        <v>369.45830000000001</v>
      </c>
      <c r="H224" s="19">
        <v>4567.4790000000003</v>
      </c>
      <c r="I224" s="19">
        <v>8679.8541000000005</v>
      </c>
      <c r="J224" s="75">
        <v>7156</v>
      </c>
      <c r="K224" s="75">
        <v>-22848.45</v>
      </c>
      <c r="L224" s="75">
        <v>-39400.559999999998</v>
      </c>
      <c r="M224" s="75">
        <v>-2530.8000000000002</v>
      </c>
      <c r="N224" s="75">
        <v>2556.84</v>
      </c>
      <c r="O224" s="75">
        <v>10214.049999999999</v>
      </c>
      <c r="P224" s="75">
        <v>-46.5</v>
      </c>
      <c r="Q224" s="75">
        <v>54405.3</v>
      </c>
      <c r="R224" s="75">
        <v>9505.8800000000047</v>
      </c>
    </row>
    <row r="225" spans="1:18" x14ac:dyDescent="0.3">
      <c r="A225">
        <v>208</v>
      </c>
      <c r="B225" s="19">
        <v>49.598199999999999</v>
      </c>
      <c r="C225" s="19">
        <v>33.244</v>
      </c>
      <c r="D225" s="19">
        <v>12.0596</v>
      </c>
      <c r="E225" s="19">
        <v>259.69650000000001</v>
      </c>
      <c r="F225" s="19">
        <v>15.5707</v>
      </c>
      <c r="G225" s="19">
        <v>363.26960000000003</v>
      </c>
      <c r="H225" s="19">
        <v>4332.2102999999997</v>
      </c>
      <c r="I225" s="19">
        <v>8668.7800000000007</v>
      </c>
      <c r="J225" s="75">
        <v>364</v>
      </c>
      <c r="K225" s="75">
        <v>12654</v>
      </c>
      <c r="L225" s="75">
        <v>33708.479999999996</v>
      </c>
      <c r="M225" s="75">
        <v>-24713.3</v>
      </c>
      <c r="N225" s="75">
        <v>-2650.71</v>
      </c>
      <c r="O225" s="75">
        <v>-11446.4</v>
      </c>
      <c r="P225" s="75">
        <v>-70627.11</v>
      </c>
      <c r="Q225" s="75">
        <v>52190.48</v>
      </c>
      <c r="R225" s="75">
        <v>-10520.559999999998</v>
      </c>
    </row>
    <row r="226" spans="1:18" x14ac:dyDescent="0.3">
      <c r="A226">
        <v>209</v>
      </c>
      <c r="B226" s="19">
        <v>49.4758</v>
      </c>
      <c r="C226" s="19">
        <v>33.814999999999998</v>
      </c>
      <c r="D226" s="19">
        <v>11.2559</v>
      </c>
      <c r="E226" s="19">
        <v>255.37200000000001</v>
      </c>
      <c r="F226" s="19">
        <v>15.496600000000001</v>
      </c>
      <c r="G226" s="19">
        <v>377.60680000000002</v>
      </c>
      <c r="H226" s="19">
        <v>4752.5205999999998</v>
      </c>
      <c r="I226" s="19">
        <v>8391.7108000000007</v>
      </c>
      <c r="J226" s="75">
        <v>-2084</v>
      </c>
      <c r="K226" s="75">
        <v>28927.499999999996</v>
      </c>
      <c r="L226" s="75">
        <v>-37660.079999999994</v>
      </c>
      <c r="M226" s="75">
        <v>-41146.399999999994</v>
      </c>
      <c r="N226" s="75">
        <v>-5962.98</v>
      </c>
      <c r="O226" s="75">
        <v>38733.800000000003</v>
      </c>
      <c r="P226" s="75">
        <v>55465.979999999996</v>
      </c>
      <c r="Q226" s="75">
        <v>-3223.36</v>
      </c>
      <c r="R226" s="75">
        <v>33050.460000000006</v>
      </c>
    </row>
    <row r="227" spans="1:18" x14ac:dyDescent="0.3">
      <c r="A227">
        <v>210</v>
      </c>
      <c r="B227" s="19">
        <v>49.563899999999997</v>
      </c>
      <c r="C227" s="19">
        <v>31.762599999999999</v>
      </c>
      <c r="D227" s="19">
        <v>11.462899999999999</v>
      </c>
      <c r="E227" s="19">
        <v>282.4264</v>
      </c>
      <c r="F227" s="19">
        <v>15.594900000000001</v>
      </c>
      <c r="G227" s="19">
        <v>362.36489999999998</v>
      </c>
      <c r="H227" s="19">
        <v>4428.5369000000001</v>
      </c>
      <c r="I227" s="19">
        <v>8045.5183999999999</v>
      </c>
      <c r="J227" s="75">
        <v>-322</v>
      </c>
      <c r="K227" s="75">
        <v>-29565.9</v>
      </c>
      <c r="L227" s="75">
        <v>-19278.48</v>
      </c>
      <c r="M227" s="75">
        <v>61660.320000000007</v>
      </c>
      <c r="N227" s="75">
        <v>-1568.97</v>
      </c>
      <c r="O227" s="75">
        <v>-14612.849999999999</v>
      </c>
      <c r="P227" s="75">
        <v>-41729.130000000005</v>
      </c>
      <c r="Q227" s="75">
        <v>-72461.84</v>
      </c>
      <c r="R227" s="75">
        <v>-117878.85</v>
      </c>
    </row>
    <row r="228" spans="1:18" x14ac:dyDescent="0.3">
      <c r="A228">
        <v>211</v>
      </c>
      <c r="B228" s="19">
        <v>49.234299999999998</v>
      </c>
      <c r="C228" s="19">
        <v>32.965499999999999</v>
      </c>
      <c r="D228" s="19">
        <v>11.803000000000001</v>
      </c>
      <c r="E228" s="19">
        <v>280.0575</v>
      </c>
      <c r="F228" s="19">
        <v>15.791700000000001</v>
      </c>
      <c r="G228" s="19">
        <v>369.34219999999999</v>
      </c>
      <c r="H228" s="19">
        <v>4463.7654000000002</v>
      </c>
      <c r="I228" s="19">
        <v>8596.4092999999993</v>
      </c>
      <c r="J228" s="75">
        <v>-6914</v>
      </c>
      <c r="K228" s="75">
        <v>4716.75</v>
      </c>
      <c r="L228" s="75">
        <v>10922.4</v>
      </c>
      <c r="M228" s="75">
        <v>52658.5</v>
      </c>
      <c r="N228" s="75">
        <v>7227.9900000000007</v>
      </c>
      <c r="O228" s="75">
        <v>9807.7000000000007</v>
      </c>
      <c r="P228" s="75">
        <v>-31160.58</v>
      </c>
      <c r="Q228" s="75">
        <v>37716.340000000004</v>
      </c>
      <c r="R228" s="75">
        <v>84975.1</v>
      </c>
    </row>
    <row r="229" spans="1:18" x14ac:dyDescent="0.3">
      <c r="A229">
        <v>212</v>
      </c>
      <c r="B229" s="19">
        <v>49.684100000000001</v>
      </c>
      <c r="C229" s="19">
        <v>33.590200000000003</v>
      </c>
      <c r="D229" s="19">
        <v>11.795400000000001</v>
      </c>
      <c r="E229" s="19">
        <v>268.83120000000002</v>
      </c>
      <c r="F229" s="19">
        <v>15.4077</v>
      </c>
      <c r="G229" s="19">
        <v>359.72649999999999</v>
      </c>
      <c r="H229" s="19">
        <v>4640.0703000000003</v>
      </c>
      <c r="I229" s="19">
        <v>8678.2052999999996</v>
      </c>
      <c r="J229" s="75">
        <v>2082</v>
      </c>
      <c r="K229" s="75">
        <v>22520.7</v>
      </c>
      <c r="L229" s="75">
        <v>10247.52</v>
      </c>
      <c r="M229" s="75">
        <v>9998.5600000000013</v>
      </c>
      <c r="N229" s="75">
        <v>-9936.81</v>
      </c>
      <c r="O229" s="75">
        <v>-23847.25</v>
      </c>
      <c r="P229" s="75">
        <v>21730.89</v>
      </c>
      <c r="Q229" s="75">
        <v>54075.54</v>
      </c>
      <c r="R229" s="75">
        <v>86871.15</v>
      </c>
    </row>
    <row r="230" spans="1:18" x14ac:dyDescent="0.3">
      <c r="A230">
        <v>213</v>
      </c>
      <c r="B230" s="19">
        <v>49.543199999999999</v>
      </c>
      <c r="C230" s="19">
        <v>32.197600000000001</v>
      </c>
      <c r="D230" s="19">
        <v>11.8254</v>
      </c>
      <c r="E230" s="19">
        <v>266.68799999999999</v>
      </c>
      <c r="F230" s="19">
        <v>15.6418</v>
      </c>
      <c r="G230" s="19">
        <v>361.58049999999997</v>
      </c>
      <c r="H230" s="19">
        <v>4679.2599</v>
      </c>
      <c r="I230" s="19">
        <v>8283.6245999999992</v>
      </c>
      <c r="J230" s="75">
        <v>-736</v>
      </c>
      <c r="K230" s="75">
        <v>-17168.400000000001</v>
      </c>
      <c r="L230" s="75">
        <v>12911.52</v>
      </c>
      <c r="M230" s="75">
        <v>1854.3999999999999</v>
      </c>
      <c r="N230" s="75">
        <v>527.46</v>
      </c>
      <c r="O230" s="75">
        <v>-17358.25</v>
      </c>
      <c r="P230" s="75">
        <v>33487.770000000004</v>
      </c>
      <c r="Q230" s="75">
        <v>-24840.600000000002</v>
      </c>
      <c r="R230" s="75">
        <v>-11322.099999999999</v>
      </c>
    </row>
    <row r="231" spans="1:18" x14ac:dyDescent="0.3">
      <c r="A231">
        <v>214</v>
      </c>
      <c r="B231" s="19">
        <v>49.755600000000001</v>
      </c>
      <c r="C231" s="19">
        <v>32.626399999999997</v>
      </c>
      <c r="D231" s="19">
        <v>11.685700000000001</v>
      </c>
      <c r="E231" s="19">
        <v>253.375</v>
      </c>
      <c r="F231" s="19">
        <v>15.5124</v>
      </c>
      <c r="G231" s="19">
        <v>366.23079999999999</v>
      </c>
      <c r="H231" s="19">
        <v>4687.7914000000001</v>
      </c>
      <c r="I231" s="19">
        <v>9277.1316999999999</v>
      </c>
      <c r="J231" s="75">
        <v>3512</v>
      </c>
      <c r="K231" s="75">
        <v>-4947.6000000000004</v>
      </c>
      <c r="L231" s="75">
        <v>506.16</v>
      </c>
      <c r="M231" s="75">
        <v>-48735</v>
      </c>
      <c r="N231" s="75">
        <v>-5256.72</v>
      </c>
      <c r="O231" s="75">
        <v>-1082.1999999999998</v>
      </c>
      <c r="P231" s="75">
        <v>36047.22</v>
      </c>
      <c r="Q231" s="75">
        <v>173860.81999999998</v>
      </c>
      <c r="R231" s="75">
        <v>153904.68</v>
      </c>
    </row>
    <row r="232" spans="1:18" x14ac:dyDescent="0.3">
      <c r="A232">
        <v>215</v>
      </c>
      <c r="B232" s="19">
        <v>50.072200000000002</v>
      </c>
      <c r="C232" s="19">
        <v>32.7605</v>
      </c>
      <c r="D232" s="19">
        <v>11.7616</v>
      </c>
      <c r="E232" s="19">
        <v>276.44159999999999</v>
      </c>
      <c r="F232" s="19">
        <v>15.8453</v>
      </c>
      <c r="G232" s="19">
        <v>366.0532</v>
      </c>
      <c r="H232" s="19">
        <v>4701.3572999999997</v>
      </c>
      <c r="I232" s="19">
        <v>8877.4544999999998</v>
      </c>
      <c r="J232" s="75">
        <v>9844</v>
      </c>
      <c r="K232" s="75">
        <v>-1125.75</v>
      </c>
      <c r="L232" s="75">
        <v>7246.0800000000008</v>
      </c>
      <c r="M232" s="75">
        <v>38918.080000000002</v>
      </c>
      <c r="N232" s="75">
        <v>9623.91</v>
      </c>
      <c r="O232" s="75">
        <v>-1703.8</v>
      </c>
      <c r="P232" s="75">
        <v>40116.99</v>
      </c>
      <c r="Q232" s="75">
        <v>93925.37999999999</v>
      </c>
      <c r="R232" s="75">
        <v>196844.89</v>
      </c>
    </row>
    <row r="233" spans="1:18" x14ac:dyDescent="0.3">
      <c r="A233">
        <v>216</v>
      </c>
      <c r="B233" s="19">
        <v>49.412399999999998</v>
      </c>
      <c r="C233" s="19">
        <v>33.393099999999997</v>
      </c>
      <c r="D233" s="19">
        <v>11.5632</v>
      </c>
      <c r="E233" s="19">
        <v>265.60129999999998</v>
      </c>
      <c r="F233" s="19">
        <v>15.35</v>
      </c>
      <c r="G233" s="19">
        <v>368.63209999999998</v>
      </c>
      <c r="H233" s="19">
        <v>4449.0114000000003</v>
      </c>
      <c r="I233" s="19">
        <v>8059.7250000000004</v>
      </c>
      <c r="J233" s="75">
        <v>-3352</v>
      </c>
      <c r="K233" s="75">
        <v>16903.349999999999</v>
      </c>
      <c r="L233" s="75">
        <v>-10371.84</v>
      </c>
      <c r="M233" s="75">
        <v>-2275.06</v>
      </c>
      <c r="N233" s="75">
        <v>-12516.000000000002</v>
      </c>
      <c r="O233" s="75">
        <v>7322.3499999999995</v>
      </c>
      <c r="P233" s="75">
        <v>-35586.78</v>
      </c>
      <c r="Q233" s="75">
        <v>-69620.52</v>
      </c>
      <c r="R233" s="75">
        <v>-109496.5</v>
      </c>
    </row>
    <row r="234" spans="1:18" x14ac:dyDescent="0.3">
      <c r="A234">
        <v>217</v>
      </c>
      <c r="B234" s="19">
        <v>49.3324</v>
      </c>
      <c r="C234" s="19">
        <v>32.303899999999999</v>
      </c>
      <c r="D234" s="19">
        <v>11.9016</v>
      </c>
      <c r="E234" s="19">
        <v>260.75779999999997</v>
      </c>
      <c r="F234" s="19">
        <v>15.650399999999999</v>
      </c>
      <c r="G234" s="19">
        <v>365.52760000000001</v>
      </c>
      <c r="H234" s="19">
        <v>4639.8568999999998</v>
      </c>
      <c r="I234" s="19">
        <v>8036.9659000000001</v>
      </c>
      <c r="J234" s="75">
        <v>-4952</v>
      </c>
      <c r="K234" s="75">
        <v>-14138.85</v>
      </c>
      <c r="L234" s="75">
        <v>19678.079999999998</v>
      </c>
      <c r="M234" s="75">
        <v>-20680.36</v>
      </c>
      <c r="N234" s="75">
        <v>911.88000000000011</v>
      </c>
      <c r="O234" s="75">
        <v>-3543.4</v>
      </c>
      <c r="P234" s="75">
        <v>21666.87</v>
      </c>
      <c r="Q234" s="75">
        <v>-74172.34</v>
      </c>
      <c r="R234" s="75">
        <v>-75230.12</v>
      </c>
    </row>
    <row r="235" spans="1:18" x14ac:dyDescent="0.3">
      <c r="A235">
        <v>218</v>
      </c>
      <c r="B235" s="19">
        <v>49.320500000000003</v>
      </c>
      <c r="C235" s="19">
        <v>33.224899999999998</v>
      </c>
      <c r="D235" s="19">
        <v>11.7432</v>
      </c>
      <c r="E235" s="19">
        <v>261.2681</v>
      </c>
      <c r="F235" s="19">
        <v>16.270800000000001</v>
      </c>
      <c r="G235" s="19">
        <v>356.8236</v>
      </c>
      <c r="H235" s="19">
        <v>4534.3675000000003</v>
      </c>
      <c r="I235" s="19">
        <v>8586.4747000000007</v>
      </c>
      <c r="J235" s="75">
        <v>-5190</v>
      </c>
      <c r="K235" s="75">
        <v>12109.65</v>
      </c>
      <c r="L235" s="75">
        <v>5612.1600000000008</v>
      </c>
      <c r="M235" s="75">
        <v>-18741.219999999998</v>
      </c>
      <c r="N235" s="75">
        <v>28643.760000000002</v>
      </c>
      <c r="O235" s="75">
        <v>-34007.4</v>
      </c>
      <c r="P235" s="75">
        <v>-9979.9500000000007</v>
      </c>
      <c r="Q235" s="75">
        <v>35729.42</v>
      </c>
      <c r="R235" s="75">
        <v>14176.420000000002</v>
      </c>
    </row>
    <row r="236" spans="1:18" x14ac:dyDescent="0.3">
      <c r="A236">
        <v>219</v>
      </c>
      <c r="B236" s="19">
        <v>49.110399999999998</v>
      </c>
      <c r="C236" s="19">
        <v>32.9604</v>
      </c>
      <c r="D236" s="19">
        <v>11.6578</v>
      </c>
      <c r="E236" s="19">
        <v>260.80380000000002</v>
      </c>
      <c r="F236" s="19">
        <v>16.0029</v>
      </c>
      <c r="G236" s="19">
        <v>360.77960000000002</v>
      </c>
      <c r="H236" s="19">
        <v>4691.8819000000003</v>
      </c>
      <c r="I236" s="19">
        <v>8934.2415000000001</v>
      </c>
      <c r="J236" s="75">
        <v>-9392</v>
      </c>
      <c r="K236" s="75">
        <v>4571.3999999999996</v>
      </c>
      <c r="L236" s="75">
        <v>-1971.3600000000001</v>
      </c>
      <c r="M236" s="75">
        <v>-20505.560000000001</v>
      </c>
      <c r="N236" s="75">
        <v>16668.63</v>
      </c>
      <c r="O236" s="75">
        <v>-20161.399999999998</v>
      </c>
      <c r="P236" s="75">
        <v>37274.370000000003</v>
      </c>
      <c r="Q236" s="75">
        <v>105282.78</v>
      </c>
      <c r="R236" s="75">
        <v>111766.86</v>
      </c>
    </row>
    <row r="237" spans="1:18" x14ac:dyDescent="0.3">
      <c r="A237">
        <v>220</v>
      </c>
      <c r="B237" s="19">
        <v>49.586199999999998</v>
      </c>
      <c r="C237" s="19">
        <v>32.397300000000001</v>
      </c>
      <c r="D237" s="19">
        <v>11.825900000000001</v>
      </c>
      <c r="E237" s="19">
        <v>268.91739999999999</v>
      </c>
      <c r="F237" s="19">
        <v>15.7058</v>
      </c>
      <c r="G237" s="19">
        <v>360.80540000000002</v>
      </c>
      <c r="H237" s="19">
        <v>4692.5735999999997</v>
      </c>
      <c r="I237" s="19">
        <v>8166.6675999999998</v>
      </c>
      <c r="J237" s="75">
        <v>124</v>
      </c>
      <c r="K237" s="75">
        <v>-11476.95</v>
      </c>
      <c r="L237" s="75">
        <v>12955.92</v>
      </c>
      <c r="M237" s="75">
        <v>10326.120000000001</v>
      </c>
      <c r="N237" s="75">
        <v>3388.26</v>
      </c>
      <c r="O237" s="75">
        <v>-20071.100000000002</v>
      </c>
      <c r="P237" s="75">
        <v>37481.879999999997</v>
      </c>
      <c r="Q237" s="75">
        <v>-48232</v>
      </c>
      <c r="R237" s="75">
        <v>-15503.870000000003</v>
      </c>
    </row>
    <row r="238" spans="1:18" x14ac:dyDescent="0.3">
      <c r="A238">
        <v>221</v>
      </c>
      <c r="B238" s="19">
        <v>49.227800000000002</v>
      </c>
      <c r="C238" s="19">
        <v>31.953299999999999</v>
      </c>
      <c r="D238" s="19">
        <v>11.3781</v>
      </c>
      <c r="E238" s="19">
        <v>261.1422</v>
      </c>
      <c r="F238" s="19">
        <v>15.8553</v>
      </c>
      <c r="G238" s="19">
        <v>373.94330000000002</v>
      </c>
      <c r="H238" s="19">
        <v>4398.7700999999997</v>
      </c>
      <c r="I238" s="19">
        <v>8607.8651000000009</v>
      </c>
      <c r="J238" s="75">
        <v>-7044</v>
      </c>
      <c r="K238" s="75">
        <v>-24130.95</v>
      </c>
      <c r="L238" s="75">
        <v>-26808.720000000001</v>
      </c>
      <c r="M238" s="75">
        <v>-19219.64</v>
      </c>
      <c r="N238" s="75">
        <v>10070.91</v>
      </c>
      <c r="O238" s="75">
        <v>25911.55</v>
      </c>
      <c r="P238" s="75">
        <v>-50659.17</v>
      </c>
      <c r="Q238" s="75">
        <v>40007.5</v>
      </c>
      <c r="R238" s="75">
        <v>-51872.51999999999</v>
      </c>
    </row>
    <row r="239" spans="1:18" x14ac:dyDescent="0.3">
      <c r="A239">
        <v>222</v>
      </c>
      <c r="B239" s="19">
        <v>49.645600000000002</v>
      </c>
      <c r="C239" s="19">
        <v>33.425899999999999</v>
      </c>
      <c r="D239" s="19">
        <v>11.636200000000001</v>
      </c>
      <c r="E239" s="19">
        <v>249.55179999999999</v>
      </c>
      <c r="F239" s="19">
        <v>15.5518</v>
      </c>
      <c r="G239" s="19">
        <v>367.58539999999999</v>
      </c>
      <c r="H239" s="19">
        <v>4547.9495999999999</v>
      </c>
      <c r="I239" s="19">
        <v>7603.8525</v>
      </c>
      <c r="J239" s="75">
        <v>1312</v>
      </c>
      <c r="K239" s="75">
        <v>17838.150000000001</v>
      </c>
      <c r="L239" s="75">
        <v>-3889.44</v>
      </c>
      <c r="M239" s="75">
        <v>-63263.159999999996</v>
      </c>
      <c r="N239" s="75">
        <v>-3495.5400000000004</v>
      </c>
      <c r="O239" s="75">
        <v>3658.9000000000005</v>
      </c>
      <c r="P239" s="75">
        <v>-5905.32</v>
      </c>
      <c r="Q239" s="75">
        <v>-160795.01999999999</v>
      </c>
      <c r="R239" s="75">
        <v>-214539.43</v>
      </c>
    </row>
    <row r="240" spans="1:18" x14ac:dyDescent="0.3">
      <c r="A240">
        <v>223</v>
      </c>
      <c r="B240" s="19">
        <v>49.404400000000003</v>
      </c>
      <c r="C240" s="19">
        <v>32.758000000000003</v>
      </c>
      <c r="D240" s="19">
        <v>11.5936</v>
      </c>
      <c r="E240" s="19">
        <v>275.36500000000001</v>
      </c>
      <c r="F240" s="19">
        <v>15.5479</v>
      </c>
      <c r="G240" s="19">
        <v>364.0926</v>
      </c>
      <c r="H240" s="19">
        <v>4604.3773000000001</v>
      </c>
      <c r="I240" s="19">
        <v>8149.5962</v>
      </c>
      <c r="J240" s="75">
        <v>-3512</v>
      </c>
      <c r="K240" s="75">
        <v>-1197</v>
      </c>
      <c r="L240" s="75">
        <v>-7672.3200000000006</v>
      </c>
      <c r="M240" s="75">
        <v>34827</v>
      </c>
      <c r="N240" s="75">
        <v>-3669.8700000000003</v>
      </c>
      <c r="O240" s="75">
        <v>-8565.9</v>
      </c>
      <c r="P240" s="75">
        <v>11022.99</v>
      </c>
      <c r="Q240" s="75">
        <v>-51646.28</v>
      </c>
      <c r="R240" s="75">
        <v>-30413.379999999997</v>
      </c>
    </row>
    <row r="241" spans="1:18" x14ac:dyDescent="0.3">
      <c r="A241">
        <v>224</v>
      </c>
      <c r="B241" s="19">
        <v>50.049199999999999</v>
      </c>
      <c r="C241" s="19">
        <v>32.983899999999998</v>
      </c>
      <c r="D241" s="19">
        <v>11.5145</v>
      </c>
      <c r="E241" s="19">
        <v>265.61950000000002</v>
      </c>
      <c r="F241" s="19">
        <v>15.726000000000001</v>
      </c>
      <c r="G241" s="19">
        <v>356.24489999999997</v>
      </c>
      <c r="H241" s="19">
        <v>4555.7330000000002</v>
      </c>
      <c r="I241" s="19">
        <v>8302.2330000000002</v>
      </c>
      <c r="J241" s="75">
        <v>9384</v>
      </c>
      <c r="K241" s="75">
        <v>5241.1500000000005</v>
      </c>
      <c r="L241" s="75">
        <v>-14696.400000000001</v>
      </c>
      <c r="M241" s="75">
        <v>-2205.9</v>
      </c>
      <c r="N241" s="75">
        <v>4291.2</v>
      </c>
      <c r="O241" s="75">
        <v>-36032.85</v>
      </c>
      <c r="P241" s="75">
        <v>-3570.2999999999997</v>
      </c>
      <c r="Q241" s="75">
        <v>-21118.92</v>
      </c>
      <c r="R241" s="75">
        <v>-58708.02</v>
      </c>
    </row>
    <row r="242" spans="1:18" x14ac:dyDescent="0.3">
      <c r="A242">
        <v>225</v>
      </c>
      <c r="B242" s="19">
        <v>49.530500000000004</v>
      </c>
      <c r="C242" s="19">
        <v>32.035800000000002</v>
      </c>
      <c r="D242" s="19">
        <v>11.527699999999999</v>
      </c>
      <c r="E242" s="19">
        <v>284.89150000000001</v>
      </c>
      <c r="F242" s="19">
        <v>15.843500000000001</v>
      </c>
      <c r="G242" s="19">
        <v>364.89120000000003</v>
      </c>
      <c r="H242" s="19">
        <v>4449.9529000000002</v>
      </c>
      <c r="I242" s="19">
        <v>8280.5867999999991</v>
      </c>
      <c r="J242" s="75">
        <v>-990</v>
      </c>
      <c r="K242" s="75">
        <v>-21779.7</v>
      </c>
      <c r="L242" s="75">
        <v>-13524.24</v>
      </c>
      <c r="M242" s="75">
        <v>71027.700000000012</v>
      </c>
      <c r="N242" s="75">
        <v>9543.4499999999989</v>
      </c>
      <c r="O242" s="75">
        <v>-5770.8</v>
      </c>
      <c r="P242" s="75">
        <v>-35304.33</v>
      </c>
      <c r="Q242" s="75">
        <v>-25448.16</v>
      </c>
      <c r="R242" s="75">
        <v>-22246.079999999998</v>
      </c>
    </row>
    <row r="243" spans="1:18" x14ac:dyDescent="0.3">
      <c r="A243">
        <v>226</v>
      </c>
      <c r="B243" s="19">
        <v>49.178800000000003</v>
      </c>
      <c r="C243" s="19">
        <v>31.694900000000001</v>
      </c>
      <c r="D243" s="19">
        <v>11.429</v>
      </c>
      <c r="E243" s="19">
        <v>263.05700000000002</v>
      </c>
      <c r="F243" s="19">
        <v>15.595599999999999</v>
      </c>
      <c r="G243" s="19">
        <v>373.63350000000003</v>
      </c>
      <c r="H243" s="19">
        <v>4460.5709999999999</v>
      </c>
      <c r="I243" s="19">
        <v>8071.3189000000002</v>
      </c>
      <c r="J243" s="75">
        <v>-8024</v>
      </c>
      <c r="K243" s="75">
        <v>-31495.35</v>
      </c>
      <c r="L243" s="75">
        <v>-22288.799999999999</v>
      </c>
      <c r="M243" s="75">
        <v>-11943.4</v>
      </c>
      <c r="N243" s="75">
        <v>-1537.68</v>
      </c>
      <c r="O243" s="75">
        <v>24827.25</v>
      </c>
      <c r="P243" s="75">
        <v>-32118.9</v>
      </c>
      <c r="Q243" s="75">
        <v>-67301.739999999991</v>
      </c>
      <c r="R243" s="75">
        <v>-149882.61999999997</v>
      </c>
    </row>
    <row r="244" spans="1:18" x14ac:dyDescent="0.3">
      <c r="A244">
        <v>227</v>
      </c>
      <c r="B244" s="19">
        <v>49.759500000000003</v>
      </c>
      <c r="C244" s="19">
        <v>33.598599999999998</v>
      </c>
      <c r="D244" s="19">
        <v>11.9474</v>
      </c>
      <c r="E244" s="19">
        <v>270.17680000000001</v>
      </c>
      <c r="F244" s="19">
        <v>15.5312</v>
      </c>
      <c r="G244" s="19">
        <v>360.94510000000002</v>
      </c>
      <c r="H244" s="19">
        <v>4491.5694999999996</v>
      </c>
      <c r="I244" s="19">
        <v>8517.1021999999994</v>
      </c>
      <c r="J244" s="75">
        <v>3590</v>
      </c>
      <c r="K244" s="75">
        <v>22760.1</v>
      </c>
      <c r="L244" s="75">
        <v>23745.120000000003</v>
      </c>
      <c r="M244" s="75">
        <v>15111.84</v>
      </c>
      <c r="N244" s="75">
        <v>-4416.3599999999997</v>
      </c>
      <c r="O244" s="75">
        <v>-19582.150000000001</v>
      </c>
      <c r="P244" s="75">
        <v>-22819.35</v>
      </c>
      <c r="Q244" s="75">
        <v>21854.920000000002</v>
      </c>
      <c r="R244" s="75">
        <v>40244.119999999995</v>
      </c>
    </row>
    <row r="245" spans="1:18" x14ac:dyDescent="0.3">
      <c r="A245">
        <v>228</v>
      </c>
      <c r="B245" s="19">
        <v>49.839799999999997</v>
      </c>
      <c r="C245" s="19">
        <v>32.376800000000003</v>
      </c>
      <c r="D245" s="19">
        <v>12.2492</v>
      </c>
      <c r="E245" s="19">
        <v>277.20600000000002</v>
      </c>
      <c r="F245" s="19">
        <v>15.5991</v>
      </c>
      <c r="G245" s="19">
        <v>364.58120000000002</v>
      </c>
      <c r="H245" s="19">
        <v>4401.8221999999996</v>
      </c>
      <c r="I245" s="19">
        <v>7879.5825000000004</v>
      </c>
      <c r="J245" s="75">
        <v>5195.9999999999991</v>
      </c>
      <c r="K245" s="75">
        <v>-12061.2</v>
      </c>
      <c r="L245" s="75">
        <v>50544.960000000006</v>
      </c>
      <c r="M245" s="75">
        <v>41822.800000000003</v>
      </c>
      <c r="N245" s="75">
        <v>-1381.23</v>
      </c>
      <c r="O245" s="75">
        <v>-6855.8</v>
      </c>
      <c r="P245" s="75">
        <v>-49743.54</v>
      </c>
      <c r="Q245" s="75">
        <v>-105649.01999999999</v>
      </c>
      <c r="R245" s="75">
        <v>-78127.03</v>
      </c>
    </row>
    <row r="246" spans="1:18" x14ac:dyDescent="0.3">
      <c r="A246">
        <v>229</v>
      </c>
      <c r="B246" s="19">
        <v>49.678199999999997</v>
      </c>
      <c r="C246" s="19">
        <v>33.373800000000003</v>
      </c>
      <c r="D246" s="19">
        <v>11.6251</v>
      </c>
      <c r="E246" s="19">
        <v>260.91410000000002</v>
      </c>
      <c r="F246" s="19">
        <v>15.557499999999999</v>
      </c>
      <c r="G246" s="19">
        <v>361.10129999999998</v>
      </c>
      <c r="H246" s="19">
        <v>4665.5862999999999</v>
      </c>
      <c r="I246" s="19">
        <v>7905.9251999999997</v>
      </c>
      <c r="J246" s="75">
        <v>1964</v>
      </c>
      <c r="K246" s="75">
        <v>16353.3</v>
      </c>
      <c r="L246" s="75">
        <v>-4875.12</v>
      </c>
      <c r="M246" s="75">
        <v>-20086.419999999998</v>
      </c>
      <c r="N246" s="75">
        <v>-3240.75</v>
      </c>
      <c r="O246" s="75">
        <v>-19035.45</v>
      </c>
      <c r="P246" s="75">
        <v>29385.69</v>
      </c>
      <c r="Q246" s="75">
        <v>-100380.48</v>
      </c>
      <c r="R246" s="75">
        <v>-99915.23</v>
      </c>
    </row>
    <row r="247" spans="1:18" x14ac:dyDescent="0.3">
      <c r="A247">
        <v>230</v>
      </c>
      <c r="B247" s="19">
        <v>49.888199999999998</v>
      </c>
      <c r="C247" s="19">
        <v>32.7027</v>
      </c>
      <c r="D247" s="19">
        <v>11.851599999999999</v>
      </c>
      <c r="E247" s="19">
        <v>250.3664</v>
      </c>
      <c r="F247" s="19">
        <v>15.855600000000001</v>
      </c>
      <c r="G247" s="19">
        <v>367.25920000000002</v>
      </c>
      <c r="H247" s="19">
        <v>4695.7883000000002</v>
      </c>
      <c r="I247" s="19">
        <v>8525.3171000000002</v>
      </c>
      <c r="J247" s="75">
        <v>6163.9999999999991</v>
      </c>
      <c r="K247" s="75">
        <v>-2773.0499999999997</v>
      </c>
      <c r="L247" s="75">
        <v>15238.08</v>
      </c>
      <c r="M247" s="75">
        <v>-60167.68</v>
      </c>
      <c r="N247" s="75">
        <v>10084.32</v>
      </c>
      <c r="O247" s="75">
        <v>2517.1999999999998</v>
      </c>
      <c r="P247" s="75">
        <v>38446.29</v>
      </c>
      <c r="Q247" s="75">
        <v>23497.9</v>
      </c>
      <c r="R247" s="75">
        <v>33007.06</v>
      </c>
    </row>
    <row r="248" spans="1:18" x14ac:dyDescent="0.3">
      <c r="A248">
        <v>231</v>
      </c>
      <c r="B248" s="19">
        <v>49.130899999999997</v>
      </c>
      <c r="C248" s="19">
        <v>32.304900000000004</v>
      </c>
      <c r="D248" s="19">
        <v>11.1683</v>
      </c>
      <c r="E248" s="19">
        <v>264.37459999999999</v>
      </c>
      <c r="F248" s="19">
        <v>15.229699999999999</v>
      </c>
      <c r="G248" s="19">
        <v>362.35430000000002</v>
      </c>
      <c r="H248" s="19">
        <v>4494.5128999999997</v>
      </c>
      <c r="I248" s="19">
        <v>8541.9022000000004</v>
      </c>
      <c r="J248" s="75">
        <v>-8982</v>
      </c>
      <c r="K248" s="75">
        <v>-14110.35</v>
      </c>
      <c r="L248" s="75">
        <v>-45438.960000000006</v>
      </c>
      <c r="M248" s="75">
        <v>-6936.5199999999995</v>
      </c>
      <c r="N248" s="75">
        <v>-17893.41</v>
      </c>
      <c r="O248" s="75">
        <v>-14649.949999999999</v>
      </c>
      <c r="P248" s="75">
        <v>-21936.329999999998</v>
      </c>
      <c r="Q248" s="75">
        <v>26814.920000000002</v>
      </c>
      <c r="R248" s="75">
        <v>-103132.6</v>
      </c>
    </row>
    <row r="249" spans="1:18" x14ac:dyDescent="0.3">
      <c r="A249">
        <v>232</v>
      </c>
      <c r="B249" s="19">
        <v>49.926900000000003</v>
      </c>
      <c r="C249" s="19">
        <v>32.496600000000001</v>
      </c>
      <c r="D249" s="19">
        <v>11.8506</v>
      </c>
      <c r="E249" s="19">
        <v>269.29500000000002</v>
      </c>
      <c r="F249" s="19">
        <v>15.423500000000001</v>
      </c>
      <c r="G249" s="19">
        <v>363.50740000000002</v>
      </c>
      <c r="H249" s="19">
        <v>4598.1711999999998</v>
      </c>
      <c r="I249" s="19">
        <v>8263.1653000000006</v>
      </c>
      <c r="J249" s="75">
        <v>6938</v>
      </c>
      <c r="K249" s="75">
        <v>-8646.9</v>
      </c>
      <c r="L249" s="75">
        <v>15149.28</v>
      </c>
      <c r="M249" s="75">
        <v>11761</v>
      </c>
      <c r="N249" s="75">
        <v>-9230.5499999999993</v>
      </c>
      <c r="O249" s="75">
        <v>-10614.1</v>
      </c>
      <c r="P249" s="75">
        <v>9161.16</v>
      </c>
      <c r="Q249" s="75">
        <v>-28932.46</v>
      </c>
      <c r="R249" s="75">
        <v>-14414.569999999998</v>
      </c>
    </row>
    <row r="250" spans="1:18" x14ac:dyDescent="0.3">
      <c r="A250">
        <v>233</v>
      </c>
      <c r="B250" s="19">
        <v>49.197299999999998</v>
      </c>
      <c r="C250" s="19">
        <v>33.097700000000003</v>
      </c>
      <c r="D250" s="19">
        <v>11.825900000000001</v>
      </c>
      <c r="E250" s="19">
        <v>267.10989999999998</v>
      </c>
      <c r="F250" s="19">
        <v>15.732200000000001</v>
      </c>
      <c r="G250" s="19">
        <v>362.3587</v>
      </c>
      <c r="H250" s="19">
        <v>4591.6217999999999</v>
      </c>
      <c r="I250" s="19">
        <v>8515.3552999999993</v>
      </c>
      <c r="J250" s="75">
        <v>-7654</v>
      </c>
      <c r="K250" s="75">
        <v>8484.4500000000007</v>
      </c>
      <c r="L250" s="75">
        <v>12955.92</v>
      </c>
      <c r="M250" s="75">
        <v>3457.6200000000003</v>
      </c>
      <c r="N250" s="75">
        <v>4568.34</v>
      </c>
      <c r="O250" s="75">
        <v>-14634.550000000001</v>
      </c>
      <c r="P250" s="75">
        <v>7196.34</v>
      </c>
      <c r="Q250" s="75">
        <v>21505.54</v>
      </c>
      <c r="R250" s="75">
        <v>35879.660000000003</v>
      </c>
    </row>
    <row r="251" spans="1:18" x14ac:dyDescent="0.3">
      <c r="A251">
        <v>234</v>
      </c>
      <c r="B251" s="19">
        <v>50.289000000000001</v>
      </c>
      <c r="C251" s="19">
        <v>33.281700000000001</v>
      </c>
      <c r="D251" s="19">
        <v>11.3279</v>
      </c>
      <c r="E251" s="19">
        <v>294.2989</v>
      </c>
      <c r="F251" s="19">
        <v>15.712300000000001</v>
      </c>
      <c r="G251" s="19">
        <v>380.3467</v>
      </c>
      <c r="H251" s="19">
        <v>4627.4943999999996</v>
      </c>
      <c r="I251" s="19">
        <v>8481.1830000000009</v>
      </c>
      <c r="J251" s="75">
        <v>14180</v>
      </c>
      <c r="K251" s="75">
        <v>13728.45</v>
      </c>
      <c r="L251" s="75">
        <v>-31266.480000000003</v>
      </c>
      <c r="M251" s="75">
        <v>106775.82</v>
      </c>
      <c r="N251" s="75">
        <v>3678.81</v>
      </c>
      <c r="O251" s="75">
        <v>48323.45</v>
      </c>
      <c r="P251" s="75">
        <v>17958.12</v>
      </c>
      <c r="Q251" s="75">
        <v>14671.08</v>
      </c>
      <c r="R251" s="75">
        <v>188049.24999999997</v>
      </c>
    </row>
    <row r="252" spans="1:18" x14ac:dyDescent="0.3">
      <c r="A252">
        <v>235</v>
      </c>
      <c r="B252" s="19">
        <v>48.907899999999998</v>
      </c>
      <c r="C252" s="19">
        <v>32.450099999999999</v>
      </c>
      <c r="D252" s="19">
        <v>11.7171</v>
      </c>
      <c r="E252" s="19">
        <v>262.37029999999999</v>
      </c>
      <c r="F252" s="19">
        <v>15.242100000000001</v>
      </c>
      <c r="G252" s="19">
        <v>361.07990000000001</v>
      </c>
      <c r="H252" s="19">
        <v>4516.6171999999997</v>
      </c>
      <c r="I252" s="19">
        <v>8537.7332999999999</v>
      </c>
      <c r="J252" s="75">
        <v>-13442</v>
      </c>
      <c r="K252" s="75">
        <v>-9972.15</v>
      </c>
      <c r="L252" s="75">
        <v>3294.48</v>
      </c>
      <c r="M252" s="75">
        <v>-14552.859999999999</v>
      </c>
      <c r="N252" s="75">
        <v>-17339.13</v>
      </c>
      <c r="O252" s="75">
        <v>-19110.349999999999</v>
      </c>
      <c r="P252" s="75">
        <v>-15305.04</v>
      </c>
      <c r="Q252" s="75">
        <v>25981.14</v>
      </c>
      <c r="R252" s="75">
        <v>-60445.910000000018</v>
      </c>
    </row>
    <row r="253" spans="1:18" x14ac:dyDescent="0.3">
      <c r="A253">
        <v>236</v>
      </c>
      <c r="B253" s="19">
        <v>48.893099999999997</v>
      </c>
      <c r="C253" s="19">
        <v>32.578200000000002</v>
      </c>
      <c r="D253" s="19">
        <v>11.2272</v>
      </c>
      <c r="E253" s="19">
        <v>270.19409999999999</v>
      </c>
      <c r="F253" s="19">
        <v>15.240399999999999</v>
      </c>
      <c r="G253" s="19">
        <v>369.9323</v>
      </c>
      <c r="H253" s="19">
        <v>4510.1386000000002</v>
      </c>
      <c r="I253" s="19">
        <v>7587.3194000000003</v>
      </c>
      <c r="J253" s="75">
        <v>-13738</v>
      </c>
      <c r="K253" s="75">
        <v>-6321.3</v>
      </c>
      <c r="L253" s="75">
        <v>-40208.639999999999</v>
      </c>
      <c r="M253" s="75">
        <v>15177.58</v>
      </c>
      <c r="N253" s="75">
        <v>-17415.12</v>
      </c>
      <c r="O253" s="75">
        <v>11873.050000000001</v>
      </c>
      <c r="P253" s="75">
        <v>-17248.62</v>
      </c>
      <c r="Q253" s="75">
        <v>-164101.63999999998</v>
      </c>
      <c r="R253" s="75">
        <v>-231982.68999999997</v>
      </c>
    </row>
    <row r="254" spans="1:18" x14ac:dyDescent="0.3">
      <c r="A254">
        <v>237</v>
      </c>
      <c r="B254" s="19">
        <v>49.904600000000002</v>
      </c>
      <c r="C254" s="19">
        <v>33.312899999999999</v>
      </c>
      <c r="D254" s="19">
        <v>11.6531</v>
      </c>
      <c r="E254" s="19">
        <v>263.24979999999999</v>
      </c>
      <c r="F254" s="19">
        <v>15.784700000000001</v>
      </c>
      <c r="G254" s="19">
        <v>368.87270000000001</v>
      </c>
      <c r="H254" s="19">
        <v>4580.6349</v>
      </c>
      <c r="I254" s="19">
        <v>8670.1358999999993</v>
      </c>
      <c r="J254" s="75">
        <v>6492</v>
      </c>
      <c r="K254" s="75">
        <v>14617.650000000001</v>
      </c>
      <c r="L254" s="75">
        <v>-2388.7199999999998</v>
      </c>
      <c r="M254" s="75">
        <v>-11210.76</v>
      </c>
      <c r="N254" s="75">
        <v>6915.09</v>
      </c>
      <c r="O254" s="75">
        <v>8164.45</v>
      </c>
      <c r="P254" s="75">
        <v>3900.27</v>
      </c>
      <c r="Q254" s="75">
        <v>52461.659999999996</v>
      </c>
      <c r="R254" s="75">
        <v>78951.64</v>
      </c>
    </row>
    <row r="255" spans="1:18" x14ac:dyDescent="0.3">
      <c r="A255">
        <v>238</v>
      </c>
      <c r="B255" s="19">
        <v>49.422699999999999</v>
      </c>
      <c r="C255" s="19">
        <v>33.291899999999998</v>
      </c>
      <c r="D255" s="19">
        <v>11.781700000000001</v>
      </c>
      <c r="E255" s="19">
        <v>283.42349999999999</v>
      </c>
      <c r="F255" s="19">
        <v>15.816700000000001</v>
      </c>
      <c r="G255" s="19">
        <v>364.13589999999999</v>
      </c>
      <c r="H255" s="19">
        <v>4651.3585999999996</v>
      </c>
      <c r="I255" s="19">
        <v>8624.3994000000002</v>
      </c>
      <c r="J255" s="75">
        <v>-3146</v>
      </c>
      <c r="K255" s="75">
        <v>14019.15</v>
      </c>
      <c r="L255" s="75">
        <v>9030.9599999999991</v>
      </c>
      <c r="M255" s="75">
        <v>65449.3</v>
      </c>
      <c r="N255" s="75">
        <v>8345.49</v>
      </c>
      <c r="O255" s="75">
        <v>-8414.35</v>
      </c>
      <c r="P255" s="75">
        <v>25117.379999999997</v>
      </c>
      <c r="Q255" s="75">
        <v>43314.36</v>
      </c>
      <c r="R255" s="75">
        <v>153716.28999999998</v>
      </c>
    </row>
    <row r="256" spans="1:18" x14ac:dyDescent="0.3">
      <c r="A256">
        <v>239</v>
      </c>
      <c r="B256" s="19">
        <v>49.514899999999997</v>
      </c>
      <c r="C256" s="19">
        <v>32.665700000000001</v>
      </c>
      <c r="D256" s="19">
        <v>11.7911</v>
      </c>
      <c r="E256" s="19">
        <v>262.37220000000002</v>
      </c>
      <c r="F256" s="19">
        <v>15.9054</v>
      </c>
      <c r="G256" s="19">
        <v>373.66379999999998</v>
      </c>
      <c r="H256" s="19">
        <v>4563.0619999999999</v>
      </c>
      <c r="I256" s="19">
        <v>8576.5267999999996</v>
      </c>
      <c r="J256" s="75">
        <v>-1302</v>
      </c>
      <c r="K256" s="75">
        <v>-3827.55</v>
      </c>
      <c r="L256" s="75">
        <v>9865.68</v>
      </c>
      <c r="M256" s="75">
        <v>-14545.64</v>
      </c>
      <c r="N256" s="75">
        <v>12310.38</v>
      </c>
      <c r="O256" s="75">
        <v>24933.3</v>
      </c>
      <c r="P256" s="75">
        <v>-1371.6</v>
      </c>
      <c r="Q256" s="75">
        <v>33739.839999999997</v>
      </c>
      <c r="R256" s="75">
        <v>59802.409999999996</v>
      </c>
    </row>
    <row r="257" spans="1:18" x14ac:dyDescent="0.3">
      <c r="A257">
        <v>240</v>
      </c>
      <c r="B257" s="19">
        <v>49.049500000000002</v>
      </c>
      <c r="C257" s="19">
        <v>32.887099999999997</v>
      </c>
      <c r="D257" s="19">
        <v>11.408300000000001</v>
      </c>
      <c r="E257" s="19">
        <v>256.00599999999997</v>
      </c>
      <c r="F257" s="19">
        <v>15.5525</v>
      </c>
      <c r="G257" s="19">
        <v>371.16289999999998</v>
      </c>
      <c r="H257" s="19">
        <v>4571.4516999999996</v>
      </c>
      <c r="I257" s="19">
        <v>8669.8449000000001</v>
      </c>
      <c r="J257" s="75">
        <v>-10610</v>
      </c>
      <c r="K257" s="75">
        <v>2482.35</v>
      </c>
      <c r="L257" s="75">
        <v>-24126.959999999999</v>
      </c>
      <c r="M257" s="75">
        <v>-38737.200000000004</v>
      </c>
      <c r="N257" s="75">
        <v>-3464.25</v>
      </c>
      <c r="O257" s="75">
        <v>16180.149999999998</v>
      </c>
      <c r="P257" s="75">
        <v>1145.31</v>
      </c>
      <c r="Q257" s="75">
        <v>52403.459999999992</v>
      </c>
      <c r="R257" s="75">
        <v>-4727.140000000014</v>
      </c>
    </row>
    <row r="258" spans="1:18" x14ac:dyDescent="0.3">
      <c r="A258">
        <v>241</v>
      </c>
      <c r="B258" s="19">
        <v>49.040599999999998</v>
      </c>
      <c r="C258" s="19">
        <v>32.341299999999997</v>
      </c>
      <c r="D258" s="19">
        <v>11.291</v>
      </c>
      <c r="E258" s="19">
        <v>249.13120000000001</v>
      </c>
      <c r="F258" s="19">
        <v>15.217000000000001</v>
      </c>
      <c r="G258" s="19">
        <v>363.12139999999999</v>
      </c>
      <c r="H258" s="19">
        <v>4555.7061999999996</v>
      </c>
      <c r="I258" s="19">
        <v>8251.0529999999999</v>
      </c>
      <c r="J258" s="75">
        <v>-10788</v>
      </c>
      <c r="K258" s="75">
        <v>-13072.95</v>
      </c>
      <c r="L258" s="75">
        <v>-34543.200000000004</v>
      </c>
      <c r="M258" s="75">
        <v>-64861.439999999995</v>
      </c>
      <c r="N258" s="75">
        <v>-18461.099999999999</v>
      </c>
      <c r="O258" s="75">
        <v>-11965.1</v>
      </c>
      <c r="P258" s="75">
        <v>-3578.3399999999997</v>
      </c>
      <c r="Q258" s="75">
        <v>-31354.92</v>
      </c>
      <c r="R258" s="75">
        <v>-188625.05</v>
      </c>
    </row>
    <row r="259" spans="1:18" x14ac:dyDescent="0.3">
      <c r="A259">
        <v>242</v>
      </c>
      <c r="B259" s="19">
        <v>49.151499999999999</v>
      </c>
      <c r="C259" s="19">
        <v>33.543900000000001</v>
      </c>
      <c r="D259" s="19">
        <v>11.672700000000001</v>
      </c>
      <c r="E259" s="19">
        <v>263.42059999999998</v>
      </c>
      <c r="F259" s="19">
        <v>15.372199999999999</v>
      </c>
      <c r="G259" s="19">
        <v>358.63589999999999</v>
      </c>
      <c r="H259" s="19">
        <v>4560.9787999999999</v>
      </c>
      <c r="I259" s="19">
        <v>9308.1430999999993</v>
      </c>
      <c r="J259" s="75">
        <v>-8570</v>
      </c>
      <c r="K259" s="75">
        <v>21201.15</v>
      </c>
      <c r="L259" s="75">
        <v>-648.24</v>
      </c>
      <c r="M259" s="75">
        <v>-10561.72</v>
      </c>
      <c r="N259" s="75">
        <v>-11523.659999999998</v>
      </c>
      <c r="O259" s="75">
        <v>-27664.35</v>
      </c>
      <c r="P259" s="75">
        <v>-1996.56</v>
      </c>
      <c r="Q259" s="75">
        <v>180063.1</v>
      </c>
      <c r="R259" s="75">
        <v>140299.72000000003</v>
      </c>
    </row>
    <row r="260" spans="1:18" x14ac:dyDescent="0.3">
      <c r="A260">
        <v>243</v>
      </c>
      <c r="B260" s="19">
        <v>48.841099999999997</v>
      </c>
      <c r="C260" s="19">
        <v>32.454099999999997</v>
      </c>
      <c r="D260" s="19">
        <v>11.8047</v>
      </c>
      <c r="E260" s="19">
        <v>261.6157</v>
      </c>
      <c r="F260" s="19">
        <v>15.725899999999999</v>
      </c>
      <c r="G260" s="19">
        <v>370.10559999999998</v>
      </c>
      <c r="H260" s="19">
        <v>4485.2223999999997</v>
      </c>
      <c r="I260" s="19">
        <v>8908.3973999999998</v>
      </c>
      <c r="J260" s="75">
        <v>-14778</v>
      </c>
      <c r="K260" s="75">
        <v>-9858.15</v>
      </c>
      <c r="L260" s="75">
        <v>11073.36</v>
      </c>
      <c r="M260" s="75">
        <v>-17420.34</v>
      </c>
      <c r="N260" s="75">
        <v>4286.7299999999996</v>
      </c>
      <c r="O260" s="75">
        <v>12479.6</v>
      </c>
      <c r="P260" s="75">
        <v>-24723.480000000003</v>
      </c>
      <c r="Q260" s="75">
        <v>100113.95999999999</v>
      </c>
      <c r="R260" s="75">
        <v>61173.679999999986</v>
      </c>
    </row>
    <row r="261" spans="1:18" x14ac:dyDescent="0.3">
      <c r="A261">
        <v>244</v>
      </c>
      <c r="B261" s="19">
        <v>49.797400000000003</v>
      </c>
      <c r="C261" s="19">
        <v>31.7454</v>
      </c>
      <c r="D261" s="19">
        <v>11.938700000000001</v>
      </c>
      <c r="E261" s="19">
        <v>255.9179</v>
      </c>
      <c r="F261" s="19">
        <v>15.4702</v>
      </c>
      <c r="G261" s="19">
        <v>359.26229999999998</v>
      </c>
      <c r="H261" s="19">
        <v>4453.0442999999996</v>
      </c>
      <c r="I261" s="19">
        <v>8742.2466000000004</v>
      </c>
      <c r="J261" s="75">
        <v>4348</v>
      </c>
      <c r="K261" s="75">
        <v>-30056.1</v>
      </c>
      <c r="L261" s="75">
        <v>22972.559999999998</v>
      </c>
      <c r="M261" s="75">
        <v>-39071.979999999996</v>
      </c>
      <c r="N261" s="75">
        <v>-7143.0599999999995</v>
      </c>
      <c r="O261" s="75">
        <v>-25471.95</v>
      </c>
      <c r="P261" s="75">
        <v>-34376.909999999996</v>
      </c>
      <c r="Q261" s="75">
        <v>66883.8</v>
      </c>
      <c r="R261" s="75">
        <v>-41915.64</v>
      </c>
    </row>
    <row r="262" spans="1:18" x14ac:dyDescent="0.3">
      <c r="A262">
        <v>245</v>
      </c>
      <c r="B262" s="19">
        <v>49.589599999999997</v>
      </c>
      <c r="C262" s="19">
        <v>32.544699999999999</v>
      </c>
      <c r="D262" s="19">
        <v>11.78</v>
      </c>
      <c r="E262" s="19">
        <v>267.72910000000002</v>
      </c>
      <c r="F262" s="19">
        <v>15.9384</v>
      </c>
      <c r="G262" s="19">
        <v>374.19110000000001</v>
      </c>
      <c r="H262" s="19">
        <v>4626.7138999999997</v>
      </c>
      <c r="I262" s="19">
        <v>9068.0918999999994</v>
      </c>
      <c r="J262" s="75">
        <v>191.99999999999997</v>
      </c>
      <c r="K262" s="75">
        <v>-7276.0500000000011</v>
      </c>
      <c r="L262" s="75">
        <v>8880</v>
      </c>
      <c r="M262" s="75">
        <v>5810.58</v>
      </c>
      <c r="N262" s="75">
        <v>13785.48</v>
      </c>
      <c r="O262" s="75">
        <v>26778.85</v>
      </c>
      <c r="P262" s="75">
        <v>17723.97</v>
      </c>
      <c r="Q262" s="75">
        <v>132052.86000000002</v>
      </c>
      <c r="R262" s="75">
        <v>197947.69</v>
      </c>
    </row>
    <row r="263" spans="1:18" x14ac:dyDescent="0.3">
      <c r="A263">
        <v>246</v>
      </c>
      <c r="B263" s="19">
        <v>49.619900000000001</v>
      </c>
      <c r="C263" s="19">
        <v>32.892899999999997</v>
      </c>
      <c r="D263" s="19">
        <v>11.5861</v>
      </c>
      <c r="E263" s="19">
        <v>263.34820000000002</v>
      </c>
      <c r="F263" s="19">
        <v>15.6295</v>
      </c>
      <c r="G263" s="19">
        <v>366.4615</v>
      </c>
      <c r="H263" s="19">
        <v>4535.2165000000005</v>
      </c>
      <c r="I263" s="19">
        <v>8828.1895999999997</v>
      </c>
      <c r="J263" s="75">
        <v>798</v>
      </c>
      <c r="K263" s="75">
        <v>2647.65</v>
      </c>
      <c r="L263" s="75">
        <v>-8338.32</v>
      </c>
      <c r="M263" s="75">
        <v>-10836.84</v>
      </c>
      <c r="N263" s="75">
        <v>-22.35</v>
      </c>
      <c r="O263" s="75">
        <v>-274.75</v>
      </c>
      <c r="P263" s="75">
        <v>-9725.2499999999982</v>
      </c>
      <c r="Q263" s="75">
        <v>84072.400000000009</v>
      </c>
      <c r="R263" s="75">
        <v>58320.540000000008</v>
      </c>
    </row>
    <row r="264" spans="1:18" x14ac:dyDescent="0.3">
      <c r="A264">
        <v>247</v>
      </c>
      <c r="B264" s="19">
        <v>49.218400000000003</v>
      </c>
      <c r="C264" s="19">
        <v>32.619300000000003</v>
      </c>
      <c r="D264" s="19">
        <v>11.5061</v>
      </c>
      <c r="E264" s="19">
        <v>269.54079999999999</v>
      </c>
      <c r="F264" s="19">
        <v>15.6303</v>
      </c>
      <c r="G264" s="19">
        <v>361.29469999999998</v>
      </c>
      <c r="H264" s="19">
        <v>4474.9137000000001</v>
      </c>
      <c r="I264" s="19">
        <v>8115.6040000000003</v>
      </c>
      <c r="J264" s="75">
        <v>-7231.9999999999991</v>
      </c>
      <c r="K264" s="75">
        <v>-5149.95</v>
      </c>
      <c r="L264" s="75">
        <v>-15442.32</v>
      </c>
      <c r="M264" s="75">
        <v>12695.04</v>
      </c>
      <c r="N264" s="75">
        <v>13.409999999999998</v>
      </c>
      <c r="O264" s="75">
        <v>-18358.55</v>
      </c>
      <c r="P264" s="75">
        <v>-27816.09</v>
      </c>
      <c r="Q264" s="75">
        <v>-58444.719999999994</v>
      </c>
      <c r="R264" s="75">
        <v>-119735.18</v>
      </c>
    </row>
    <row r="265" spans="1:18" x14ac:dyDescent="0.3">
      <c r="A265">
        <v>248</v>
      </c>
      <c r="B265" s="19">
        <v>49.5197</v>
      </c>
      <c r="C265" s="19">
        <v>32.9465</v>
      </c>
      <c r="D265" s="19">
        <v>11.5184</v>
      </c>
      <c r="E265" s="19">
        <v>259.44959999999998</v>
      </c>
      <c r="F265" s="19">
        <v>15.5381</v>
      </c>
      <c r="G265" s="19">
        <v>356.05099999999999</v>
      </c>
      <c r="H265" s="19">
        <v>4579.7058999999999</v>
      </c>
      <c r="I265" s="19">
        <v>8418.6748000000007</v>
      </c>
      <c r="J265" s="75">
        <v>-1206</v>
      </c>
      <c r="K265" s="75">
        <v>4175.25</v>
      </c>
      <c r="L265" s="75">
        <v>-14350.08</v>
      </c>
      <c r="M265" s="75">
        <v>-25651.52</v>
      </c>
      <c r="N265" s="75">
        <v>-4107.9299999999994</v>
      </c>
      <c r="O265" s="75">
        <v>-36711.5</v>
      </c>
      <c r="P265" s="75">
        <v>3621.5699999999997</v>
      </c>
      <c r="Q265" s="75">
        <v>2169.44</v>
      </c>
      <c r="R265" s="75">
        <v>-72060.76999999999</v>
      </c>
    </row>
    <row r="266" spans="1:18" x14ac:dyDescent="0.3">
      <c r="A266">
        <v>249</v>
      </c>
      <c r="B266" s="19">
        <v>49.838299999999997</v>
      </c>
      <c r="C266" s="19">
        <v>33.085299999999997</v>
      </c>
      <c r="D266" s="19">
        <v>11.9597</v>
      </c>
      <c r="E266" s="19">
        <v>280.40640000000002</v>
      </c>
      <c r="F266" s="19">
        <v>15.9138</v>
      </c>
      <c r="G266" s="19">
        <v>360.68869999999998</v>
      </c>
      <c r="H266" s="19">
        <v>4586.9933000000001</v>
      </c>
      <c r="I266" s="19">
        <v>8292.1121999999996</v>
      </c>
      <c r="J266" s="75">
        <v>5165.9999999999991</v>
      </c>
      <c r="K266" s="75">
        <v>8131.05</v>
      </c>
      <c r="L266" s="75">
        <v>24837.360000000001</v>
      </c>
      <c r="M266" s="75">
        <v>53984.32</v>
      </c>
      <c r="N266" s="75">
        <v>12685.86</v>
      </c>
      <c r="O266" s="75">
        <v>-20479.55</v>
      </c>
      <c r="P266" s="75">
        <v>5807.79</v>
      </c>
      <c r="Q266" s="75">
        <v>-23143.08</v>
      </c>
      <c r="R266" s="75">
        <v>66989.75</v>
      </c>
    </row>
    <row r="267" spans="1:18" x14ac:dyDescent="0.3">
      <c r="A267">
        <v>250</v>
      </c>
      <c r="B267" s="19">
        <v>49.846400000000003</v>
      </c>
      <c r="C267" s="19">
        <v>33.040300000000002</v>
      </c>
      <c r="D267" s="19">
        <v>11.934200000000001</v>
      </c>
      <c r="E267" s="19">
        <v>264.03500000000003</v>
      </c>
      <c r="F267" s="19">
        <v>15.182399999999999</v>
      </c>
      <c r="G267" s="19">
        <v>369.55650000000003</v>
      </c>
      <c r="H267" s="19">
        <v>4611.3756999999996</v>
      </c>
      <c r="I267" s="19">
        <v>8450.3165000000008</v>
      </c>
      <c r="J267" s="75">
        <v>5328.0000000000009</v>
      </c>
      <c r="K267" s="75">
        <v>6848.55</v>
      </c>
      <c r="L267" s="75">
        <v>22572.959999999999</v>
      </c>
      <c r="M267" s="75">
        <v>-8227</v>
      </c>
      <c r="N267" s="75">
        <v>-20007.72</v>
      </c>
      <c r="O267" s="75">
        <v>10557.75</v>
      </c>
      <c r="P267" s="75">
        <v>13122.51</v>
      </c>
      <c r="Q267" s="75">
        <v>8497.7800000000007</v>
      </c>
      <c r="R267" s="75">
        <v>38692.83</v>
      </c>
    </row>
    <row r="268" spans="1:18" x14ac:dyDescent="0.3">
      <c r="A268">
        <v>251</v>
      </c>
      <c r="B268" s="19">
        <v>49.444299999999998</v>
      </c>
      <c r="C268" s="19">
        <v>32.332900000000002</v>
      </c>
      <c r="D268" s="19">
        <v>11.6562</v>
      </c>
      <c r="E268" s="19">
        <v>259.6096</v>
      </c>
      <c r="F268" s="19">
        <v>15.728400000000001</v>
      </c>
      <c r="G268" s="19">
        <v>371.48020000000002</v>
      </c>
      <c r="H268" s="19">
        <v>4660.4445999999998</v>
      </c>
      <c r="I268" s="19">
        <v>8902.4585000000006</v>
      </c>
      <c r="J268" s="75">
        <v>-2713.9999999999995</v>
      </c>
      <c r="K268" s="75">
        <v>-13312.35</v>
      </c>
      <c r="L268" s="75">
        <v>-2113.44</v>
      </c>
      <c r="M268" s="75">
        <v>-25043.52</v>
      </c>
      <c r="N268" s="75">
        <v>4398.4800000000005</v>
      </c>
      <c r="O268" s="75">
        <v>17290.7</v>
      </c>
      <c r="P268" s="75">
        <v>27843.179999999997</v>
      </c>
      <c r="Q268" s="75">
        <v>98926.18</v>
      </c>
      <c r="R268" s="75">
        <v>105275.23</v>
      </c>
    </row>
    <row r="269" spans="1:18" x14ac:dyDescent="0.3">
      <c r="A269">
        <v>252</v>
      </c>
      <c r="B269" s="19">
        <v>50.1111</v>
      </c>
      <c r="C269" s="19">
        <v>32.002600000000001</v>
      </c>
      <c r="D269" s="19">
        <v>11.670500000000001</v>
      </c>
      <c r="E269" s="19">
        <v>273.59960000000001</v>
      </c>
      <c r="F269" s="19">
        <v>15.8652</v>
      </c>
      <c r="G269" s="19">
        <v>354.06079999999997</v>
      </c>
      <c r="H269" s="19">
        <v>4489.0267999999996</v>
      </c>
      <c r="I269" s="19">
        <v>8520.2849999999999</v>
      </c>
      <c r="J269" s="75">
        <v>10622</v>
      </c>
      <c r="K269" s="75">
        <v>-22725.9</v>
      </c>
      <c r="L269" s="75">
        <v>-843.6</v>
      </c>
      <c r="M269" s="75">
        <v>28118.480000000003</v>
      </c>
      <c r="N269" s="75">
        <v>10513.44</v>
      </c>
      <c r="O269" s="75">
        <v>-43677.200000000004</v>
      </c>
      <c r="P269" s="75">
        <v>-23582.160000000003</v>
      </c>
      <c r="Q269" s="75">
        <v>22491.480000000003</v>
      </c>
      <c r="R269" s="75">
        <v>-19083.46</v>
      </c>
    </row>
    <row r="270" spans="1:18" x14ac:dyDescent="0.3">
      <c r="A270">
        <v>253</v>
      </c>
      <c r="B270" s="19">
        <v>49.837899999999998</v>
      </c>
      <c r="C270" s="19">
        <v>32.435099999999998</v>
      </c>
      <c r="D270" s="19">
        <v>11.743399999999999</v>
      </c>
      <c r="E270" s="19">
        <v>267.09989999999999</v>
      </c>
      <c r="F270" s="19">
        <v>15.278700000000001</v>
      </c>
      <c r="G270" s="19">
        <v>362.75319999999999</v>
      </c>
      <c r="H270" s="19">
        <v>4550.9251000000004</v>
      </c>
      <c r="I270" s="19">
        <v>8635.9215999999997</v>
      </c>
      <c r="J270" s="75">
        <v>5158</v>
      </c>
      <c r="K270" s="75">
        <v>-10399.65</v>
      </c>
      <c r="L270" s="75">
        <v>5629.92</v>
      </c>
      <c r="M270" s="75">
        <v>3419.6200000000003</v>
      </c>
      <c r="N270" s="75">
        <v>-15703.11</v>
      </c>
      <c r="O270" s="75">
        <v>-13253.8</v>
      </c>
      <c r="P270" s="75">
        <v>-5012.67</v>
      </c>
      <c r="Q270" s="75">
        <v>45618.799999999996</v>
      </c>
      <c r="R270" s="75">
        <v>15457.11</v>
      </c>
    </row>
    <row r="271" spans="1:18" x14ac:dyDescent="0.3">
      <c r="A271">
        <v>254</v>
      </c>
      <c r="B271" s="19">
        <v>48.9756</v>
      </c>
      <c r="C271" s="19">
        <v>32.356699999999996</v>
      </c>
      <c r="D271" s="19">
        <v>11.734299999999999</v>
      </c>
      <c r="E271" s="19">
        <v>271.3349</v>
      </c>
      <c r="F271" s="19">
        <v>15.893599999999999</v>
      </c>
      <c r="G271" s="19">
        <v>367.58449999999999</v>
      </c>
      <c r="H271" s="19">
        <v>4520.7271000000001</v>
      </c>
      <c r="I271" s="19">
        <v>8627.9950000000008</v>
      </c>
      <c r="J271" s="75">
        <v>-12088.000000000002</v>
      </c>
      <c r="K271" s="75">
        <v>-12634.050000000001</v>
      </c>
      <c r="L271" s="75">
        <v>4821.84</v>
      </c>
      <c r="M271" s="75">
        <v>19512.62</v>
      </c>
      <c r="N271" s="75">
        <v>11782.92</v>
      </c>
      <c r="O271" s="75">
        <v>3655.75</v>
      </c>
      <c r="P271" s="75">
        <v>-14072.07</v>
      </c>
      <c r="Q271" s="75">
        <v>44033.479999999996</v>
      </c>
      <c r="R271" s="75">
        <v>45012.489999999991</v>
      </c>
    </row>
    <row r="272" spans="1:18" x14ac:dyDescent="0.3">
      <c r="A272">
        <v>255</v>
      </c>
      <c r="B272" s="19">
        <v>49.701599999999999</v>
      </c>
      <c r="C272" s="19">
        <v>33.7316</v>
      </c>
      <c r="D272" s="19">
        <v>11.8536</v>
      </c>
      <c r="E272" s="19">
        <v>260.04309999999998</v>
      </c>
      <c r="F272" s="19">
        <v>15.137600000000001</v>
      </c>
      <c r="G272" s="19">
        <v>375.54880000000003</v>
      </c>
      <c r="H272" s="19">
        <v>4482.8248999999996</v>
      </c>
      <c r="I272" s="19">
        <v>8921.8945999999996</v>
      </c>
      <c r="J272" s="75">
        <v>2432</v>
      </c>
      <c r="K272" s="75">
        <v>26550.6</v>
      </c>
      <c r="L272" s="75">
        <v>15415.68</v>
      </c>
      <c r="M272" s="75">
        <v>-23396.22</v>
      </c>
      <c r="N272" s="75">
        <v>-22010.28</v>
      </c>
      <c r="O272" s="75">
        <v>31530.800000000003</v>
      </c>
      <c r="P272" s="75">
        <v>-25442.73</v>
      </c>
      <c r="Q272" s="75">
        <v>102813.4</v>
      </c>
      <c r="R272" s="75">
        <v>107893.25</v>
      </c>
    </row>
    <row r="273" spans="1:18" x14ac:dyDescent="0.3">
      <c r="A273">
        <v>256</v>
      </c>
      <c r="B273" s="19">
        <v>49.795099999999998</v>
      </c>
      <c r="C273" s="19">
        <v>32.319200000000002</v>
      </c>
      <c r="D273" s="19">
        <v>11.542</v>
      </c>
      <c r="E273" s="19">
        <v>280.75259999999997</v>
      </c>
      <c r="F273" s="19">
        <v>15.6814</v>
      </c>
      <c r="G273" s="19">
        <v>366.46339999999998</v>
      </c>
      <c r="H273" s="19">
        <v>4561.4458999999997</v>
      </c>
      <c r="I273" s="19">
        <v>8066.5577000000003</v>
      </c>
      <c r="J273" s="75">
        <v>4302</v>
      </c>
      <c r="K273" s="75">
        <v>-13702.8</v>
      </c>
      <c r="L273" s="75">
        <v>-12254.400000000001</v>
      </c>
      <c r="M273" s="75">
        <v>55299.88</v>
      </c>
      <c r="N273" s="75">
        <v>2297.58</v>
      </c>
      <c r="O273" s="75">
        <v>-268.10000000000002</v>
      </c>
      <c r="P273" s="75">
        <v>-1856.43</v>
      </c>
      <c r="Q273" s="75">
        <v>-68253.98</v>
      </c>
      <c r="R273" s="75">
        <v>-34436.25</v>
      </c>
    </row>
    <row r="274" spans="1:18" x14ac:dyDescent="0.3">
      <c r="A274">
        <v>257</v>
      </c>
      <c r="B274" s="19">
        <v>48.631500000000003</v>
      </c>
      <c r="C274" s="19">
        <v>32.964799999999997</v>
      </c>
      <c r="D274" s="19">
        <v>11.5679</v>
      </c>
      <c r="E274" s="19">
        <v>271.81009999999998</v>
      </c>
      <c r="F274" s="19">
        <v>15.4811</v>
      </c>
      <c r="G274" s="19">
        <v>366.25790000000001</v>
      </c>
      <c r="H274" s="19">
        <v>4558.2627000000002</v>
      </c>
      <c r="I274" s="19">
        <v>8359.2947999999997</v>
      </c>
      <c r="J274" s="75">
        <v>-18970</v>
      </c>
      <c r="K274" s="75">
        <v>4696.8</v>
      </c>
      <c r="L274" s="75">
        <v>-9954.48</v>
      </c>
      <c r="M274" s="75">
        <v>21318.38</v>
      </c>
      <c r="N274" s="75">
        <v>-6655.83</v>
      </c>
      <c r="O274" s="75">
        <v>-987.35</v>
      </c>
      <c r="P274" s="75">
        <v>-2811.39</v>
      </c>
      <c r="Q274" s="75">
        <v>-9706.56</v>
      </c>
      <c r="R274" s="75">
        <v>-23070.43</v>
      </c>
    </row>
    <row r="275" spans="1:18" x14ac:dyDescent="0.3">
      <c r="A275">
        <v>258</v>
      </c>
      <c r="B275" s="19">
        <v>49.479799999999997</v>
      </c>
      <c r="C275" s="19">
        <v>33.418599999999998</v>
      </c>
      <c r="D275" s="19">
        <v>11.6457</v>
      </c>
      <c r="E275" s="19">
        <v>263.58080000000001</v>
      </c>
      <c r="F275" s="19">
        <v>15.237399999999999</v>
      </c>
      <c r="G275" s="19">
        <v>367.25510000000003</v>
      </c>
      <c r="H275" s="19">
        <v>4640.7246999999998</v>
      </c>
      <c r="I275" s="19">
        <v>8407.3062000000009</v>
      </c>
      <c r="J275" s="75">
        <v>-2004</v>
      </c>
      <c r="K275" s="75">
        <v>17630.100000000002</v>
      </c>
      <c r="L275" s="75">
        <v>-3045.8399999999997</v>
      </c>
      <c r="M275" s="75">
        <v>-9952.9600000000009</v>
      </c>
      <c r="N275" s="75">
        <v>-17549.22</v>
      </c>
      <c r="O275" s="75">
        <v>2502.85</v>
      </c>
      <c r="P275" s="75">
        <v>21927.21</v>
      </c>
      <c r="Q275" s="75">
        <v>-104.28</v>
      </c>
      <c r="R275" s="75">
        <v>9403.8599999999988</v>
      </c>
    </row>
    <row r="276" spans="1:18" x14ac:dyDescent="0.3">
      <c r="A276">
        <v>259</v>
      </c>
      <c r="B276" s="19">
        <v>49.447699999999998</v>
      </c>
      <c r="C276" s="19">
        <v>32.473700000000001</v>
      </c>
      <c r="D276" s="19">
        <v>11.696099999999999</v>
      </c>
      <c r="E276" s="19">
        <v>271.5496</v>
      </c>
      <c r="F276" s="19">
        <v>15.386699999999999</v>
      </c>
      <c r="G276" s="19">
        <v>366.03160000000003</v>
      </c>
      <c r="H276" s="19">
        <v>4668.6373000000003</v>
      </c>
      <c r="I276" s="19">
        <v>7826.6226999999999</v>
      </c>
      <c r="J276" s="75">
        <v>-2646</v>
      </c>
      <c r="K276" s="75">
        <v>-9299.5499999999993</v>
      </c>
      <c r="L276" s="75">
        <v>1429.68</v>
      </c>
      <c r="M276" s="75">
        <v>20328.48</v>
      </c>
      <c r="N276" s="75">
        <v>-10875.51</v>
      </c>
      <c r="O276" s="75">
        <v>-1779.3999999999999</v>
      </c>
      <c r="P276" s="75">
        <v>30300.989999999998</v>
      </c>
      <c r="Q276" s="75">
        <v>-116240.98</v>
      </c>
      <c r="R276" s="75">
        <v>-88782.29</v>
      </c>
    </row>
    <row r="277" spans="1:18" x14ac:dyDescent="0.3">
      <c r="A277">
        <v>260</v>
      </c>
      <c r="B277" s="19">
        <v>49.298299999999998</v>
      </c>
      <c r="C277" s="19">
        <v>32.450899999999997</v>
      </c>
      <c r="D277" s="19">
        <v>11.569699999999999</v>
      </c>
      <c r="E277" s="19">
        <v>263.19690000000003</v>
      </c>
      <c r="F277" s="19">
        <v>15.982100000000001</v>
      </c>
      <c r="G277" s="19">
        <v>371.58229999999998</v>
      </c>
      <c r="H277" s="19">
        <v>4561.8440000000001</v>
      </c>
      <c r="I277" s="19">
        <v>8469.1866000000009</v>
      </c>
      <c r="J277" s="75">
        <v>-5634</v>
      </c>
      <c r="K277" s="75">
        <v>-9949.35</v>
      </c>
      <c r="L277" s="75">
        <v>-9794.64</v>
      </c>
      <c r="M277" s="75">
        <v>-11411.779999999999</v>
      </c>
      <c r="N277" s="75">
        <v>15738.87</v>
      </c>
      <c r="O277" s="75">
        <v>17648.05</v>
      </c>
      <c r="P277" s="75">
        <v>-1737</v>
      </c>
      <c r="Q277" s="75">
        <v>12271.800000000001</v>
      </c>
      <c r="R277" s="75">
        <v>7131.9500000000062</v>
      </c>
    </row>
    <row r="278" spans="1:18" x14ac:dyDescent="0.3">
      <c r="A278">
        <v>261</v>
      </c>
      <c r="B278" s="19">
        <v>50.488599999999998</v>
      </c>
      <c r="C278" s="19">
        <v>33.130499999999998</v>
      </c>
      <c r="D278" s="19">
        <v>11.6738</v>
      </c>
      <c r="E278" s="19">
        <v>252.82310000000001</v>
      </c>
      <c r="F278" s="19">
        <v>15.4291</v>
      </c>
      <c r="G278" s="19">
        <v>361.1585</v>
      </c>
      <c r="H278" s="19">
        <v>4739.8172999999997</v>
      </c>
      <c r="I278" s="19">
        <v>7900.9988999999996</v>
      </c>
      <c r="J278" s="75">
        <v>18172</v>
      </c>
      <c r="K278" s="75">
        <v>9419.25</v>
      </c>
      <c r="L278" s="75">
        <v>-550.55999999999995</v>
      </c>
      <c r="M278" s="75">
        <v>-50832.219999999994</v>
      </c>
      <c r="N278" s="75">
        <v>-8980.23</v>
      </c>
      <c r="O278" s="75">
        <v>-18835.25</v>
      </c>
      <c r="P278" s="75">
        <v>51654.99</v>
      </c>
      <c r="Q278" s="75">
        <v>-101365.74</v>
      </c>
      <c r="R278" s="75">
        <v>-101317.76000000001</v>
      </c>
    </row>
    <row r="279" spans="1:18" x14ac:dyDescent="0.3">
      <c r="A279">
        <v>262</v>
      </c>
      <c r="B279" s="19">
        <v>49.918900000000001</v>
      </c>
      <c r="C279" s="19">
        <v>33.110700000000001</v>
      </c>
      <c r="D279" s="19">
        <v>11.5435</v>
      </c>
      <c r="E279" s="19">
        <v>259.72129999999999</v>
      </c>
      <c r="F279" s="19">
        <v>15.763999999999999</v>
      </c>
      <c r="G279" s="19">
        <v>370.37670000000003</v>
      </c>
      <c r="H279" s="19">
        <v>4593.4607999999998</v>
      </c>
      <c r="I279" s="19">
        <v>8361.7232000000004</v>
      </c>
      <c r="J279" s="75">
        <v>6778</v>
      </c>
      <c r="K279" s="75">
        <v>8854.9499999999989</v>
      </c>
      <c r="L279" s="75">
        <v>-12121.2</v>
      </c>
      <c r="M279" s="75">
        <v>-24619.06</v>
      </c>
      <c r="N279" s="75">
        <v>5989.8</v>
      </c>
      <c r="O279" s="75">
        <v>13428.45</v>
      </c>
      <c r="P279" s="75">
        <v>7748.04</v>
      </c>
      <c r="Q279" s="75">
        <v>-9220.8799999999992</v>
      </c>
      <c r="R279" s="75">
        <v>-3161.9000000000042</v>
      </c>
    </row>
    <row r="280" spans="1:18" x14ac:dyDescent="0.3">
      <c r="A280">
        <v>263</v>
      </c>
      <c r="B280" s="19">
        <v>49.774099999999997</v>
      </c>
      <c r="C280" s="19">
        <v>32.632399999999997</v>
      </c>
      <c r="D280" s="19">
        <v>11.474</v>
      </c>
      <c r="E280" s="19">
        <v>257.09039999999999</v>
      </c>
      <c r="F280" s="19">
        <v>15.445399999999999</v>
      </c>
      <c r="G280" s="19">
        <v>357.61669999999998</v>
      </c>
      <c r="H280" s="19">
        <v>4502.6180000000004</v>
      </c>
      <c r="I280" s="19">
        <v>8591.1836999999996</v>
      </c>
      <c r="J280" s="75">
        <v>3882</v>
      </c>
      <c r="K280" s="75">
        <v>-4776.6000000000004</v>
      </c>
      <c r="L280" s="75">
        <v>-18292.8</v>
      </c>
      <c r="M280" s="75">
        <v>-34616.480000000003</v>
      </c>
      <c r="N280" s="75">
        <v>-8251.619999999999</v>
      </c>
      <c r="O280" s="75">
        <v>-31231.55</v>
      </c>
      <c r="P280" s="75">
        <v>-19504.800000000003</v>
      </c>
      <c r="Q280" s="75">
        <v>36671.22</v>
      </c>
      <c r="R280" s="75">
        <v>-76120.63</v>
      </c>
    </row>
    <row r="281" spans="1:18" x14ac:dyDescent="0.3">
      <c r="A281">
        <v>264</v>
      </c>
      <c r="B281" s="19">
        <v>49.4649</v>
      </c>
      <c r="C281" s="19">
        <v>32.275799999999997</v>
      </c>
      <c r="D281" s="19">
        <v>11.3308</v>
      </c>
      <c r="E281" s="19">
        <v>268.58019999999999</v>
      </c>
      <c r="F281" s="19">
        <v>15.3575</v>
      </c>
      <c r="G281" s="19">
        <v>367.76029999999997</v>
      </c>
      <c r="H281" s="19">
        <v>4601.259</v>
      </c>
      <c r="I281" s="19">
        <v>8508.1206000000002</v>
      </c>
      <c r="J281" s="75">
        <v>-2302</v>
      </c>
      <c r="K281" s="75">
        <v>-14939.7</v>
      </c>
      <c r="L281" s="75">
        <v>-31008.959999999999</v>
      </c>
      <c r="M281" s="75">
        <v>9044.76</v>
      </c>
      <c r="N281" s="75">
        <v>-12180.75</v>
      </c>
      <c r="O281" s="75">
        <v>4271.05</v>
      </c>
      <c r="P281" s="75">
        <v>10087.5</v>
      </c>
      <c r="Q281" s="75">
        <v>20058.600000000002</v>
      </c>
      <c r="R281" s="75">
        <v>-16969.499999999996</v>
      </c>
    </row>
    <row r="282" spans="1:18" x14ac:dyDescent="0.3">
      <c r="A282">
        <v>265</v>
      </c>
      <c r="B282" s="19">
        <v>49.822600000000001</v>
      </c>
      <c r="C282" s="19">
        <v>32.856200000000001</v>
      </c>
      <c r="D282" s="19">
        <v>11.570399999999999</v>
      </c>
      <c r="E282" s="19">
        <v>258.78739999999999</v>
      </c>
      <c r="F282" s="19">
        <v>15.603400000000001</v>
      </c>
      <c r="G282" s="19">
        <v>359.5213</v>
      </c>
      <c r="H282" s="19">
        <v>4524.5425999999998</v>
      </c>
      <c r="I282" s="19">
        <v>8554.7666000000008</v>
      </c>
      <c r="J282" s="75">
        <v>4852</v>
      </c>
      <c r="K282" s="75">
        <v>1601.7</v>
      </c>
      <c r="L282" s="75">
        <v>-9732.48</v>
      </c>
      <c r="M282" s="75">
        <v>-28167.88</v>
      </c>
      <c r="N282" s="75">
        <v>-1189.02</v>
      </c>
      <c r="O282" s="75">
        <v>-24565.45</v>
      </c>
      <c r="P282" s="75">
        <v>-12927.42</v>
      </c>
      <c r="Q282" s="75">
        <v>29387.8</v>
      </c>
      <c r="R282" s="75">
        <v>-40740.75</v>
      </c>
    </row>
    <row r="283" spans="1:18" x14ac:dyDescent="0.3">
      <c r="A283">
        <v>266</v>
      </c>
      <c r="B283" s="19">
        <v>49.300699999999999</v>
      </c>
      <c r="C283" s="19">
        <v>32.197899999999997</v>
      </c>
      <c r="D283" s="19">
        <v>11.915100000000001</v>
      </c>
      <c r="E283" s="19">
        <v>264.54719999999998</v>
      </c>
      <c r="F283" s="19">
        <v>15.538</v>
      </c>
      <c r="G283" s="19">
        <v>363.7944</v>
      </c>
      <c r="H283" s="19">
        <v>4565.3698000000004</v>
      </c>
      <c r="I283" s="19">
        <v>7725.0221000000001</v>
      </c>
      <c r="J283" s="75">
        <v>-5586</v>
      </c>
      <c r="K283" s="75">
        <v>-17159.849999999999</v>
      </c>
      <c r="L283" s="75">
        <v>20876.88</v>
      </c>
      <c r="M283" s="75">
        <v>-6280.64</v>
      </c>
      <c r="N283" s="75">
        <v>-4112.3999999999996</v>
      </c>
      <c r="O283" s="75">
        <v>-9609.6</v>
      </c>
      <c r="P283" s="75">
        <v>-679.2600000000001</v>
      </c>
      <c r="Q283" s="75">
        <v>-136561.1</v>
      </c>
      <c r="R283" s="75">
        <v>-159111.97</v>
      </c>
    </row>
    <row r="284" spans="1:18" x14ac:dyDescent="0.3">
      <c r="A284">
        <v>267</v>
      </c>
      <c r="B284" s="19">
        <v>49.396500000000003</v>
      </c>
      <c r="C284" s="19">
        <v>32.473399999999998</v>
      </c>
      <c r="D284" s="19">
        <v>11.745699999999999</v>
      </c>
      <c r="E284" s="19">
        <v>247.95849999999999</v>
      </c>
      <c r="F284" s="19">
        <v>15.53</v>
      </c>
      <c r="G284" s="19">
        <v>363.31689999999998</v>
      </c>
      <c r="H284" s="19">
        <v>4625.5005000000001</v>
      </c>
      <c r="I284" s="19">
        <v>8289.5023999999994</v>
      </c>
      <c r="J284" s="75">
        <v>-3670</v>
      </c>
      <c r="K284" s="75">
        <v>-9308.1</v>
      </c>
      <c r="L284" s="75">
        <v>5834.16</v>
      </c>
      <c r="M284" s="75">
        <v>-69317.7</v>
      </c>
      <c r="N284" s="75">
        <v>-4470</v>
      </c>
      <c r="O284" s="75">
        <v>-11280.85</v>
      </c>
      <c r="P284" s="75">
        <v>17359.95</v>
      </c>
      <c r="Q284" s="75">
        <v>-23665.040000000001</v>
      </c>
      <c r="R284" s="75">
        <v>-98517.580000000016</v>
      </c>
    </row>
    <row r="285" spans="1:18" x14ac:dyDescent="0.3">
      <c r="A285">
        <v>268</v>
      </c>
      <c r="B285" s="19">
        <v>49.482300000000002</v>
      </c>
      <c r="C285" s="19">
        <v>33.288400000000003</v>
      </c>
      <c r="D285" s="19">
        <v>11.8385</v>
      </c>
      <c r="E285" s="19">
        <v>272.38690000000003</v>
      </c>
      <c r="F285" s="19">
        <v>15.7866</v>
      </c>
      <c r="G285" s="19">
        <v>361.05669999999998</v>
      </c>
      <c r="H285" s="19">
        <v>4664.7655000000004</v>
      </c>
      <c r="I285" s="19">
        <v>8142.8465999999999</v>
      </c>
      <c r="J285" s="75">
        <v>-1954</v>
      </c>
      <c r="K285" s="75">
        <v>13919.4</v>
      </c>
      <c r="L285" s="75">
        <v>14074.8</v>
      </c>
      <c r="M285" s="75">
        <v>23510.219999999998</v>
      </c>
      <c r="N285" s="75">
        <v>7000.0199999999995</v>
      </c>
      <c r="O285" s="75">
        <v>-19191.55</v>
      </c>
      <c r="P285" s="75">
        <v>29139.45</v>
      </c>
      <c r="Q285" s="75">
        <v>-52996.2</v>
      </c>
      <c r="R285" s="75">
        <v>13502.14</v>
      </c>
    </row>
    <row r="286" spans="1:18" x14ac:dyDescent="0.3">
      <c r="A286">
        <v>269</v>
      </c>
      <c r="B286" s="19">
        <v>50.239100000000001</v>
      </c>
      <c r="C286" s="19">
        <v>32.982100000000003</v>
      </c>
      <c r="D286" s="19">
        <v>11.78</v>
      </c>
      <c r="E286" s="19">
        <v>267.32499999999999</v>
      </c>
      <c r="F286" s="19">
        <v>15.4758</v>
      </c>
      <c r="G286" s="19">
        <v>370.97820000000002</v>
      </c>
      <c r="H286" s="19">
        <v>4510.3252000000002</v>
      </c>
      <c r="I286" s="19">
        <v>8783.2152999999998</v>
      </c>
      <c r="J286" s="75">
        <v>13182</v>
      </c>
      <c r="K286" s="75">
        <v>5189.8500000000004</v>
      </c>
      <c r="L286" s="75">
        <v>8880</v>
      </c>
      <c r="M286" s="75">
        <v>4275</v>
      </c>
      <c r="N286" s="75">
        <v>-6892.74</v>
      </c>
      <c r="O286" s="75">
        <v>15533.7</v>
      </c>
      <c r="P286" s="75">
        <v>-17192.64</v>
      </c>
      <c r="Q286" s="75">
        <v>75077.539999999994</v>
      </c>
      <c r="R286" s="75">
        <v>98052.709999999992</v>
      </c>
    </row>
    <row r="287" spans="1:18" x14ac:dyDescent="0.3">
      <c r="A287">
        <v>270</v>
      </c>
      <c r="B287" s="19">
        <v>49.053800000000003</v>
      </c>
      <c r="C287" s="19">
        <v>32.726999999999997</v>
      </c>
      <c r="D287" s="19">
        <v>11.936</v>
      </c>
      <c r="E287" s="19">
        <v>251.80199999999999</v>
      </c>
      <c r="F287" s="19">
        <v>15.654400000000001</v>
      </c>
      <c r="G287" s="19">
        <v>362.21890000000002</v>
      </c>
      <c r="H287" s="19">
        <v>4648.7539999999999</v>
      </c>
      <c r="I287" s="19">
        <v>8248.8065000000006</v>
      </c>
      <c r="J287" s="75">
        <v>-10524</v>
      </c>
      <c r="K287" s="75">
        <v>-2080.5</v>
      </c>
      <c r="L287" s="75">
        <v>22732.799999999999</v>
      </c>
      <c r="M287" s="75">
        <v>-54712.4</v>
      </c>
      <c r="N287" s="75">
        <v>1090.68</v>
      </c>
      <c r="O287" s="75">
        <v>-15123.850000000002</v>
      </c>
      <c r="P287" s="75">
        <v>24336</v>
      </c>
      <c r="Q287" s="75">
        <v>-31804.219999999998</v>
      </c>
      <c r="R287" s="75">
        <v>-66085.490000000005</v>
      </c>
    </row>
    <row r="288" spans="1:18" x14ac:dyDescent="0.3">
      <c r="A288">
        <v>271</v>
      </c>
      <c r="B288" s="19">
        <v>49.714599999999997</v>
      </c>
      <c r="C288" s="19">
        <v>32.8504</v>
      </c>
      <c r="D288" s="19">
        <v>11.7629</v>
      </c>
      <c r="E288" s="19">
        <v>260.16829999999999</v>
      </c>
      <c r="F288" s="19">
        <v>15.393599999999999</v>
      </c>
      <c r="G288" s="19">
        <v>365.18709999999999</v>
      </c>
      <c r="H288" s="19">
        <v>4518.9368000000004</v>
      </c>
      <c r="I288" s="19">
        <v>8024.7524999999996</v>
      </c>
      <c r="J288" s="75">
        <v>2692</v>
      </c>
      <c r="K288" s="75">
        <v>1436.4</v>
      </c>
      <c r="L288" s="75">
        <v>7361.52</v>
      </c>
      <c r="M288" s="75">
        <v>-22920.46</v>
      </c>
      <c r="N288" s="75">
        <v>-10567.08</v>
      </c>
      <c r="O288" s="75">
        <v>-4735.1499999999996</v>
      </c>
      <c r="P288" s="75">
        <v>-14609.16</v>
      </c>
      <c r="Q288" s="75">
        <v>-76615.02</v>
      </c>
      <c r="R288" s="75">
        <v>-117956.95</v>
      </c>
    </row>
    <row r="289" spans="1:18" x14ac:dyDescent="0.3">
      <c r="A289">
        <v>272</v>
      </c>
      <c r="B289" s="19">
        <v>49.386400000000002</v>
      </c>
      <c r="C289" s="19">
        <v>32.413400000000003</v>
      </c>
      <c r="D289" s="19">
        <v>11.771800000000001</v>
      </c>
      <c r="E289" s="19">
        <v>254.73869999999999</v>
      </c>
      <c r="F289" s="19">
        <v>15.5725</v>
      </c>
      <c r="G289" s="19">
        <v>367.10419999999999</v>
      </c>
      <c r="H289" s="19">
        <v>4618.9884000000002</v>
      </c>
      <c r="I289" s="19">
        <v>8144.3290999999999</v>
      </c>
      <c r="J289" s="75">
        <v>-3872</v>
      </c>
      <c r="K289" s="75">
        <v>-11018.1</v>
      </c>
      <c r="L289" s="75">
        <v>8151.84</v>
      </c>
      <c r="M289" s="75">
        <v>-43552.939999999995</v>
      </c>
      <c r="N289" s="75">
        <v>-2570.25</v>
      </c>
      <c r="O289" s="75">
        <v>1974.7</v>
      </c>
      <c r="P289" s="75">
        <v>15406.32</v>
      </c>
      <c r="Q289" s="75">
        <v>-52699.7</v>
      </c>
      <c r="R289" s="75">
        <v>-88180.13</v>
      </c>
    </row>
    <row r="290" spans="1:18" x14ac:dyDescent="0.3">
      <c r="A290">
        <v>273</v>
      </c>
      <c r="B290" s="19">
        <v>49.0154</v>
      </c>
      <c r="C290" s="19">
        <v>31.728200000000001</v>
      </c>
      <c r="D290" s="19">
        <v>11.522</v>
      </c>
      <c r="E290" s="19">
        <v>280.70940000000002</v>
      </c>
      <c r="F290" s="19">
        <v>15.959300000000001</v>
      </c>
      <c r="G290" s="19">
        <v>379.64890000000003</v>
      </c>
      <c r="H290" s="19">
        <v>4639.6478999999999</v>
      </c>
      <c r="I290" s="19">
        <v>9107.2268999999997</v>
      </c>
      <c r="J290" s="75">
        <v>-11292</v>
      </c>
      <c r="K290" s="75">
        <v>-30546.300000000003</v>
      </c>
      <c r="L290" s="75">
        <v>-14030.4</v>
      </c>
      <c r="M290" s="75">
        <v>55135.72</v>
      </c>
      <c r="N290" s="75">
        <v>14719.71</v>
      </c>
      <c r="O290" s="75">
        <v>45881.15</v>
      </c>
      <c r="P290" s="75">
        <v>21604.170000000002</v>
      </c>
      <c r="Q290" s="75">
        <v>139879.86000000002</v>
      </c>
      <c r="R290" s="75">
        <v>221351.91000000003</v>
      </c>
    </row>
    <row r="291" spans="1:18" x14ac:dyDescent="0.3">
      <c r="A291">
        <v>274</v>
      </c>
      <c r="B291" s="19">
        <v>49.170499999999997</v>
      </c>
      <c r="C291" s="19">
        <v>32.449199999999998</v>
      </c>
      <c r="D291" s="19">
        <v>11.6652</v>
      </c>
      <c r="E291" s="19">
        <v>281.48689999999999</v>
      </c>
      <c r="F291" s="19">
        <v>15.944800000000001</v>
      </c>
      <c r="G291" s="19">
        <v>381.96660000000003</v>
      </c>
      <c r="H291" s="19">
        <v>4484.8302000000003</v>
      </c>
      <c r="I291" s="19">
        <v>8634.7775999999994</v>
      </c>
      <c r="J291" s="75">
        <v>-8189.9999999999991</v>
      </c>
      <c r="K291" s="75">
        <v>-9997.7999999999993</v>
      </c>
      <c r="L291" s="75">
        <v>-1314.24</v>
      </c>
      <c r="M291" s="75">
        <v>58090.219999999994</v>
      </c>
      <c r="N291" s="75">
        <v>14071.560000000001</v>
      </c>
      <c r="O291" s="75">
        <v>53993.1</v>
      </c>
      <c r="P291" s="75">
        <v>-24841.14</v>
      </c>
      <c r="Q291" s="75">
        <v>45390</v>
      </c>
      <c r="R291" s="75">
        <v>127201.7</v>
      </c>
    </row>
    <row r="292" spans="1:18" x14ac:dyDescent="0.3">
      <c r="A292">
        <v>275</v>
      </c>
      <c r="B292" s="19">
        <v>48.945099999999996</v>
      </c>
      <c r="C292" s="19">
        <v>33.581499999999998</v>
      </c>
      <c r="D292" s="19">
        <v>12.0328</v>
      </c>
      <c r="E292" s="19">
        <v>260.12169999999998</v>
      </c>
      <c r="F292" s="19">
        <v>15.845499999999999</v>
      </c>
      <c r="G292" s="19">
        <v>373.69869999999997</v>
      </c>
      <c r="H292" s="19">
        <v>4564.3572999999997</v>
      </c>
      <c r="I292" s="19">
        <v>8708.1252999999997</v>
      </c>
      <c r="J292" s="75">
        <v>-12698</v>
      </c>
      <c r="K292" s="75">
        <v>22272.75</v>
      </c>
      <c r="L292" s="75">
        <v>31328.639999999999</v>
      </c>
      <c r="M292" s="75">
        <v>-23097.539999999997</v>
      </c>
      <c r="N292" s="75">
        <v>9632.85</v>
      </c>
      <c r="O292" s="75">
        <v>25055.449999999997</v>
      </c>
      <c r="P292" s="75">
        <v>-983.01</v>
      </c>
      <c r="Q292" s="75">
        <v>60059.54</v>
      </c>
      <c r="R292" s="75">
        <v>111570.68</v>
      </c>
    </row>
    <row r="293" spans="1:18" x14ac:dyDescent="0.3">
      <c r="A293">
        <v>276</v>
      </c>
      <c r="B293" s="19">
        <v>49.481499999999997</v>
      </c>
      <c r="C293" s="19">
        <v>31.991800000000001</v>
      </c>
      <c r="D293" s="19">
        <v>11.7463</v>
      </c>
      <c r="E293" s="19">
        <v>249.49019999999999</v>
      </c>
      <c r="F293" s="19">
        <v>15.929</v>
      </c>
      <c r="G293" s="19">
        <v>378.85070000000002</v>
      </c>
      <c r="H293" s="19">
        <v>4659.3387000000002</v>
      </c>
      <c r="I293" s="19">
        <v>8087.6052</v>
      </c>
      <c r="J293" s="75">
        <v>-1970</v>
      </c>
      <c r="K293" s="75">
        <v>-23033.7</v>
      </c>
      <c r="L293" s="75">
        <v>5887.44</v>
      </c>
      <c r="M293" s="75">
        <v>-63497.240000000005</v>
      </c>
      <c r="N293" s="75">
        <v>13365.3</v>
      </c>
      <c r="O293" s="75">
        <v>43087.450000000004</v>
      </c>
      <c r="P293" s="75">
        <v>27511.41</v>
      </c>
      <c r="Q293" s="75">
        <v>-64044.479999999996</v>
      </c>
      <c r="R293" s="75">
        <v>-62693.819999999992</v>
      </c>
    </row>
    <row r="294" spans="1:18" x14ac:dyDescent="0.3">
      <c r="A294">
        <v>277</v>
      </c>
      <c r="B294" s="19">
        <v>50.301000000000002</v>
      </c>
      <c r="C294" s="19">
        <v>33.279400000000003</v>
      </c>
      <c r="D294" s="19">
        <v>11.4095</v>
      </c>
      <c r="E294" s="19">
        <v>268.1223</v>
      </c>
      <c r="F294" s="19">
        <v>15.976800000000001</v>
      </c>
      <c r="G294" s="19">
        <v>361.142</v>
      </c>
      <c r="H294" s="19">
        <v>4548.3603999999996</v>
      </c>
      <c r="I294" s="19">
        <v>8773.9148000000005</v>
      </c>
      <c r="J294" s="75">
        <v>14420</v>
      </c>
      <c r="K294" s="75">
        <v>13662.9</v>
      </c>
      <c r="L294" s="75">
        <v>-24020.400000000001</v>
      </c>
      <c r="M294" s="75">
        <v>7304.74</v>
      </c>
      <c r="N294" s="75">
        <v>15501.96</v>
      </c>
      <c r="O294" s="75">
        <v>-18893</v>
      </c>
      <c r="P294" s="75">
        <v>-5782.08</v>
      </c>
      <c r="Q294" s="75">
        <v>73217.440000000002</v>
      </c>
      <c r="R294" s="75">
        <v>75411.56</v>
      </c>
    </row>
    <row r="295" spans="1:18" x14ac:dyDescent="0.3">
      <c r="A295">
        <v>278</v>
      </c>
      <c r="B295" s="19">
        <v>49.599400000000003</v>
      </c>
      <c r="C295" s="19">
        <v>32.088299999999997</v>
      </c>
      <c r="D295" s="19">
        <v>11.9343</v>
      </c>
      <c r="E295" s="19">
        <v>238.33670000000001</v>
      </c>
      <c r="F295" s="19">
        <v>16.0108</v>
      </c>
      <c r="G295" s="19">
        <v>375.01740000000001</v>
      </c>
      <c r="H295" s="19">
        <v>4583.8895000000002</v>
      </c>
      <c r="I295" s="19">
        <v>8137.8815999999997</v>
      </c>
      <c r="J295" s="75">
        <v>388</v>
      </c>
      <c r="K295" s="75">
        <v>-20283.45</v>
      </c>
      <c r="L295" s="75">
        <v>22581.840000000004</v>
      </c>
      <c r="M295" s="75">
        <v>-105880.54</v>
      </c>
      <c r="N295" s="75">
        <v>17021.760000000002</v>
      </c>
      <c r="O295" s="75">
        <v>29670.899999999998</v>
      </c>
      <c r="P295" s="75">
        <v>4876.6500000000005</v>
      </c>
      <c r="Q295" s="75">
        <v>-53989.200000000004</v>
      </c>
      <c r="R295" s="75">
        <v>-105614.04</v>
      </c>
    </row>
    <row r="296" spans="1:18" x14ac:dyDescent="0.3">
      <c r="A296">
        <v>279</v>
      </c>
      <c r="B296" s="19">
        <v>49.548099999999998</v>
      </c>
      <c r="C296" s="19">
        <v>33.053400000000003</v>
      </c>
      <c r="D296" s="19">
        <v>11.265599999999999</v>
      </c>
      <c r="E296" s="19">
        <v>269.1542</v>
      </c>
      <c r="F296" s="19">
        <v>15.7569</v>
      </c>
      <c r="G296" s="19">
        <v>375.10219999999998</v>
      </c>
      <c r="H296" s="19">
        <v>4409.5595000000003</v>
      </c>
      <c r="I296" s="19">
        <v>8202.2165000000005</v>
      </c>
      <c r="J296" s="75">
        <v>-638</v>
      </c>
      <c r="K296" s="75">
        <v>7221.9000000000005</v>
      </c>
      <c r="L296" s="75">
        <v>-36798.720000000001</v>
      </c>
      <c r="M296" s="75">
        <v>11225.960000000001</v>
      </c>
      <c r="N296" s="75">
        <v>5672.43</v>
      </c>
      <c r="O296" s="75">
        <v>29967.7</v>
      </c>
      <c r="P296" s="75">
        <v>-47422.35</v>
      </c>
      <c r="Q296" s="75">
        <v>-41122.22</v>
      </c>
      <c r="R296" s="75">
        <v>-71893.3</v>
      </c>
    </row>
    <row r="297" spans="1:18" x14ac:dyDescent="0.3">
      <c r="A297">
        <v>280</v>
      </c>
      <c r="B297" s="19">
        <v>50.379800000000003</v>
      </c>
      <c r="C297" s="19">
        <v>32.468600000000002</v>
      </c>
      <c r="D297" s="19">
        <v>11.8713</v>
      </c>
      <c r="E297" s="19">
        <v>267.01870000000002</v>
      </c>
      <c r="F297" s="19">
        <v>15.560700000000001</v>
      </c>
      <c r="G297" s="19">
        <v>371.41500000000002</v>
      </c>
      <c r="H297" s="19">
        <v>4732.7632999999996</v>
      </c>
      <c r="I297" s="19">
        <v>8749.2147000000004</v>
      </c>
      <c r="J297" s="75">
        <v>15996</v>
      </c>
      <c r="K297" s="75">
        <v>-9444.9</v>
      </c>
      <c r="L297" s="75">
        <v>16987.439999999999</v>
      </c>
      <c r="M297" s="75">
        <v>3111.06</v>
      </c>
      <c r="N297" s="75">
        <v>-3097.71</v>
      </c>
      <c r="O297" s="75">
        <v>17062.5</v>
      </c>
      <c r="P297" s="75">
        <v>49538.79</v>
      </c>
      <c r="Q297" s="75">
        <v>68277.42</v>
      </c>
      <c r="R297" s="75">
        <v>158430.59999999998</v>
      </c>
    </row>
    <row r="298" spans="1:18" x14ac:dyDescent="0.3">
      <c r="A298">
        <v>281</v>
      </c>
      <c r="B298" s="19">
        <v>49.219900000000003</v>
      </c>
      <c r="C298" s="19">
        <v>33.429200000000002</v>
      </c>
      <c r="D298" s="19">
        <v>11.5915</v>
      </c>
      <c r="E298" s="19">
        <v>257.5496</v>
      </c>
      <c r="F298" s="19">
        <v>16.349900000000002</v>
      </c>
      <c r="G298" s="19">
        <v>363.40039999999999</v>
      </c>
      <c r="H298" s="19">
        <v>4580.4576999999999</v>
      </c>
      <c r="I298" s="19">
        <v>8790.5941999999995</v>
      </c>
      <c r="J298" s="75">
        <v>-7201.9999999999991</v>
      </c>
      <c r="K298" s="75">
        <v>17932.2</v>
      </c>
      <c r="L298" s="75">
        <v>-7858.7999999999993</v>
      </c>
      <c r="M298" s="75">
        <v>-32871.519999999997</v>
      </c>
      <c r="N298" s="75">
        <v>32179.53</v>
      </c>
      <c r="O298" s="75">
        <v>-10988.6</v>
      </c>
      <c r="P298" s="75">
        <v>3847.11</v>
      </c>
      <c r="Q298" s="75">
        <v>76553.319999999992</v>
      </c>
      <c r="R298" s="75">
        <v>71591.239999999991</v>
      </c>
    </row>
    <row r="299" spans="1:18" x14ac:dyDescent="0.3">
      <c r="A299">
        <v>282</v>
      </c>
      <c r="B299" s="19">
        <v>49.421999999999997</v>
      </c>
      <c r="C299" s="19">
        <v>31.984000000000002</v>
      </c>
      <c r="D299" s="19">
        <v>11.3894</v>
      </c>
      <c r="E299" s="19">
        <v>261.83710000000002</v>
      </c>
      <c r="F299" s="19">
        <v>15.999499999999999</v>
      </c>
      <c r="G299" s="19">
        <v>365.15750000000003</v>
      </c>
      <c r="H299" s="19">
        <v>4613.8099000000002</v>
      </c>
      <c r="I299" s="19">
        <v>8773.9022999999997</v>
      </c>
      <c r="J299" s="75">
        <v>-3160</v>
      </c>
      <c r="K299" s="75">
        <v>-23256</v>
      </c>
      <c r="L299" s="75">
        <v>-25805.280000000002</v>
      </c>
      <c r="M299" s="75">
        <v>-16579.02</v>
      </c>
      <c r="N299" s="75">
        <v>16516.650000000001</v>
      </c>
      <c r="O299" s="75">
        <v>-4838.75</v>
      </c>
      <c r="P299" s="75">
        <v>13852.77</v>
      </c>
      <c r="Q299" s="75">
        <v>73214.94</v>
      </c>
      <c r="R299" s="75">
        <v>29945.309999999998</v>
      </c>
    </row>
    <row r="300" spans="1:18" x14ac:dyDescent="0.3">
      <c r="A300">
        <v>283</v>
      </c>
      <c r="B300" s="19">
        <v>49.440899999999999</v>
      </c>
      <c r="C300" s="19">
        <v>32.8902</v>
      </c>
      <c r="D300" s="19">
        <v>11.818199999999999</v>
      </c>
      <c r="E300" s="19">
        <v>253.54660000000001</v>
      </c>
      <c r="F300" s="19">
        <v>15.3536</v>
      </c>
      <c r="G300" s="19">
        <v>363.47789999999998</v>
      </c>
      <c r="H300" s="19">
        <v>4450.1493</v>
      </c>
      <c r="I300" s="19">
        <v>8760.51</v>
      </c>
      <c r="J300" s="75">
        <v>-2782</v>
      </c>
      <c r="K300" s="75">
        <v>2570.7000000000003</v>
      </c>
      <c r="L300" s="75">
        <v>12272.16</v>
      </c>
      <c r="M300" s="75">
        <v>-48082.92</v>
      </c>
      <c r="N300" s="75">
        <v>-12355.08</v>
      </c>
      <c r="O300" s="75">
        <v>-10717.35</v>
      </c>
      <c r="P300" s="75">
        <v>-35245.410000000003</v>
      </c>
      <c r="Q300" s="75">
        <v>70536.479999999996</v>
      </c>
      <c r="R300" s="75">
        <v>-23803.42</v>
      </c>
    </row>
    <row r="301" spans="1:18" x14ac:dyDescent="0.3">
      <c r="A301">
        <v>284</v>
      </c>
      <c r="B301" s="19">
        <v>49.306199999999997</v>
      </c>
      <c r="C301" s="19">
        <v>32.768700000000003</v>
      </c>
      <c r="D301" s="19">
        <v>11.8</v>
      </c>
      <c r="E301" s="19">
        <v>267.49450000000002</v>
      </c>
      <c r="F301" s="19">
        <v>16.011600000000001</v>
      </c>
      <c r="G301" s="19">
        <v>365.25409999999999</v>
      </c>
      <c r="H301" s="19">
        <v>4627.5910999999996</v>
      </c>
      <c r="I301" s="19">
        <v>8346.3593000000001</v>
      </c>
      <c r="J301" s="75">
        <v>-5476</v>
      </c>
      <c r="K301" s="75">
        <v>-892.05000000000007</v>
      </c>
      <c r="L301" s="75">
        <v>10656</v>
      </c>
      <c r="M301" s="75">
        <v>4919.1000000000004</v>
      </c>
      <c r="N301" s="75">
        <v>17057.52</v>
      </c>
      <c r="O301" s="75">
        <v>-4500.6500000000005</v>
      </c>
      <c r="P301" s="75">
        <v>17987.129999999997</v>
      </c>
      <c r="Q301" s="75">
        <v>-12293.66</v>
      </c>
      <c r="R301" s="75">
        <v>27457.389999999996</v>
      </c>
    </row>
    <row r="302" spans="1:18" x14ac:dyDescent="0.3">
      <c r="A302">
        <v>285</v>
      </c>
      <c r="B302" s="19">
        <v>49.557699999999997</v>
      </c>
      <c r="C302" s="19">
        <v>33.329799999999999</v>
      </c>
      <c r="D302" s="19">
        <v>12.3942</v>
      </c>
      <c r="E302" s="19">
        <v>263.70280000000002</v>
      </c>
      <c r="F302" s="19">
        <v>15.959300000000001</v>
      </c>
      <c r="G302" s="19">
        <v>364.37389999999999</v>
      </c>
      <c r="H302" s="19">
        <v>4674.6692999999996</v>
      </c>
      <c r="I302" s="19">
        <v>8512.5565000000006</v>
      </c>
      <c r="J302" s="75">
        <v>-446</v>
      </c>
      <c r="K302" s="75">
        <v>15099.300000000001</v>
      </c>
      <c r="L302" s="75">
        <v>63420.959999999992</v>
      </c>
      <c r="M302" s="75">
        <v>-9489.3599999999988</v>
      </c>
      <c r="N302" s="75">
        <v>14719.71</v>
      </c>
      <c r="O302" s="75">
        <v>-7581.35</v>
      </c>
      <c r="P302" s="75">
        <v>32110.590000000004</v>
      </c>
      <c r="Q302" s="75">
        <v>20945.78</v>
      </c>
      <c r="R302" s="75">
        <v>128779.62999999998</v>
      </c>
    </row>
    <row r="303" spans="1:18" x14ac:dyDescent="0.3">
      <c r="A303">
        <v>286</v>
      </c>
      <c r="B303" s="19">
        <v>49.0886</v>
      </c>
      <c r="C303" s="19">
        <v>32.702300000000001</v>
      </c>
      <c r="D303" s="19">
        <v>11.6089</v>
      </c>
      <c r="E303" s="19">
        <v>281.4117</v>
      </c>
      <c r="F303" s="19">
        <v>14.869400000000001</v>
      </c>
      <c r="G303" s="19">
        <v>369.4563</v>
      </c>
      <c r="H303" s="19">
        <v>4687.7897000000003</v>
      </c>
      <c r="I303" s="19">
        <v>7879.8868000000002</v>
      </c>
      <c r="J303" s="75">
        <v>-9828</v>
      </c>
      <c r="K303" s="75">
        <v>-2784.45</v>
      </c>
      <c r="L303" s="75">
        <v>-6313.6799999999994</v>
      </c>
      <c r="M303" s="75">
        <v>57804.46</v>
      </c>
      <c r="N303" s="75">
        <v>-33998.82</v>
      </c>
      <c r="O303" s="75">
        <v>10207.050000000001</v>
      </c>
      <c r="P303" s="75">
        <v>36046.71</v>
      </c>
      <c r="Q303" s="75">
        <v>-105588.15999999999</v>
      </c>
      <c r="R303" s="75">
        <v>-54454.889999999985</v>
      </c>
    </row>
    <row r="304" spans="1:18" x14ac:dyDescent="0.3">
      <c r="A304">
        <v>287</v>
      </c>
      <c r="B304" s="19">
        <v>49.572699999999998</v>
      </c>
      <c r="C304" s="19">
        <v>33.234900000000003</v>
      </c>
      <c r="D304" s="19">
        <v>11.7143</v>
      </c>
      <c r="E304" s="19">
        <v>260.0378</v>
      </c>
      <c r="F304" s="19">
        <v>15.8809</v>
      </c>
      <c r="G304" s="19">
        <v>365.61810000000003</v>
      </c>
      <c r="H304" s="19">
        <v>4584.8764000000001</v>
      </c>
      <c r="I304" s="19">
        <v>8686.0414000000001</v>
      </c>
      <c r="J304" s="75">
        <v>-146</v>
      </c>
      <c r="K304" s="75">
        <v>12394.65</v>
      </c>
      <c r="L304" s="75">
        <v>3045.8399999999997</v>
      </c>
      <c r="M304" s="75">
        <v>-23416.36</v>
      </c>
      <c r="N304" s="75">
        <v>11215.230000000001</v>
      </c>
      <c r="O304" s="75">
        <v>-3226.65</v>
      </c>
      <c r="P304" s="75">
        <v>5172.72</v>
      </c>
      <c r="Q304" s="75">
        <v>55642.759999999995</v>
      </c>
      <c r="R304" s="75">
        <v>60682.189999999995</v>
      </c>
    </row>
    <row r="305" spans="1:18" x14ac:dyDescent="0.3">
      <c r="A305">
        <v>288</v>
      </c>
      <c r="B305" s="19">
        <v>50.332799999999999</v>
      </c>
      <c r="C305" s="19">
        <v>33.226599999999998</v>
      </c>
      <c r="D305" s="19">
        <v>11.6411</v>
      </c>
      <c r="E305" s="19">
        <v>273.27890000000002</v>
      </c>
      <c r="F305" s="19">
        <v>15.5169</v>
      </c>
      <c r="G305" s="19">
        <v>366.04640000000001</v>
      </c>
      <c r="H305" s="19">
        <v>4731.9674000000005</v>
      </c>
      <c r="I305" s="19">
        <v>8651.9973000000009</v>
      </c>
      <c r="J305" s="75">
        <v>15056</v>
      </c>
      <c r="K305" s="75">
        <v>12158.099999999999</v>
      </c>
      <c r="L305" s="75">
        <v>-3454.3199999999997</v>
      </c>
      <c r="M305" s="75">
        <v>26899.82</v>
      </c>
      <c r="N305" s="75">
        <v>-5055.5700000000006</v>
      </c>
      <c r="O305" s="75">
        <v>-1727.6</v>
      </c>
      <c r="P305" s="75">
        <v>49300.020000000004</v>
      </c>
      <c r="Q305" s="75">
        <v>48833.94</v>
      </c>
      <c r="R305" s="75">
        <v>142010.39000000001</v>
      </c>
    </row>
    <row r="306" spans="1:18" x14ac:dyDescent="0.3">
      <c r="A306">
        <v>289</v>
      </c>
      <c r="B306" s="19">
        <v>49.616100000000003</v>
      </c>
      <c r="C306" s="19">
        <v>32.053899999999999</v>
      </c>
      <c r="D306" s="19">
        <v>11.5365</v>
      </c>
      <c r="E306" s="19">
        <v>271.07909999999998</v>
      </c>
      <c r="F306" s="19">
        <v>15.673400000000001</v>
      </c>
      <c r="G306" s="19">
        <v>360.42110000000002</v>
      </c>
      <c r="H306" s="19">
        <v>4562.3319000000001</v>
      </c>
      <c r="I306" s="19">
        <v>8431.2623999999996</v>
      </c>
      <c r="J306" s="75">
        <v>722</v>
      </c>
      <c r="K306" s="75">
        <v>-21263.85</v>
      </c>
      <c r="L306" s="75">
        <v>-12742.8</v>
      </c>
      <c r="M306" s="75">
        <v>18540.580000000002</v>
      </c>
      <c r="N306" s="75">
        <v>1939.98</v>
      </c>
      <c r="O306" s="75">
        <v>-21416.15</v>
      </c>
      <c r="P306" s="75">
        <v>-1590.63</v>
      </c>
      <c r="Q306" s="75">
        <v>4686.96</v>
      </c>
      <c r="R306" s="75">
        <v>-31123.909999999989</v>
      </c>
    </row>
    <row r="307" spans="1:18" x14ac:dyDescent="0.3">
      <c r="A307">
        <v>290</v>
      </c>
      <c r="B307" s="19">
        <v>50.1267</v>
      </c>
      <c r="C307" s="19">
        <v>32.868699999999997</v>
      </c>
      <c r="D307" s="19">
        <v>11.563800000000001</v>
      </c>
      <c r="E307" s="19">
        <v>289.44990000000001</v>
      </c>
      <c r="F307" s="19">
        <v>15.686500000000001</v>
      </c>
      <c r="G307" s="19">
        <v>368.70859999999999</v>
      </c>
      <c r="H307" s="19">
        <v>4620.7354999999998</v>
      </c>
      <c r="I307" s="19">
        <v>7742.9656000000004</v>
      </c>
      <c r="J307" s="75">
        <v>10934</v>
      </c>
      <c r="K307" s="75">
        <v>1957.9499999999998</v>
      </c>
      <c r="L307" s="75">
        <v>-10318.56</v>
      </c>
      <c r="M307" s="75">
        <v>88349.62</v>
      </c>
      <c r="N307" s="75">
        <v>2525.5500000000002</v>
      </c>
      <c r="O307" s="75">
        <v>7590.1</v>
      </c>
      <c r="P307" s="75">
        <v>15930.45</v>
      </c>
      <c r="Q307" s="75">
        <v>-132972.4</v>
      </c>
      <c r="R307" s="75">
        <v>-16003.289999999994</v>
      </c>
    </row>
    <row r="308" spans="1:18" x14ac:dyDescent="0.3">
      <c r="A308">
        <v>291</v>
      </c>
      <c r="B308" s="19">
        <v>49.727699999999999</v>
      </c>
      <c r="C308" s="19">
        <v>32.778799999999997</v>
      </c>
      <c r="D308" s="19">
        <v>11.8307</v>
      </c>
      <c r="E308" s="19">
        <v>260.06610000000001</v>
      </c>
      <c r="F308" s="19">
        <v>15.6776</v>
      </c>
      <c r="G308" s="19">
        <v>369.61689999999999</v>
      </c>
      <c r="H308" s="19">
        <v>4498.4252999999999</v>
      </c>
      <c r="I308" s="19">
        <v>9282.2338999999993</v>
      </c>
      <c r="J308" s="75">
        <v>2954</v>
      </c>
      <c r="K308" s="75">
        <v>-604.20000000000005</v>
      </c>
      <c r="L308" s="75">
        <v>13382.16</v>
      </c>
      <c r="M308" s="75">
        <v>-23308.82</v>
      </c>
      <c r="N308" s="75">
        <v>2127.7200000000003</v>
      </c>
      <c r="O308" s="75">
        <v>10769.150000000001</v>
      </c>
      <c r="P308" s="75">
        <v>-20762.609999999997</v>
      </c>
      <c r="Q308" s="75">
        <v>174881.26</v>
      </c>
      <c r="R308" s="75">
        <v>159438.66</v>
      </c>
    </row>
    <row r="309" spans="1:18" x14ac:dyDescent="0.3">
      <c r="A309">
        <v>292</v>
      </c>
      <c r="B309" s="19">
        <v>49.490600000000001</v>
      </c>
      <c r="C309" s="19">
        <v>33.165799999999997</v>
      </c>
      <c r="D309" s="19">
        <v>11.5169</v>
      </c>
      <c r="E309" s="19">
        <v>271.83010000000002</v>
      </c>
      <c r="F309" s="19">
        <v>15.985300000000001</v>
      </c>
      <c r="G309" s="19">
        <v>368.36779999999999</v>
      </c>
      <c r="H309" s="19">
        <v>4540.0756000000001</v>
      </c>
      <c r="I309" s="19">
        <v>8823.6663000000008</v>
      </c>
      <c r="J309" s="75">
        <v>-1787.9999999999998</v>
      </c>
      <c r="K309" s="75">
        <v>10425.300000000001</v>
      </c>
      <c r="L309" s="75">
        <v>-14483.279999999999</v>
      </c>
      <c r="M309" s="75">
        <v>21394.379999999997</v>
      </c>
      <c r="N309" s="75">
        <v>15881.91</v>
      </c>
      <c r="O309" s="75">
        <v>6397.3</v>
      </c>
      <c r="P309" s="75">
        <v>-8267.52</v>
      </c>
      <c r="Q309" s="75">
        <v>83167.740000000005</v>
      </c>
      <c r="R309" s="75">
        <v>112727.83</v>
      </c>
    </row>
    <row r="310" spans="1:18" x14ac:dyDescent="0.3">
      <c r="A310">
        <v>293</v>
      </c>
      <c r="B310" s="19">
        <v>49.770299999999999</v>
      </c>
      <c r="C310" s="19">
        <v>32.6843</v>
      </c>
      <c r="D310" s="19">
        <v>11.3009</v>
      </c>
      <c r="E310" s="19">
        <v>261.2595</v>
      </c>
      <c r="F310" s="19">
        <v>15.747299999999999</v>
      </c>
      <c r="G310" s="19">
        <v>362.58010000000002</v>
      </c>
      <c r="H310" s="19">
        <v>4665.1325999999999</v>
      </c>
      <c r="I310" s="19">
        <v>8725.9544000000005</v>
      </c>
      <c r="J310" s="75">
        <v>3806</v>
      </c>
      <c r="K310" s="75">
        <v>-3297.45</v>
      </c>
      <c r="L310" s="75">
        <v>-33664.080000000002</v>
      </c>
      <c r="M310" s="75">
        <v>-18773.900000000001</v>
      </c>
      <c r="N310" s="75">
        <v>5243.31</v>
      </c>
      <c r="O310" s="75">
        <v>-13859.650000000001</v>
      </c>
      <c r="P310" s="75">
        <v>29249.579999999998</v>
      </c>
      <c r="Q310" s="75">
        <v>63625.36</v>
      </c>
      <c r="R310" s="75">
        <v>32329.169999999995</v>
      </c>
    </row>
    <row r="311" spans="1:18" x14ac:dyDescent="0.3">
      <c r="A311">
        <v>294</v>
      </c>
      <c r="B311" s="19">
        <v>48.903399999999998</v>
      </c>
      <c r="C311" s="19">
        <v>33.740900000000003</v>
      </c>
      <c r="D311" s="19">
        <v>11.7476</v>
      </c>
      <c r="E311" s="19">
        <v>263.85770000000002</v>
      </c>
      <c r="F311" s="19">
        <v>16.171900000000001</v>
      </c>
      <c r="G311" s="19">
        <v>377.8451</v>
      </c>
      <c r="H311" s="19">
        <v>4508.1785</v>
      </c>
      <c r="I311" s="19">
        <v>8330.5305000000008</v>
      </c>
      <c r="J311" s="75">
        <v>-13532</v>
      </c>
      <c r="K311" s="75">
        <v>26815.649999999998</v>
      </c>
      <c r="L311" s="75">
        <v>6002.8799999999992</v>
      </c>
      <c r="M311" s="75">
        <v>-8900.74</v>
      </c>
      <c r="N311" s="75">
        <v>24222.930000000004</v>
      </c>
      <c r="O311" s="75">
        <v>39567.85</v>
      </c>
      <c r="P311" s="75">
        <v>-17836.650000000001</v>
      </c>
      <c r="Q311" s="75">
        <v>-15459.42</v>
      </c>
      <c r="R311" s="75">
        <v>40880.500000000007</v>
      </c>
    </row>
    <row r="312" spans="1:18" x14ac:dyDescent="0.3">
      <c r="A312">
        <v>295</v>
      </c>
      <c r="B312" s="19">
        <v>49.851500000000001</v>
      </c>
      <c r="C312" s="19">
        <v>32.247700000000002</v>
      </c>
      <c r="D312" s="19">
        <v>11.447800000000001</v>
      </c>
      <c r="E312" s="19">
        <v>258.06459999999998</v>
      </c>
      <c r="F312" s="19">
        <v>15.6136</v>
      </c>
      <c r="G312" s="19">
        <v>378.44110000000001</v>
      </c>
      <c r="H312" s="19">
        <v>4583.7731000000003</v>
      </c>
      <c r="I312" s="19">
        <v>8473.3346000000001</v>
      </c>
      <c r="J312" s="75">
        <v>5430</v>
      </c>
      <c r="K312" s="75">
        <v>-15740.550000000001</v>
      </c>
      <c r="L312" s="75">
        <v>-20619.36</v>
      </c>
      <c r="M312" s="75">
        <v>-30914.520000000004</v>
      </c>
      <c r="N312" s="75">
        <v>-733.08</v>
      </c>
      <c r="O312" s="75">
        <v>41653.85</v>
      </c>
      <c r="P312" s="75">
        <v>4841.7299999999996</v>
      </c>
      <c r="Q312" s="75">
        <v>13101.400000000001</v>
      </c>
      <c r="R312" s="75">
        <v>-2980.5300000000097</v>
      </c>
    </row>
    <row r="313" spans="1:18" x14ac:dyDescent="0.3">
      <c r="A313">
        <v>296</v>
      </c>
      <c r="B313" s="19">
        <v>49.779499999999999</v>
      </c>
      <c r="C313" s="19">
        <v>32.986899999999999</v>
      </c>
      <c r="D313" s="19">
        <v>11.514900000000001</v>
      </c>
      <c r="E313" s="19">
        <v>278.35890000000001</v>
      </c>
      <c r="F313" s="19">
        <v>15.3725</v>
      </c>
      <c r="G313" s="19">
        <v>373.91829999999999</v>
      </c>
      <c r="H313" s="19">
        <v>4686.6063999999997</v>
      </c>
      <c r="I313" s="19">
        <v>8519.5463</v>
      </c>
      <c r="J313" s="75">
        <v>3990</v>
      </c>
      <c r="K313" s="75">
        <v>5326.6500000000005</v>
      </c>
      <c r="L313" s="75">
        <v>-14660.88</v>
      </c>
      <c r="M313" s="75">
        <v>46203.82</v>
      </c>
      <c r="N313" s="75">
        <v>-11510.25</v>
      </c>
      <c r="O313" s="75">
        <v>25824.05</v>
      </c>
      <c r="P313" s="75">
        <v>35691.72</v>
      </c>
      <c r="Q313" s="75">
        <v>22343.739999999998</v>
      </c>
      <c r="R313" s="75">
        <v>113208.85</v>
      </c>
    </row>
    <row r="314" spans="1:18" x14ac:dyDescent="0.3">
      <c r="A314">
        <v>297</v>
      </c>
      <c r="B314" s="19">
        <v>49.551000000000002</v>
      </c>
      <c r="C314" s="19">
        <v>33.014200000000002</v>
      </c>
      <c r="D314" s="19">
        <v>11.6972</v>
      </c>
      <c r="E314" s="19">
        <v>249.22069999999999</v>
      </c>
      <c r="F314" s="19">
        <v>15.4765</v>
      </c>
      <c r="G314" s="19">
        <v>358.39960000000002</v>
      </c>
      <c r="H314" s="19">
        <v>4547.1450999999997</v>
      </c>
      <c r="I314" s="19">
        <v>8567.9766999999993</v>
      </c>
      <c r="J314" s="75">
        <v>-580</v>
      </c>
      <c r="K314" s="75">
        <v>6104.7</v>
      </c>
      <c r="L314" s="75">
        <v>1527.36</v>
      </c>
      <c r="M314" s="75">
        <v>-64521.34</v>
      </c>
      <c r="N314" s="75">
        <v>-6861.45</v>
      </c>
      <c r="O314" s="75">
        <v>-28491.399999999998</v>
      </c>
      <c r="P314" s="75">
        <v>-6146.67</v>
      </c>
      <c r="Q314" s="75">
        <v>32029.82</v>
      </c>
      <c r="R314" s="75">
        <v>-66938.979999999981</v>
      </c>
    </row>
    <row r="315" spans="1:18" x14ac:dyDescent="0.3">
      <c r="A315">
        <v>298</v>
      </c>
      <c r="B315" s="19">
        <v>49.119700000000002</v>
      </c>
      <c r="C315" s="19">
        <v>33.072400000000002</v>
      </c>
      <c r="D315" s="19">
        <v>11.113300000000001</v>
      </c>
      <c r="E315" s="19">
        <v>266.42169999999999</v>
      </c>
      <c r="F315" s="19">
        <v>15.5053</v>
      </c>
      <c r="G315" s="19">
        <v>368.97199999999998</v>
      </c>
      <c r="H315" s="19">
        <v>4506.5437000000002</v>
      </c>
      <c r="I315" s="19">
        <v>8815.9843000000001</v>
      </c>
      <c r="J315" s="75">
        <v>-9206</v>
      </c>
      <c r="K315" s="75">
        <v>7763.4</v>
      </c>
      <c r="L315" s="75">
        <v>-50322.96</v>
      </c>
      <c r="M315" s="75">
        <v>842.46</v>
      </c>
      <c r="N315" s="75">
        <v>-5574.09</v>
      </c>
      <c r="O315" s="75">
        <v>8512</v>
      </c>
      <c r="P315" s="75">
        <v>-18327.09</v>
      </c>
      <c r="Q315" s="75">
        <v>81631.34</v>
      </c>
      <c r="R315" s="75">
        <v>15319.059999999998</v>
      </c>
    </row>
    <row r="316" spans="1:18" x14ac:dyDescent="0.3">
      <c r="A316">
        <v>299</v>
      </c>
      <c r="B316" s="19">
        <v>49.228499999999997</v>
      </c>
      <c r="C316" s="19">
        <v>32.765000000000001</v>
      </c>
      <c r="D316" s="19">
        <v>11.838800000000001</v>
      </c>
      <c r="E316" s="19">
        <v>279.10669999999999</v>
      </c>
      <c r="F316" s="19">
        <v>15.4437</v>
      </c>
      <c r="G316" s="19">
        <v>368.94560000000001</v>
      </c>
      <c r="H316" s="19">
        <v>4542.0976000000001</v>
      </c>
      <c r="I316" s="19">
        <v>8287.6605999999992</v>
      </c>
      <c r="J316" s="75">
        <v>-7030</v>
      </c>
      <c r="K316" s="75">
        <v>-997.50000000000011</v>
      </c>
      <c r="L316" s="75">
        <v>14101.44</v>
      </c>
      <c r="M316" s="75">
        <v>49045.460000000006</v>
      </c>
      <c r="N316" s="75">
        <v>-8327.61</v>
      </c>
      <c r="O316" s="75">
        <v>8419.6</v>
      </c>
      <c r="P316" s="75">
        <v>-7660.92</v>
      </c>
      <c r="Q316" s="75">
        <v>-24033.4</v>
      </c>
      <c r="R316" s="75">
        <v>23517.070000000007</v>
      </c>
    </row>
    <row r="317" spans="1:18" x14ac:dyDescent="0.3">
      <c r="A317">
        <v>300</v>
      </c>
      <c r="B317" s="19">
        <v>49.360999999999997</v>
      </c>
      <c r="C317" s="19">
        <v>33.883299999999998</v>
      </c>
      <c r="D317" s="19">
        <v>11.650600000000001</v>
      </c>
      <c r="E317" s="19">
        <v>264.85320000000002</v>
      </c>
      <c r="F317" s="19">
        <v>15.855399999999999</v>
      </c>
      <c r="G317" s="19">
        <v>361.41609999999997</v>
      </c>
      <c r="H317" s="19">
        <v>4553.9447</v>
      </c>
      <c r="I317" s="19">
        <v>8928.9653999999991</v>
      </c>
      <c r="J317" s="75">
        <v>-4380</v>
      </c>
      <c r="K317" s="75">
        <v>30874.05</v>
      </c>
      <c r="L317" s="75">
        <v>-2610.7199999999998</v>
      </c>
      <c r="M317" s="75">
        <v>-5117.84</v>
      </c>
      <c r="N317" s="75">
        <v>10075.379999999999</v>
      </c>
      <c r="O317" s="75">
        <v>-17933.650000000001</v>
      </c>
      <c r="P317" s="75">
        <v>-4106.79</v>
      </c>
      <c r="Q317" s="75">
        <v>104227.56</v>
      </c>
      <c r="R317" s="75">
        <v>111027.98999999999</v>
      </c>
    </row>
    <row r="318" spans="1:18" x14ac:dyDescent="0.3">
      <c r="A318">
        <v>301</v>
      </c>
      <c r="B318" s="19">
        <v>49.8917</v>
      </c>
      <c r="C318" s="19">
        <v>33.280200000000001</v>
      </c>
      <c r="D318" s="19">
        <v>11.4862</v>
      </c>
      <c r="E318" s="19">
        <v>261.012</v>
      </c>
      <c r="F318" s="19">
        <v>15.8561</v>
      </c>
      <c r="G318" s="19">
        <v>367.37540000000001</v>
      </c>
      <c r="H318" s="19">
        <v>4579.9964</v>
      </c>
      <c r="I318" s="19">
        <v>8650.8498</v>
      </c>
      <c r="J318" s="75">
        <v>6233.9999999999991</v>
      </c>
      <c r="K318" s="75">
        <v>13685.7</v>
      </c>
      <c r="L318" s="75">
        <v>-17209.439999999999</v>
      </c>
      <c r="M318" s="75">
        <v>-19714.399999999998</v>
      </c>
      <c r="N318" s="75">
        <v>10106.67</v>
      </c>
      <c r="O318" s="75">
        <v>2923.9</v>
      </c>
      <c r="P318" s="75">
        <v>3708.72</v>
      </c>
      <c r="Q318" s="75">
        <v>48604.44</v>
      </c>
      <c r="R318" s="75">
        <v>48339.590000000004</v>
      </c>
    </row>
    <row r="319" spans="1:18" x14ac:dyDescent="0.3">
      <c r="A319">
        <v>302</v>
      </c>
      <c r="B319" s="19">
        <v>48.850099999999998</v>
      </c>
      <c r="C319" s="19">
        <v>32.310699999999997</v>
      </c>
      <c r="D319" s="19">
        <v>11.568099999999999</v>
      </c>
      <c r="E319" s="19">
        <v>272.82859999999999</v>
      </c>
      <c r="F319" s="19">
        <v>15.735099999999999</v>
      </c>
      <c r="G319" s="19">
        <v>365.0256</v>
      </c>
      <c r="H319" s="19">
        <v>4513.7656999999999</v>
      </c>
      <c r="I319" s="19">
        <v>8704.8642999999993</v>
      </c>
      <c r="J319" s="75">
        <v>-14598</v>
      </c>
      <c r="K319" s="75">
        <v>-13945.050000000001</v>
      </c>
      <c r="L319" s="75">
        <v>-9936.7199999999993</v>
      </c>
      <c r="M319" s="75">
        <v>25188.68</v>
      </c>
      <c r="N319" s="75">
        <v>4697.97</v>
      </c>
      <c r="O319" s="75">
        <v>-5300.4</v>
      </c>
      <c r="P319" s="75">
        <v>-16160.49</v>
      </c>
      <c r="Q319" s="75">
        <v>59407.34</v>
      </c>
      <c r="R319" s="75">
        <v>29353.329999999994</v>
      </c>
    </row>
    <row r="320" spans="1:18" x14ac:dyDescent="0.3">
      <c r="A320">
        <v>303</v>
      </c>
      <c r="B320" s="19">
        <v>49.573500000000003</v>
      </c>
      <c r="C320" s="19">
        <v>32.975499999999997</v>
      </c>
      <c r="D320" s="19">
        <v>11.302899999999999</v>
      </c>
      <c r="E320" s="19">
        <v>263.25889999999998</v>
      </c>
      <c r="F320" s="19">
        <v>15.797599999999999</v>
      </c>
      <c r="G320" s="19">
        <v>365.2749</v>
      </c>
      <c r="H320" s="19">
        <v>4423.6572999999999</v>
      </c>
      <c r="I320" s="19">
        <v>8315.2427000000007</v>
      </c>
      <c r="J320" s="75">
        <v>-130</v>
      </c>
      <c r="K320" s="75">
        <v>5001.75</v>
      </c>
      <c r="L320" s="75">
        <v>-33486.479999999996</v>
      </c>
      <c r="M320" s="75">
        <v>-11176.18</v>
      </c>
      <c r="N320" s="75">
        <v>7491.72</v>
      </c>
      <c r="O320" s="75">
        <v>-4427.8499999999995</v>
      </c>
      <c r="P320" s="75">
        <v>-43193.009999999995</v>
      </c>
      <c r="Q320" s="75">
        <v>-18516.98</v>
      </c>
      <c r="R320" s="75">
        <v>-98437.029999999984</v>
      </c>
    </row>
    <row r="321" spans="1:18" x14ac:dyDescent="0.3">
      <c r="A321">
        <v>304</v>
      </c>
      <c r="B321" s="19">
        <v>49.852800000000002</v>
      </c>
      <c r="C321" s="19">
        <v>32.4803</v>
      </c>
      <c r="D321" s="19">
        <v>11.3354</v>
      </c>
      <c r="E321" s="19">
        <v>269.97219999999999</v>
      </c>
      <c r="F321" s="19">
        <v>15.1266</v>
      </c>
      <c r="G321" s="19">
        <v>358.25819999999999</v>
      </c>
      <c r="H321" s="19">
        <v>4509.6734999999999</v>
      </c>
      <c r="I321" s="19">
        <v>8658.4122000000007</v>
      </c>
      <c r="J321" s="75">
        <v>5456</v>
      </c>
      <c r="K321" s="75">
        <v>-9111.4499999999989</v>
      </c>
      <c r="L321" s="75">
        <v>-30600.480000000003</v>
      </c>
      <c r="M321" s="75">
        <v>14334.36</v>
      </c>
      <c r="N321" s="75">
        <v>-22501.98</v>
      </c>
      <c r="O321" s="75">
        <v>-28986.300000000003</v>
      </c>
      <c r="P321" s="75">
        <v>-17388.150000000001</v>
      </c>
      <c r="Q321" s="75">
        <v>50116.92</v>
      </c>
      <c r="R321" s="75">
        <v>-38681.08</v>
      </c>
    </row>
    <row r="322" spans="1:18" x14ac:dyDescent="0.3">
      <c r="A322">
        <v>305</v>
      </c>
      <c r="B322" s="19">
        <v>49.915900000000001</v>
      </c>
      <c r="C322" s="19">
        <v>33.318399999999997</v>
      </c>
      <c r="D322" s="19">
        <v>11.3094</v>
      </c>
      <c r="E322" s="19">
        <v>262.30259999999998</v>
      </c>
      <c r="F322" s="19">
        <v>15.426500000000001</v>
      </c>
      <c r="G322" s="19">
        <v>366.99419999999998</v>
      </c>
      <c r="H322" s="19">
        <v>4584.8995000000004</v>
      </c>
      <c r="I322" s="19">
        <v>8772.5503000000008</v>
      </c>
      <c r="J322" s="75">
        <v>6717.9999999999991</v>
      </c>
      <c r="K322" s="75">
        <v>14774.4</v>
      </c>
      <c r="L322" s="75">
        <v>-32909.279999999999</v>
      </c>
      <c r="M322" s="75">
        <v>-14810.12</v>
      </c>
      <c r="N322" s="75">
        <v>-9096.4499999999989</v>
      </c>
      <c r="O322" s="75">
        <v>1589.7</v>
      </c>
      <c r="P322" s="75">
        <v>5179.6499999999996</v>
      </c>
      <c r="Q322" s="75">
        <v>72944.539999999994</v>
      </c>
      <c r="R322" s="75">
        <v>44390.439999999995</v>
      </c>
    </row>
    <row r="323" spans="1:18" x14ac:dyDescent="0.3">
      <c r="A323">
        <v>306</v>
      </c>
      <c r="B323" s="19">
        <v>49.359900000000003</v>
      </c>
      <c r="C323" s="19">
        <v>33.072699999999998</v>
      </c>
      <c r="D323" s="19">
        <v>12.014699999999999</v>
      </c>
      <c r="E323" s="19">
        <v>267.7047</v>
      </c>
      <c r="F323" s="19">
        <v>15.557</v>
      </c>
      <c r="G323" s="19">
        <v>370.56729999999999</v>
      </c>
      <c r="H323" s="19">
        <v>4715.6068999999998</v>
      </c>
      <c r="I323" s="19">
        <v>7860.4948000000004</v>
      </c>
      <c r="J323" s="75">
        <v>-4402</v>
      </c>
      <c r="K323" s="75">
        <v>7771.95</v>
      </c>
      <c r="L323" s="75">
        <v>29721.360000000001</v>
      </c>
      <c r="M323" s="75">
        <v>5717.86</v>
      </c>
      <c r="N323" s="75">
        <v>-3263.1</v>
      </c>
      <c r="O323" s="75">
        <v>14095.550000000001</v>
      </c>
      <c r="P323" s="75">
        <v>44391.87</v>
      </c>
      <c r="Q323" s="75">
        <v>-109466.56</v>
      </c>
      <c r="R323" s="75">
        <v>-15433.069999999992</v>
      </c>
    </row>
    <row r="324" spans="1:18" x14ac:dyDescent="0.3">
      <c r="A324">
        <v>307</v>
      </c>
      <c r="B324" s="19">
        <v>50.3782</v>
      </c>
      <c r="C324" s="19">
        <v>32.639299999999999</v>
      </c>
      <c r="D324" s="19">
        <v>11.2758</v>
      </c>
      <c r="E324" s="19">
        <v>264.97410000000002</v>
      </c>
      <c r="F324" s="19">
        <v>15.893800000000001</v>
      </c>
      <c r="G324" s="19">
        <v>372.37920000000003</v>
      </c>
      <c r="H324" s="19">
        <v>4609.5491000000002</v>
      </c>
      <c r="I324" s="19">
        <v>8990.1160999999993</v>
      </c>
      <c r="J324" s="75">
        <v>15964</v>
      </c>
      <c r="K324" s="75">
        <v>-4579.95</v>
      </c>
      <c r="L324" s="75">
        <v>-35892.959999999999</v>
      </c>
      <c r="M324" s="75">
        <v>-4658.42</v>
      </c>
      <c r="N324" s="75">
        <v>11791.859999999999</v>
      </c>
      <c r="O324" s="75">
        <v>20437.2</v>
      </c>
      <c r="P324" s="75">
        <v>12574.53</v>
      </c>
      <c r="Q324" s="75">
        <v>116457.7</v>
      </c>
      <c r="R324" s="75">
        <v>132093.96</v>
      </c>
    </row>
    <row r="325" spans="1:18" x14ac:dyDescent="0.3">
      <c r="A325">
        <v>308</v>
      </c>
      <c r="B325" s="19">
        <v>49.921500000000002</v>
      </c>
      <c r="C325" s="19">
        <v>32.1387</v>
      </c>
      <c r="D325" s="19">
        <v>12.131</v>
      </c>
      <c r="E325" s="19">
        <v>264.17540000000002</v>
      </c>
      <c r="F325" s="19">
        <v>15.1426</v>
      </c>
      <c r="G325" s="19">
        <v>371.14640000000003</v>
      </c>
      <c r="H325" s="19">
        <v>4482.933</v>
      </c>
      <c r="I325" s="19">
        <v>8983.0822000000007</v>
      </c>
      <c r="J325" s="75">
        <v>6830.0000000000009</v>
      </c>
      <c r="K325" s="75">
        <v>-18847.05</v>
      </c>
      <c r="L325" s="75">
        <v>40048.800000000003</v>
      </c>
      <c r="M325" s="75">
        <v>-7693.48</v>
      </c>
      <c r="N325" s="75">
        <v>-21786.78</v>
      </c>
      <c r="O325" s="75">
        <v>16122.4</v>
      </c>
      <c r="P325" s="75">
        <v>-25410.3</v>
      </c>
      <c r="Q325" s="75">
        <v>115050.92</v>
      </c>
      <c r="R325" s="75">
        <v>104314.51000000001</v>
      </c>
    </row>
    <row r="326" spans="1:18" x14ac:dyDescent="0.3">
      <c r="A326">
        <v>309</v>
      </c>
      <c r="B326" s="19">
        <v>49.748399999999997</v>
      </c>
      <c r="C326" s="19">
        <v>32.915300000000002</v>
      </c>
      <c r="D326" s="19">
        <v>11.168100000000001</v>
      </c>
      <c r="E326" s="19">
        <v>265.88560000000001</v>
      </c>
      <c r="F326" s="19">
        <v>15.6335</v>
      </c>
      <c r="G326" s="19">
        <v>380.34949999999998</v>
      </c>
      <c r="H326" s="19">
        <v>4622.6977999999999</v>
      </c>
      <c r="I326" s="19">
        <v>8800.0687999999991</v>
      </c>
      <c r="J326" s="75">
        <v>3368</v>
      </c>
      <c r="K326" s="75">
        <v>3286.05</v>
      </c>
      <c r="L326" s="75">
        <v>-45456.72</v>
      </c>
      <c r="M326" s="75">
        <v>-1194.72</v>
      </c>
      <c r="N326" s="75">
        <v>156.45000000000002</v>
      </c>
      <c r="O326" s="75">
        <v>48333.25</v>
      </c>
      <c r="P326" s="75">
        <v>16519.14</v>
      </c>
      <c r="Q326" s="75">
        <v>78448.240000000005</v>
      </c>
      <c r="R326" s="75">
        <v>103459.69</v>
      </c>
    </row>
    <row r="327" spans="1:18" x14ac:dyDescent="0.3">
      <c r="A327">
        <v>310</v>
      </c>
      <c r="B327" s="19">
        <v>50.116199999999999</v>
      </c>
      <c r="C327" s="19">
        <v>32.1661</v>
      </c>
      <c r="D327" s="19">
        <v>11.5777</v>
      </c>
      <c r="E327" s="19">
        <v>261.16910000000001</v>
      </c>
      <c r="F327" s="19">
        <v>15.9573</v>
      </c>
      <c r="G327" s="19">
        <v>356.19940000000003</v>
      </c>
      <c r="H327" s="19">
        <v>4670.7201999999997</v>
      </c>
      <c r="I327" s="19">
        <v>8298.7419000000009</v>
      </c>
      <c r="J327" s="75">
        <v>10724</v>
      </c>
      <c r="K327" s="75">
        <v>-18066.150000000001</v>
      </c>
      <c r="L327" s="75">
        <v>-9084.24</v>
      </c>
      <c r="M327" s="75">
        <v>-19117.419999999998</v>
      </c>
      <c r="N327" s="75">
        <v>14630.31</v>
      </c>
      <c r="O327" s="75">
        <v>-36192.1</v>
      </c>
      <c r="P327" s="75">
        <v>30925.86</v>
      </c>
      <c r="Q327" s="75">
        <v>-21817.14</v>
      </c>
      <c r="R327" s="75">
        <v>-47996.88</v>
      </c>
    </row>
    <row r="328" spans="1:18" x14ac:dyDescent="0.3">
      <c r="A328">
        <v>311</v>
      </c>
      <c r="B328" s="19">
        <v>50.0488</v>
      </c>
      <c r="C328" s="19">
        <v>32.9878</v>
      </c>
      <c r="D328" s="19">
        <v>11.4909</v>
      </c>
      <c r="E328" s="19">
        <v>285.91120000000001</v>
      </c>
      <c r="F328" s="19">
        <v>15.633699999999999</v>
      </c>
      <c r="G328" s="19">
        <v>371.62529999999998</v>
      </c>
      <c r="H328" s="19">
        <v>4659.4381000000003</v>
      </c>
      <c r="I328" s="19">
        <v>8176.7629999999999</v>
      </c>
      <c r="J328" s="75">
        <v>9376</v>
      </c>
      <c r="K328" s="75">
        <v>5352.3</v>
      </c>
      <c r="L328" s="75">
        <v>-16792.079999999998</v>
      </c>
      <c r="M328" s="75">
        <v>74902.560000000012</v>
      </c>
      <c r="N328" s="75">
        <v>165.39000000000001</v>
      </c>
      <c r="O328" s="75">
        <v>17798.55</v>
      </c>
      <c r="P328" s="75">
        <v>27541.230000000003</v>
      </c>
      <c r="Q328" s="75">
        <v>-46212.920000000006</v>
      </c>
      <c r="R328" s="75">
        <v>72131.03</v>
      </c>
    </row>
    <row r="329" spans="1:18" x14ac:dyDescent="0.3">
      <c r="A329">
        <v>312</v>
      </c>
      <c r="B329" s="19">
        <v>49.463900000000002</v>
      </c>
      <c r="C329" s="19">
        <v>32.5276</v>
      </c>
      <c r="D329" s="19">
        <v>11.667199999999999</v>
      </c>
      <c r="E329" s="19">
        <v>282.97660000000002</v>
      </c>
      <c r="F329" s="19">
        <v>15.8271</v>
      </c>
      <c r="G329" s="19">
        <v>363.87869999999998</v>
      </c>
      <c r="H329" s="19">
        <v>4750.9243999999999</v>
      </c>
      <c r="I329" s="19">
        <v>8569.0450000000001</v>
      </c>
      <c r="J329" s="75">
        <v>-2322</v>
      </c>
      <c r="K329" s="75">
        <v>-7763.4</v>
      </c>
      <c r="L329" s="75">
        <v>-1136.6400000000001</v>
      </c>
      <c r="M329" s="75">
        <v>63751.079999999994</v>
      </c>
      <c r="N329" s="75">
        <v>8810.369999999999</v>
      </c>
      <c r="O329" s="75">
        <v>-9314.5500000000011</v>
      </c>
      <c r="P329" s="75">
        <v>54987.12</v>
      </c>
      <c r="Q329" s="75">
        <v>32243.48</v>
      </c>
      <c r="R329" s="75">
        <v>139255.46</v>
      </c>
    </row>
    <row r="330" spans="1:18" x14ac:dyDescent="0.3">
      <c r="A330">
        <v>313</v>
      </c>
      <c r="B330" s="19">
        <v>49.057000000000002</v>
      </c>
      <c r="C330" s="19">
        <v>32.108199999999997</v>
      </c>
      <c r="D330" s="19">
        <v>11.770899999999999</v>
      </c>
      <c r="E330" s="19">
        <v>260.25009999999997</v>
      </c>
      <c r="F330" s="19">
        <v>15.5307</v>
      </c>
      <c r="G330" s="19">
        <v>361.6293</v>
      </c>
      <c r="H330" s="19">
        <v>4464.5519999999997</v>
      </c>
      <c r="I330" s="19">
        <v>9197.6133000000009</v>
      </c>
      <c r="J330" s="75">
        <v>-10460</v>
      </c>
      <c r="K330" s="75">
        <v>-19716.3</v>
      </c>
      <c r="L330" s="75">
        <v>8071.9199999999992</v>
      </c>
      <c r="M330" s="75">
        <v>-22609.620000000003</v>
      </c>
      <c r="N330" s="75">
        <v>-4438.71</v>
      </c>
      <c r="O330" s="75">
        <v>-17187.45</v>
      </c>
      <c r="P330" s="75">
        <v>-30924.6</v>
      </c>
      <c r="Q330" s="75">
        <v>157957.14000000001</v>
      </c>
      <c r="R330" s="75">
        <v>60692.380000000005</v>
      </c>
    </row>
    <row r="331" spans="1:18" x14ac:dyDescent="0.3">
      <c r="A331">
        <v>314</v>
      </c>
      <c r="B331" s="19">
        <v>50.277099999999997</v>
      </c>
      <c r="C331" s="19">
        <v>32.9345</v>
      </c>
      <c r="D331" s="19">
        <v>11.416600000000001</v>
      </c>
      <c r="E331" s="19">
        <v>272.34429999999998</v>
      </c>
      <c r="F331" s="19">
        <v>15.5641</v>
      </c>
      <c r="G331" s="19">
        <v>348.52379999999999</v>
      </c>
      <c r="H331" s="19">
        <v>4477.2714999999998</v>
      </c>
      <c r="I331" s="19">
        <v>8278.5864999999994</v>
      </c>
      <c r="J331" s="75">
        <v>13942.000000000002</v>
      </c>
      <c r="K331" s="75">
        <v>3833.2500000000005</v>
      </c>
      <c r="L331" s="75">
        <v>-23389.920000000002</v>
      </c>
      <c r="M331" s="75">
        <v>23348.34</v>
      </c>
      <c r="N331" s="75">
        <v>-2945.73</v>
      </c>
      <c r="O331" s="75">
        <v>-63056.700000000004</v>
      </c>
      <c r="P331" s="75">
        <v>-27108.75</v>
      </c>
      <c r="Q331" s="75">
        <v>-25848.219999999998</v>
      </c>
      <c r="R331" s="75">
        <v>-101225.73000000001</v>
      </c>
    </row>
    <row r="332" spans="1:18" x14ac:dyDescent="0.3">
      <c r="A332">
        <v>315</v>
      </c>
      <c r="B332" s="19">
        <v>49.910800000000002</v>
      </c>
      <c r="C332" s="19">
        <v>32.828800000000001</v>
      </c>
      <c r="D332" s="19">
        <v>11.9894</v>
      </c>
      <c r="E332" s="19">
        <v>265.71230000000003</v>
      </c>
      <c r="F332" s="19">
        <v>15.2675</v>
      </c>
      <c r="G332" s="19">
        <v>364.9975</v>
      </c>
      <c r="H332" s="19">
        <v>4517.8651</v>
      </c>
      <c r="I332" s="19">
        <v>8242.0375999999997</v>
      </c>
      <c r="J332" s="75">
        <v>6616</v>
      </c>
      <c r="K332" s="75">
        <v>820.8</v>
      </c>
      <c r="L332" s="75">
        <v>27474.720000000001</v>
      </c>
      <c r="M332" s="75">
        <v>-1853.26</v>
      </c>
      <c r="N332" s="75">
        <v>-16203.75</v>
      </c>
      <c r="O332" s="75">
        <v>-5398.75</v>
      </c>
      <c r="P332" s="75">
        <v>-14930.67</v>
      </c>
      <c r="Q332" s="75">
        <v>-33158</v>
      </c>
      <c r="R332" s="75">
        <v>-36632.909999999996</v>
      </c>
    </row>
    <row r="333" spans="1:18" x14ac:dyDescent="0.3">
      <c r="A333">
        <v>316</v>
      </c>
      <c r="B333" s="19">
        <v>49.774299999999997</v>
      </c>
      <c r="C333" s="19">
        <v>32.866700000000002</v>
      </c>
      <c r="D333" s="19">
        <v>11.6173</v>
      </c>
      <c r="E333" s="19">
        <v>276.6671</v>
      </c>
      <c r="F333" s="19">
        <v>16.179099999999998</v>
      </c>
      <c r="G333" s="19">
        <v>363.84339999999997</v>
      </c>
      <c r="H333" s="19">
        <v>4623.1201000000001</v>
      </c>
      <c r="I333" s="19">
        <v>8655.8415999999997</v>
      </c>
      <c r="J333" s="75">
        <v>3886</v>
      </c>
      <c r="K333" s="75">
        <v>1900.9499999999998</v>
      </c>
      <c r="L333" s="75">
        <v>-5567.76</v>
      </c>
      <c r="M333" s="75">
        <v>39774.980000000003</v>
      </c>
      <c r="N333" s="75">
        <v>24544.77</v>
      </c>
      <c r="O333" s="75">
        <v>-9438.1</v>
      </c>
      <c r="P333" s="75">
        <v>16645.830000000002</v>
      </c>
      <c r="Q333" s="75">
        <v>49602.8</v>
      </c>
      <c r="R333" s="75">
        <v>121349.47000000002</v>
      </c>
    </row>
    <row r="334" spans="1:18" x14ac:dyDescent="0.3">
      <c r="A334">
        <v>317</v>
      </c>
      <c r="B334" s="19">
        <v>49.447299999999998</v>
      </c>
      <c r="C334" s="19">
        <v>33.2547</v>
      </c>
      <c r="D334" s="19">
        <v>11.448399999999999</v>
      </c>
      <c r="E334" s="19">
        <v>270.53919999999999</v>
      </c>
      <c r="F334" s="19">
        <v>15.321199999999999</v>
      </c>
      <c r="G334" s="19">
        <v>356.40890000000002</v>
      </c>
      <c r="H334" s="19">
        <v>4568.5591999999997</v>
      </c>
      <c r="I334" s="19">
        <v>8140.9312</v>
      </c>
      <c r="J334" s="75">
        <v>-2654.0000000000005</v>
      </c>
      <c r="K334" s="75">
        <v>12958.949999999999</v>
      </c>
      <c r="L334" s="75">
        <v>-20566.080000000002</v>
      </c>
      <c r="M334" s="75">
        <v>16488.96</v>
      </c>
      <c r="N334" s="75">
        <v>-13803.36</v>
      </c>
      <c r="O334" s="75">
        <v>-35458.85</v>
      </c>
      <c r="P334" s="75">
        <v>277.56</v>
      </c>
      <c r="Q334" s="75">
        <v>-53379.280000000006</v>
      </c>
      <c r="R334" s="75">
        <v>-96136.1</v>
      </c>
    </row>
    <row r="335" spans="1:18" x14ac:dyDescent="0.3">
      <c r="A335">
        <v>318</v>
      </c>
      <c r="B335" s="19">
        <v>48.638100000000001</v>
      </c>
      <c r="C335" s="19">
        <v>33.500999999999998</v>
      </c>
      <c r="D335" s="19">
        <v>11.350099999999999</v>
      </c>
      <c r="E335" s="19">
        <v>249.88</v>
      </c>
      <c r="F335" s="19">
        <v>15.3558</v>
      </c>
      <c r="G335" s="19">
        <v>361.05119999999999</v>
      </c>
      <c r="H335" s="19">
        <v>4607.2973000000002</v>
      </c>
      <c r="I335" s="19">
        <v>8361.4694</v>
      </c>
      <c r="J335" s="75">
        <v>-18838</v>
      </c>
      <c r="K335" s="75">
        <v>19978.5</v>
      </c>
      <c r="L335" s="75">
        <v>-29295.120000000003</v>
      </c>
      <c r="M335" s="75">
        <v>-62016</v>
      </c>
      <c r="N335" s="75">
        <v>-12256.74</v>
      </c>
      <c r="O335" s="75">
        <v>-19210.800000000003</v>
      </c>
      <c r="P335" s="75">
        <v>11898.99</v>
      </c>
      <c r="Q335" s="75">
        <v>-9271.64</v>
      </c>
      <c r="R335" s="75">
        <v>-119010.81</v>
      </c>
    </row>
    <row r="336" spans="1:18" x14ac:dyDescent="0.3">
      <c r="A336">
        <v>319</v>
      </c>
      <c r="B336" s="19">
        <v>49.141300000000001</v>
      </c>
      <c r="C336" s="19">
        <v>32.378599999999999</v>
      </c>
      <c r="D336" s="19">
        <v>11.9613</v>
      </c>
      <c r="E336" s="19">
        <v>248.26179999999999</v>
      </c>
      <c r="F336" s="19">
        <v>16.010999999999999</v>
      </c>
      <c r="G336" s="19">
        <v>378.33550000000002</v>
      </c>
      <c r="H336" s="19">
        <v>4350.4231</v>
      </c>
      <c r="I336" s="19">
        <v>8949.2909</v>
      </c>
      <c r="J336" s="75">
        <v>-8774</v>
      </c>
      <c r="K336" s="75">
        <v>-12009.9</v>
      </c>
      <c r="L336" s="75">
        <v>24979.439999999999</v>
      </c>
      <c r="M336" s="75">
        <v>-68165.159999999989</v>
      </c>
      <c r="N336" s="75">
        <v>17030.7</v>
      </c>
      <c r="O336" s="75">
        <v>41284.25</v>
      </c>
      <c r="P336" s="75">
        <v>-65163.270000000004</v>
      </c>
      <c r="Q336" s="75">
        <v>108292.66</v>
      </c>
      <c r="R336" s="75">
        <v>37474.720000000001</v>
      </c>
    </row>
    <row r="337" spans="1:18" x14ac:dyDescent="0.3">
      <c r="A337">
        <v>320</v>
      </c>
      <c r="B337" s="19">
        <v>49.135199999999998</v>
      </c>
      <c r="C337" s="19">
        <v>32.261499999999998</v>
      </c>
      <c r="D337" s="19">
        <v>11.515599999999999</v>
      </c>
      <c r="E337" s="19">
        <v>266.596</v>
      </c>
      <c r="F337" s="19">
        <v>15.5924</v>
      </c>
      <c r="G337" s="19">
        <v>366.86840000000001</v>
      </c>
      <c r="H337" s="19">
        <v>4594.4678999999996</v>
      </c>
      <c r="I337" s="19">
        <v>8486.2487000000001</v>
      </c>
      <c r="J337" s="75">
        <v>-8896</v>
      </c>
      <c r="K337" s="75">
        <v>-15347.25</v>
      </c>
      <c r="L337" s="75">
        <v>-14598.72</v>
      </c>
      <c r="M337" s="75">
        <v>1504.8000000000002</v>
      </c>
      <c r="N337" s="75">
        <v>-1680.72</v>
      </c>
      <c r="O337" s="75">
        <v>1149.4000000000001</v>
      </c>
      <c r="P337" s="75">
        <v>8050.17</v>
      </c>
      <c r="Q337" s="75">
        <v>15684.22</v>
      </c>
      <c r="R337" s="75">
        <v>-14134.1</v>
      </c>
    </row>
    <row r="338" spans="1:18" x14ac:dyDescent="0.3">
      <c r="A338">
        <v>321</v>
      </c>
      <c r="B338" s="19">
        <v>49.564599999999999</v>
      </c>
      <c r="C338" s="19">
        <v>33.0473</v>
      </c>
      <c r="D338" s="19">
        <v>11.694100000000001</v>
      </c>
      <c r="E338" s="19">
        <v>262.13580000000002</v>
      </c>
      <c r="F338" s="19">
        <v>15.1511</v>
      </c>
      <c r="G338" s="19">
        <v>373.35680000000002</v>
      </c>
      <c r="H338" s="19">
        <v>4583.3859000000002</v>
      </c>
      <c r="I338" s="19">
        <v>9158.2433000000001</v>
      </c>
      <c r="J338" s="75">
        <v>-308</v>
      </c>
      <c r="K338" s="75">
        <v>7048.05</v>
      </c>
      <c r="L338" s="75">
        <v>1252.08</v>
      </c>
      <c r="M338" s="75">
        <v>-15443.96</v>
      </c>
      <c r="N338" s="75">
        <v>-21406.829999999998</v>
      </c>
      <c r="O338" s="75">
        <v>23858.799999999999</v>
      </c>
      <c r="P338" s="75">
        <v>4725.57</v>
      </c>
      <c r="Q338" s="75">
        <v>150083.14000000001</v>
      </c>
      <c r="R338" s="75">
        <v>149808.85</v>
      </c>
    </row>
    <row r="339" spans="1:18" x14ac:dyDescent="0.3">
      <c r="A339">
        <v>322</v>
      </c>
      <c r="B339" s="19">
        <v>49.452199999999998</v>
      </c>
      <c r="C339" s="19">
        <v>33.197800000000001</v>
      </c>
      <c r="D339" s="19">
        <v>11.6944</v>
      </c>
      <c r="E339" s="19">
        <v>247.33580000000001</v>
      </c>
      <c r="F339" s="19">
        <v>15.8287</v>
      </c>
      <c r="G339" s="19">
        <v>375.53100000000001</v>
      </c>
      <c r="H339" s="19">
        <v>4603.6669000000002</v>
      </c>
      <c r="I339" s="19">
        <v>8570.6082000000006</v>
      </c>
      <c r="J339" s="75">
        <v>-2556</v>
      </c>
      <c r="K339" s="75">
        <v>11337.3</v>
      </c>
      <c r="L339" s="75">
        <v>1278.72</v>
      </c>
      <c r="M339" s="75">
        <v>-71683.960000000006</v>
      </c>
      <c r="N339" s="75">
        <v>8881.89</v>
      </c>
      <c r="O339" s="75">
        <v>31468.5</v>
      </c>
      <c r="P339" s="75">
        <v>10809.869999999999</v>
      </c>
      <c r="Q339" s="75">
        <v>32556.12</v>
      </c>
      <c r="R339" s="75">
        <v>22092.439999999988</v>
      </c>
    </row>
    <row r="340" spans="1:18" x14ac:dyDescent="0.3">
      <c r="A340">
        <v>323</v>
      </c>
      <c r="B340" s="19">
        <v>49.019399999999997</v>
      </c>
      <c r="C340" s="19">
        <v>32.542099999999998</v>
      </c>
      <c r="D340" s="19">
        <v>11.4474</v>
      </c>
      <c r="E340" s="19">
        <v>273.68560000000002</v>
      </c>
      <c r="F340" s="19">
        <v>15.398</v>
      </c>
      <c r="G340" s="19">
        <v>366.94819999999999</v>
      </c>
      <c r="H340" s="19">
        <v>4623.5747000000001</v>
      </c>
      <c r="I340" s="19">
        <v>7802.8936999999996</v>
      </c>
      <c r="J340" s="75">
        <v>-11212</v>
      </c>
      <c r="K340" s="75">
        <v>-7350.1500000000005</v>
      </c>
      <c r="L340" s="75">
        <v>-20654.88</v>
      </c>
      <c r="M340" s="75">
        <v>28445.279999999999</v>
      </c>
      <c r="N340" s="75">
        <v>-10370.4</v>
      </c>
      <c r="O340" s="75">
        <v>1428.7</v>
      </c>
      <c r="P340" s="75">
        <v>16782.21</v>
      </c>
      <c r="Q340" s="75">
        <v>-120986.78</v>
      </c>
      <c r="R340" s="75">
        <v>-123918.02</v>
      </c>
    </row>
    <row r="341" spans="1:18" x14ac:dyDescent="0.3">
      <c r="A341">
        <v>324</v>
      </c>
      <c r="B341" s="19">
        <v>49.299300000000002</v>
      </c>
      <c r="C341" s="19">
        <v>33.271799999999999</v>
      </c>
      <c r="D341" s="19">
        <v>11.8696</v>
      </c>
      <c r="E341" s="19">
        <v>256.08359999999999</v>
      </c>
      <c r="F341" s="19">
        <v>15.623699999999999</v>
      </c>
      <c r="G341" s="19">
        <v>372.9708</v>
      </c>
      <c r="H341" s="19">
        <v>4633.8582999999999</v>
      </c>
      <c r="I341" s="19">
        <v>7785.3648999999996</v>
      </c>
      <c r="J341" s="75">
        <v>-5614</v>
      </c>
      <c r="K341" s="75">
        <v>13446.3</v>
      </c>
      <c r="L341" s="75">
        <v>16836.48</v>
      </c>
      <c r="M341" s="75">
        <v>-38442.32</v>
      </c>
      <c r="N341" s="75">
        <v>-281.61</v>
      </c>
      <c r="O341" s="75">
        <v>22507.8</v>
      </c>
      <c r="P341" s="75">
        <v>19867.29</v>
      </c>
      <c r="Q341" s="75">
        <v>-124492.54000000001</v>
      </c>
      <c r="R341" s="75">
        <v>-96172.6</v>
      </c>
    </row>
    <row r="342" spans="1:18" x14ac:dyDescent="0.3">
      <c r="A342">
        <v>325</v>
      </c>
      <c r="B342" s="19">
        <v>49.711300000000001</v>
      </c>
      <c r="C342" s="19">
        <v>33.1417</v>
      </c>
      <c r="D342" s="19">
        <v>12.321099999999999</v>
      </c>
      <c r="E342" s="19">
        <v>273.89499999999998</v>
      </c>
      <c r="F342" s="19">
        <v>15.7278</v>
      </c>
      <c r="G342" s="19">
        <v>363.23739999999998</v>
      </c>
      <c r="H342" s="19">
        <v>4556.9417999999996</v>
      </c>
      <c r="I342" s="19">
        <v>7931.7473</v>
      </c>
      <c r="J342" s="75">
        <v>2626</v>
      </c>
      <c r="K342" s="75">
        <v>9738.4500000000007</v>
      </c>
      <c r="L342" s="75">
        <v>56929.68</v>
      </c>
      <c r="M342" s="75">
        <v>29241</v>
      </c>
      <c r="N342" s="75">
        <v>4371.66</v>
      </c>
      <c r="O342" s="75">
        <v>-11559.1</v>
      </c>
      <c r="P342" s="75">
        <v>-3207.66</v>
      </c>
      <c r="Q342" s="75">
        <v>-95216.06</v>
      </c>
      <c r="R342" s="75">
        <v>-7076.0299999999988</v>
      </c>
    </row>
    <row r="343" spans="1:18" x14ac:dyDescent="0.3">
      <c r="A343">
        <v>326</v>
      </c>
      <c r="B343" s="19">
        <v>49.996699999999997</v>
      </c>
      <c r="C343" s="19">
        <v>32.623699999999999</v>
      </c>
      <c r="D343" s="19">
        <v>11.2982</v>
      </c>
      <c r="E343" s="19">
        <v>273.86509999999998</v>
      </c>
      <c r="F343" s="19">
        <v>16.055800000000001</v>
      </c>
      <c r="G343" s="19">
        <v>367.83839999999998</v>
      </c>
      <c r="H343" s="19">
        <v>4461.6554999999998</v>
      </c>
      <c r="I343" s="19">
        <v>8724.7888999999996</v>
      </c>
      <c r="J343" s="75">
        <v>8334</v>
      </c>
      <c r="K343" s="75">
        <v>-5024.55</v>
      </c>
      <c r="L343" s="75">
        <v>-33903.839999999997</v>
      </c>
      <c r="M343" s="75">
        <v>29127.38</v>
      </c>
      <c r="N343" s="75">
        <v>19033.260000000002</v>
      </c>
      <c r="O343" s="75">
        <v>4544.3999999999996</v>
      </c>
      <c r="P343" s="75">
        <v>-31793.55</v>
      </c>
      <c r="Q343" s="75">
        <v>63392.26</v>
      </c>
      <c r="R343" s="75">
        <v>53709.360000000015</v>
      </c>
    </row>
    <row r="344" spans="1:18" x14ac:dyDescent="0.3">
      <c r="A344">
        <v>327</v>
      </c>
      <c r="B344" s="19">
        <v>49.551900000000003</v>
      </c>
      <c r="C344" s="19">
        <v>32.872799999999998</v>
      </c>
      <c r="D344" s="19">
        <v>11.352</v>
      </c>
      <c r="E344" s="19">
        <v>269.4058</v>
      </c>
      <c r="F344" s="19">
        <v>15.9994</v>
      </c>
      <c r="G344" s="19">
        <v>358.7097</v>
      </c>
      <c r="H344" s="19">
        <v>4547.0549000000001</v>
      </c>
      <c r="I344" s="19">
        <v>8346.0432000000001</v>
      </c>
      <c r="J344" s="75">
        <v>-562</v>
      </c>
      <c r="K344" s="75">
        <v>2074.8000000000002</v>
      </c>
      <c r="L344" s="75">
        <v>-29126.400000000001</v>
      </c>
      <c r="M344" s="75">
        <v>12182.039999999999</v>
      </c>
      <c r="N344" s="75">
        <v>16512.18</v>
      </c>
      <c r="O344" s="75">
        <v>-27406.05</v>
      </c>
      <c r="P344" s="75">
        <v>-6173.7300000000005</v>
      </c>
      <c r="Q344" s="75">
        <v>-12356.88</v>
      </c>
      <c r="R344" s="75">
        <v>-44856.04</v>
      </c>
    </row>
    <row r="345" spans="1:18" x14ac:dyDescent="0.3">
      <c r="A345">
        <v>328</v>
      </c>
      <c r="B345" s="19">
        <v>49.174300000000002</v>
      </c>
      <c r="C345" s="19">
        <v>32.609000000000002</v>
      </c>
      <c r="D345" s="19">
        <v>11.8996</v>
      </c>
      <c r="E345" s="19">
        <v>256.92079999999999</v>
      </c>
      <c r="F345" s="19">
        <v>15.8408</v>
      </c>
      <c r="G345" s="19">
        <v>371.64210000000003</v>
      </c>
      <c r="H345" s="19">
        <v>4401.7712000000001</v>
      </c>
      <c r="I345" s="19">
        <v>8896.7039000000004</v>
      </c>
      <c r="J345" s="75">
        <v>-8114</v>
      </c>
      <c r="K345" s="75">
        <v>-5443.5</v>
      </c>
      <c r="L345" s="75">
        <v>19500.48</v>
      </c>
      <c r="M345" s="75">
        <v>-35260.959999999999</v>
      </c>
      <c r="N345" s="75">
        <v>9422.76</v>
      </c>
      <c r="O345" s="75">
        <v>17857.349999999999</v>
      </c>
      <c r="P345" s="75">
        <v>-49758.84</v>
      </c>
      <c r="Q345" s="75">
        <v>97775.260000000009</v>
      </c>
      <c r="R345" s="75">
        <v>45978.55000000001</v>
      </c>
    </row>
    <row r="346" spans="1:18" x14ac:dyDescent="0.3">
      <c r="A346">
        <v>329</v>
      </c>
      <c r="B346" s="19">
        <v>50.095300000000002</v>
      </c>
      <c r="C346" s="19">
        <v>32.7958</v>
      </c>
      <c r="D346" s="19">
        <v>11.851900000000001</v>
      </c>
      <c r="E346" s="19">
        <v>265.4513</v>
      </c>
      <c r="F346" s="19">
        <v>15.6425</v>
      </c>
      <c r="G346" s="19">
        <v>367.60660000000001</v>
      </c>
      <c r="H346" s="19">
        <v>4524.4849999999997</v>
      </c>
      <c r="I346" s="19">
        <v>7720.9384</v>
      </c>
      <c r="J346" s="75">
        <v>10306</v>
      </c>
      <c r="K346" s="75">
        <v>-119.69999999999999</v>
      </c>
      <c r="L346" s="75">
        <v>15264.72</v>
      </c>
      <c r="M346" s="75">
        <v>-2845.06</v>
      </c>
      <c r="N346" s="75">
        <v>558.75</v>
      </c>
      <c r="O346" s="75">
        <v>3733.1</v>
      </c>
      <c r="P346" s="75">
        <v>-12944.7</v>
      </c>
      <c r="Q346" s="75">
        <v>-137377.84</v>
      </c>
      <c r="R346" s="75">
        <v>-123424.73000000001</v>
      </c>
    </row>
    <row r="347" spans="1:18" x14ac:dyDescent="0.3">
      <c r="A347">
        <v>330</v>
      </c>
      <c r="B347" s="19">
        <v>49.415100000000002</v>
      </c>
      <c r="C347" s="19">
        <v>32.738399999999999</v>
      </c>
      <c r="D347" s="19">
        <v>11.5779</v>
      </c>
      <c r="E347" s="19">
        <v>252.43989999999999</v>
      </c>
      <c r="F347" s="19">
        <v>15.466900000000001</v>
      </c>
      <c r="G347" s="19">
        <v>370.83269999999999</v>
      </c>
      <c r="H347" s="19">
        <v>4639.0937999999996</v>
      </c>
      <c r="I347" s="19">
        <v>8714.2083999999995</v>
      </c>
      <c r="J347" s="75">
        <v>-3298</v>
      </c>
      <c r="K347" s="75">
        <v>-1755.6000000000001</v>
      </c>
      <c r="L347" s="75">
        <v>-9066.48</v>
      </c>
      <c r="M347" s="75">
        <v>-52288.38</v>
      </c>
      <c r="N347" s="75">
        <v>-7290.57</v>
      </c>
      <c r="O347" s="75">
        <v>15024.45</v>
      </c>
      <c r="P347" s="75">
        <v>21437.94</v>
      </c>
      <c r="Q347" s="75">
        <v>61276.160000000003</v>
      </c>
      <c r="R347" s="75">
        <v>24039.520000000004</v>
      </c>
    </row>
    <row r="348" spans="1:18" x14ac:dyDescent="0.3">
      <c r="A348">
        <v>331</v>
      </c>
      <c r="B348" s="19">
        <v>49.357900000000001</v>
      </c>
      <c r="C348" s="19">
        <v>32.875999999999998</v>
      </c>
      <c r="D348" s="19">
        <v>11.7624</v>
      </c>
      <c r="E348" s="19">
        <v>271.75049999999999</v>
      </c>
      <c r="F348" s="19">
        <v>15.557700000000001</v>
      </c>
      <c r="G348" s="19">
        <v>373.91460000000001</v>
      </c>
      <c r="H348" s="19">
        <v>4626.9112999999998</v>
      </c>
      <c r="I348" s="19">
        <v>8190.5717999999997</v>
      </c>
      <c r="J348" s="75">
        <v>-4442</v>
      </c>
      <c r="K348" s="75">
        <v>2166</v>
      </c>
      <c r="L348" s="75">
        <v>7317.12</v>
      </c>
      <c r="M348" s="75">
        <v>21091.9</v>
      </c>
      <c r="N348" s="75">
        <v>-3231.81</v>
      </c>
      <c r="O348" s="75">
        <v>25811.1</v>
      </c>
      <c r="P348" s="75">
        <v>17783.189999999999</v>
      </c>
      <c r="Q348" s="75">
        <v>-43451.159999999996</v>
      </c>
      <c r="R348" s="75">
        <v>23044.340000000004</v>
      </c>
    </row>
    <row r="349" spans="1:18" x14ac:dyDescent="0.3">
      <c r="A349">
        <v>332</v>
      </c>
      <c r="B349" s="19">
        <v>49.872</v>
      </c>
      <c r="C349" s="19">
        <v>33.136099999999999</v>
      </c>
      <c r="D349" s="19">
        <v>11.4457</v>
      </c>
      <c r="E349" s="19">
        <v>270.69819999999999</v>
      </c>
      <c r="F349" s="19">
        <v>15.523899999999999</v>
      </c>
      <c r="G349" s="19">
        <v>371.34829999999999</v>
      </c>
      <c r="H349" s="19">
        <v>4655.0016999999998</v>
      </c>
      <c r="I349" s="19">
        <v>7963.8186999999998</v>
      </c>
      <c r="J349" s="75">
        <v>5840</v>
      </c>
      <c r="K349" s="75">
        <v>9578.85</v>
      </c>
      <c r="L349" s="75">
        <v>-20805.84</v>
      </c>
      <c r="M349" s="75">
        <v>17093.16</v>
      </c>
      <c r="N349" s="75">
        <v>-4742.67</v>
      </c>
      <c r="O349" s="75">
        <v>16829.05</v>
      </c>
      <c r="P349" s="75">
        <v>26210.31</v>
      </c>
      <c r="Q349" s="75">
        <v>-88801.78</v>
      </c>
      <c r="R349" s="75">
        <v>-38798.92</v>
      </c>
    </row>
    <row r="350" spans="1:18" x14ac:dyDescent="0.3">
      <c r="A350">
        <v>333</v>
      </c>
      <c r="B350" s="19">
        <v>49.220199999999998</v>
      </c>
      <c r="C350" s="19">
        <v>32.5505</v>
      </c>
      <c r="D350" s="19">
        <v>12.171099999999999</v>
      </c>
      <c r="E350" s="19">
        <v>264.37099999999998</v>
      </c>
      <c r="F350" s="19">
        <v>15.4145</v>
      </c>
      <c r="G350" s="19">
        <v>374.29169999999999</v>
      </c>
      <c r="H350" s="19">
        <v>4541.4485000000004</v>
      </c>
      <c r="I350" s="19">
        <v>8261.0380000000005</v>
      </c>
      <c r="J350" s="75">
        <v>-7196</v>
      </c>
      <c r="K350" s="75">
        <v>-7110.75</v>
      </c>
      <c r="L350" s="75">
        <v>43609.68</v>
      </c>
      <c r="M350" s="75">
        <v>-6950.2</v>
      </c>
      <c r="N350" s="75">
        <v>-9632.85</v>
      </c>
      <c r="O350" s="75">
        <v>27130.949999999997</v>
      </c>
      <c r="P350" s="75">
        <v>-7855.6500000000005</v>
      </c>
      <c r="Q350" s="75">
        <v>-29357.920000000002</v>
      </c>
      <c r="R350" s="75">
        <v>2637.2599999999911</v>
      </c>
    </row>
    <row r="351" spans="1:18" x14ac:dyDescent="0.3">
      <c r="A351">
        <v>334</v>
      </c>
      <c r="B351" s="19">
        <v>49.497</v>
      </c>
      <c r="C351" s="19">
        <v>32.4602</v>
      </c>
      <c r="D351" s="19">
        <v>11.5703</v>
      </c>
      <c r="E351" s="19">
        <v>265.96469999999999</v>
      </c>
      <c r="F351" s="19">
        <v>15.5619</v>
      </c>
      <c r="G351" s="19">
        <v>357.82190000000003</v>
      </c>
      <c r="H351" s="19">
        <v>4542.4726000000001</v>
      </c>
      <c r="I351" s="19">
        <v>8272.5885999999991</v>
      </c>
      <c r="J351" s="75">
        <v>-1660</v>
      </c>
      <c r="K351" s="75">
        <v>-9684.2999999999993</v>
      </c>
      <c r="L351" s="75">
        <v>-9741.36</v>
      </c>
      <c r="M351" s="75">
        <v>-894.14</v>
      </c>
      <c r="N351" s="75">
        <v>-3044.0699999999997</v>
      </c>
      <c r="O351" s="75">
        <v>-30513.35</v>
      </c>
      <c r="P351" s="75">
        <v>-7548.42</v>
      </c>
      <c r="Q351" s="75">
        <v>-27047.8</v>
      </c>
      <c r="R351" s="75">
        <v>-90133.440000000002</v>
      </c>
    </row>
    <row r="352" spans="1:18" x14ac:dyDescent="0.3">
      <c r="A352">
        <v>335</v>
      </c>
      <c r="B352" s="19">
        <v>49.245899999999999</v>
      </c>
      <c r="C352" s="19">
        <v>33.307899999999997</v>
      </c>
      <c r="D352" s="19">
        <v>11.345000000000001</v>
      </c>
      <c r="E352" s="19">
        <v>275.01839999999999</v>
      </c>
      <c r="F352" s="19">
        <v>15.7446</v>
      </c>
      <c r="G352" s="19">
        <v>355.51299999999998</v>
      </c>
      <c r="H352" s="19">
        <v>4731.6287000000002</v>
      </c>
      <c r="I352" s="19">
        <v>8446.7296000000006</v>
      </c>
      <c r="J352" s="75">
        <v>-6682</v>
      </c>
      <c r="K352" s="75">
        <v>14475.15</v>
      </c>
      <c r="L352" s="75">
        <v>-29748</v>
      </c>
      <c r="M352" s="75">
        <v>33509.919999999998</v>
      </c>
      <c r="N352" s="75">
        <v>5122.62</v>
      </c>
      <c r="O352" s="75">
        <v>-38594.5</v>
      </c>
      <c r="P352" s="75">
        <v>49198.409999999996</v>
      </c>
      <c r="Q352" s="75">
        <v>7780.4000000000005</v>
      </c>
      <c r="R352" s="75">
        <v>35061.999999999993</v>
      </c>
    </row>
    <row r="353" spans="1:18" x14ac:dyDescent="0.3">
      <c r="A353">
        <v>336</v>
      </c>
      <c r="B353" s="19">
        <v>50.054299999999998</v>
      </c>
      <c r="C353" s="19">
        <v>32.454799999999999</v>
      </c>
      <c r="D353" s="19">
        <v>11.9823</v>
      </c>
      <c r="E353" s="19">
        <v>264.12509999999997</v>
      </c>
      <c r="F353" s="19">
        <v>15.819599999999999</v>
      </c>
      <c r="G353" s="19">
        <v>383.58280000000002</v>
      </c>
      <c r="H353" s="19">
        <v>4586.0142999999998</v>
      </c>
      <c r="I353" s="19">
        <v>8719.2060000000001</v>
      </c>
      <c r="J353" s="75">
        <v>9486</v>
      </c>
      <c r="K353" s="75">
        <v>-9838.2000000000007</v>
      </c>
      <c r="L353" s="75">
        <v>26844.240000000002</v>
      </c>
      <c r="M353" s="75">
        <v>-7884.62</v>
      </c>
      <c r="N353" s="75">
        <v>8475.119999999999</v>
      </c>
      <c r="O353" s="75">
        <v>59649.799999999996</v>
      </c>
      <c r="P353" s="75">
        <v>5514.0899999999992</v>
      </c>
      <c r="Q353" s="75">
        <v>62275.68</v>
      </c>
      <c r="R353" s="75">
        <v>154522.10999999999</v>
      </c>
    </row>
    <row r="354" spans="1:18" x14ac:dyDescent="0.3">
      <c r="A354">
        <v>337</v>
      </c>
      <c r="B354" s="19">
        <v>49.674300000000002</v>
      </c>
      <c r="C354" s="19">
        <v>32.282499999999999</v>
      </c>
      <c r="D354" s="19">
        <v>11.9369</v>
      </c>
      <c r="E354" s="19">
        <v>266.23079999999999</v>
      </c>
      <c r="F354" s="19">
        <v>15.59</v>
      </c>
      <c r="G354" s="19">
        <v>362.55290000000002</v>
      </c>
      <c r="H354" s="19">
        <v>4460.2947999999997</v>
      </c>
      <c r="I354" s="19">
        <v>8206.9297999999999</v>
      </c>
      <c r="J354" s="75">
        <v>1886</v>
      </c>
      <c r="K354" s="75">
        <v>-14748.749999999998</v>
      </c>
      <c r="L354" s="75">
        <v>22812.720000000001</v>
      </c>
      <c r="M354" s="75">
        <v>117.04</v>
      </c>
      <c r="N354" s="75">
        <v>-1788</v>
      </c>
      <c r="O354" s="75">
        <v>-13954.85</v>
      </c>
      <c r="P354" s="75">
        <v>-32201.760000000002</v>
      </c>
      <c r="Q354" s="75">
        <v>-40179.56</v>
      </c>
      <c r="R354" s="75">
        <v>-78057.16</v>
      </c>
    </row>
    <row r="355" spans="1:18" x14ac:dyDescent="0.3">
      <c r="A355">
        <v>338</v>
      </c>
      <c r="B355" s="19">
        <v>49.416899999999998</v>
      </c>
      <c r="C355" s="19">
        <v>32.286000000000001</v>
      </c>
      <c r="D355" s="19">
        <v>11.7395</v>
      </c>
      <c r="E355" s="19">
        <v>279.24520000000001</v>
      </c>
      <c r="F355" s="19">
        <v>15.604699999999999</v>
      </c>
      <c r="G355" s="19">
        <v>356.78390000000002</v>
      </c>
      <c r="H355" s="19">
        <v>4614.9696000000004</v>
      </c>
      <c r="I355" s="19">
        <v>8840.3809999999994</v>
      </c>
      <c r="J355" s="75">
        <v>-3262</v>
      </c>
      <c r="K355" s="75">
        <v>-14649</v>
      </c>
      <c r="L355" s="75">
        <v>5283.5999999999995</v>
      </c>
      <c r="M355" s="75">
        <v>49571.759999999995</v>
      </c>
      <c r="N355" s="75">
        <v>-1130.9100000000001</v>
      </c>
      <c r="O355" s="75">
        <v>-34146.35</v>
      </c>
      <c r="P355" s="75">
        <v>14200.68</v>
      </c>
      <c r="Q355" s="75">
        <v>86510.680000000008</v>
      </c>
      <c r="R355" s="75">
        <v>102378.45999999999</v>
      </c>
    </row>
    <row r="356" spans="1:18" x14ac:dyDescent="0.3">
      <c r="A356">
        <v>339</v>
      </c>
      <c r="B356" s="19">
        <v>49.433799999999998</v>
      </c>
      <c r="C356" s="19">
        <v>32.427900000000001</v>
      </c>
      <c r="D356" s="19">
        <v>11.7925</v>
      </c>
      <c r="E356" s="19">
        <v>267.63580000000002</v>
      </c>
      <c r="F356" s="19">
        <v>15.5932</v>
      </c>
      <c r="G356" s="19">
        <v>361.5686</v>
      </c>
      <c r="H356" s="19">
        <v>4564.1630999999998</v>
      </c>
      <c r="I356" s="19">
        <v>7800.0702000000001</v>
      </c>
      <c r="J356" s="75">
        <v>-2924</v>
      </c>
      <c r="K356" s="75">
        <v>-10604.85</v>
      </c>
      <c r="L356" s="75">
        <v>9990</v>
      </c>
      <c r="M356" s="75">
        <v>5456.04</v>
      </c>
      <c r="N356" s="75">
        <v>-1644.96</v>
      </c>
      <c r="O356" s="75">
        <v>-17399.900000000001</v>
      </c>
      <c r="P356" s="75">
        <v>-1041.27</v>
      </c>
      <c r="Q356" s="75">
        <v>-121551.48</v>
      </c>
      <c r="R356" s="75">
        <v>-139720.41999999998</v>
      </c>
    </row>
    <row r="357" spans="1:18" x14ac:dyDescent="0.3">
      <c r="A357">
        <v>340</v>
      </c>
      <c r="B357" s="19">
        <v>50.018300000000004</v>
      </c>
      <c r="C357" s="19">
        <v>32.317100000000003</v>
      </c>
      <c r="D357" s="19">
        <v>12.1097</v>
      </c>
      <c r="E357" s="19">
        <v>261.01049999999998</v>
      </c>
      <c r="F357" s="19">
        <v>15.837999999999999</v>
      </c>
      <c r="G357" s="19">
        <v>366.49740000000003</v>
      </c>
      <c r="H357" s="19">
        <v>4716.1427000000003</v>
      </c>
      <c r="I357" s="19">
        <v>7887.5104000000001</v>
      </c>
      <c r="J357" s="75">
        <v>8766</v>
      </c>
      <c r="K357" s="75">
        <v>-13762.65</v>
      </c>
      <c r="L357" s="75">
        <v>38157.360000000001</v>
      </c>
      <c r="M357" s="75">
        <v>-19720.099999999999</v>
      </c>
      <c r="N357" s="75">
        <v>9297.6</v>
      </c>
      <c r="O357" s="75">
        <v>-149.1</v>
      </c>
      <c r="P357" s="75">
        <v>44552.61</v>
      </c>
      <c r="Q357" s="75">
        <v>-104063.43999999999</v>
      </c>
      <c r="R357" s="75">
        <v>-36921.719999999987</v>
      </c>
    </row>
    <row r="358" spans="1:18" x14ac:dyDescent="0.3">
      <c r="A358">
        <v>341</v>
      </c>
      <c r="B358" s="19">
        <v>49.647199999999998</v>
      </c>
      <c r="C358" s="19">
        <v>32.7986</v>
      </c>
      <c r="D358" s="19">
        <v>11.509</v>
      </c>
      <c r="E358" s="19">
        <v>257.79090000000002</v>
      </c>
      <c r="F358" s="19">
        <v>15.683</v>
      </c>
      <c r="G358" s="19">
        <v>362.14909999999998</v>
      </c>
      <c r="H358" s="19">
        <v>4614.5015999999996</v>
      </c>
      <c r="I358" s="19">
        <v>8949.6100999999999</v>
      </c>
      <c r="J358" s="75">
        <v>1344</v>
      </c>
      <c r="K358" s="75">
        <v>-39.9</v>
      </c>
      <c r="L358" s="75">
        <v>-15184.800000000001</v>
      </c>
      <c r="M358" s="75">
        <v>-31954.58</v>
      </c>
      <c r="N358" s="75">
        <v>2369.1</v>
      </c>
      <c r="O358" s="75">
        <v>-15368.150000000001</v>
      </c>
      <c r="P358" s="75">
        <v>14060.28</v>
      </c>
      <c r="Q358" s="75">
        <v>108356.5</v>
      </c>
      <c r="R358" s="75">
        <v>63582.45</v>
      </c>
    </row>
    <row r="359" spans="1:18" x14ac:dyDescent="0.3">
      <c r="A359">
        <v>342</v>
      </c>
      <c r="B359" s="19">
        <v>50.191699999999997</v>
      </c>
      <c r="C359" s="19">
        <v>33.630699999999997</v>
      </c>
      <c r="D359" s="19">
        <v>11.296099999999999</v>
      </c>
      <c r="E359" s="19">
        <v>265.07319999999999</v>
      </c>
      <c r="F359" s="19">
        <v>15.7536</v>
      </c>
      <c r="G359" s="19">
        <v>360.8895</v>
      </c>
      <c r="H359" s="19">
        <v>4601.4270999999999</v>
      </c>
      <c r="I359" s="19">
        <v>8495.5251000000007</v>
      </c>
      <c r="J359" s="75">
        <v>12234</v>
      </c>
      <c r="K359" s="75">
        <v>23674.95</v>
      </c>
      <c r="L359" s="75">
        <v>-34090.32</v>
      </c>
      <c r="M359" s="75">
        <v>-4281.84</v>
      </c>
      <c r="N359" s="75">
        <v>5524.92</v>
      </c>
      <c r="O359" s="75">
        <v>-19776.75</v>
      </c>
      <c r="P359" s="75">
        <v>10137.93</v>
      </c>
      <c r="Q359" s="75">
        <v>17539.5</v>
      </c>
      <c r="R359" s="75">
        <v>10962.39</v>
      </c>
    </row>
    <row r="360" spans="1:18" x14ac:dyDescent="0.3">
      <c r="A360">
        <v>343</v>
      </c>
      <c r="B360" s="19">
        <v>49.572600000000001</v>
      </c>
      <c r="C360" s="19">
        <v>32.638599999999997</v>
      </c>
      <c r="D360" s="19">
        <v>11.999599999999999</v>
      </c>
      <c r="E360" s="19">
        <v>276.33569999999997</v>
      </c>
      <c r="F360" s="19">
        <v>15.315</v>
      </c>
      <c r="G360" s="19">
        <v>376.64929999999998</v>
      </c>
      <c r="H360" s="19">
        <v>4624.3298000000004</v>
      </c>
      <c r="I360" s="19">
        <v>8226.0817000000006</v>
      </c>
      <c r="J360" s="75">
        <v>-148</v>
      </c>
      <c r="K360" s="75">
        <v>-4599.8999999999996</v>
      </c>
      <c r="L360" s="75">
        <v>28380.48</v>
      </c>
      <c r="M360" s="75">
        <v>38515.659999999996</v>
      </c>
      <c r="N360" s="75">
        <v>-14080.5</v>
      </c>
      <c r="O360" s="75">
        <v>35382.549999999996</v>
      </c>
      <c r="P360" s="75">
        <v>17008.739999999998</v>
      </c>
      <c r="Q360" s="75">
        <v>-36349.18</v>
      </c>
      <c r="R360" s="75">
        <v>64109.85</v>
      </c>
    </row>
    <row r="361" spans="1:18" x14ac:dyDescent="0.3">
      <c r="A361">
        <v>344</v>
      </c>
      <c r="B361" s="19">
        <v>49.365900000000003</v>
      </c>
      <c r="C361" s="19">
        <v>32.510800000000003</v>
      </c>
      <c r="D361" s="19">
        <v>11.9155</v>
      </c>
      <c r="E361" s="19">
        <v>254.1857</v>
      </c>
      <c r="F361" s="19">
        <v>15.115399999999999</v>
      </c>
      <c r="G361" s="19">
        <v>361.91180000000003</v>
      </c>
      <c r="H361" s="19">
        <v>4459.3218999999999</v>
      </c>
      <c r="I361" s="19">
        <v>8468.7579000000005</v>
      </c>
      <c r="J361" s="75">
        <v>-4282</v>
      </c>
      <c r="K361" s="75">
        <v>-8242.2000000000007</v>
      </c>
      <c r="L361" s="75">
        <v>20912.399999999998</v>
      </c>
      <c r="M361" s="75">
        <v>-45654.340000000004</v>
      </c>
      <c r="N361" s="75">
        <v>-23002.62</v>
      </c>
      <c r="O361" s="75">
        <v>-16198.699999999999</v>
      </c>
      <c r="P361" s="75">
        <v>-32493.63</v>
      </c>
      <c r="Q361" s="75">
        <v>12186.060000000001</v>
      </c>
      <c r="R361" s="75">
        <v>-96775.030000000013</v>
      </c>
    </row>
    <row r="362" spans="1:18" x14ac:dyDescent="0.3">
      <c r="A362">
        <v>345</v>
      </c>
      <c r="B362" s="19">
        <v>50.033799999999999</v>
      </c>
      <c r="C362" s="19">
        <v>32.986199999999997</v>
      </c>
      <c r="D362" s="19">
        <v>11.4656</v>
      </c>
      <c r="E362" s="19">
        <v>268.90109999999999</v>
      </c>
      <c r="F362" s="19">
        <v>15.5128</v>
      </c>
      <c r="G362" s="19">
        <v>363.69040000000001</v>
      </c>
      <c r="H362" s="19">
        <v>4614.6192000000001</v>
      </c>
      <c r="I362" s="19">
        <v>8136.7933999999996</v>
      </c>
      <c r="J362" s="75">
        <v>9076</v>
      </c>
      <c r="K362" s="75">
        <v>5306.7</v>
      </c>
      <c r="L362" s="75">
        <v>-19038.72</v>
      </c>
      <c r="M362" s="75">
        <v>10264.179999999998</v>
      </c>
      <c r="N362" s="75">
        <v>-5238.84</v>
      </c>
      <c r="O362" s="75">
        <v>-9973.6</v>
      </c>
      <c r="P362" s="75">
        <v>14095.56</v>
      </c>
      <c r="Q362" s="75">
        <v>-54206.84</v>
      </c>
      <c r="R362" s="75">
        <v>-49715.56</v>
      </c>
    </row>
    <row r="363" spans="1:18" x14ac:dyDescent="0.3">
      <c r="A363">
        <v>346</v>
      </c>
      <c r="B363" s="19">
        <v>49.277099999999997</v>
      </c>
      <c r="C363" s="19">
        <v>32.411900000000003</v>
      </c>
      <c r="D363" s="19">
        <v>11.8102</v>
      </c>
      <c r="E363" s="19">
        <v>268.03960000000001</v>
      </c>
      <c r="F363" s="19">
        <v>15.4658</v>
      </c>
      <c r="G363" s="19">
        <v>363.61110000000002</v>
      </c>
      <c r="H363" s="19">
        <v>4638.6210000000001</v>
      </c>
      <c r="I363" s="19">
        <v>8847.9830000000002</v>
      </c>
      <c r="J363" s="75">
        <v>-6058</v>
      </c>
      <c r="K363" s="75">
        <v>-11060.85</v>
      </c>
      <c r="L363" s="75">
        <v>11561.76</v>
      </c>
      <c r="M363" s="75">
        <v>6990.48</v>
      </c>
      <c r="N363" s="75">
        <v>-7339.7400000000007</v>
      </c>
      <c r="O363" s="75">
        <v>-10251.15</v>
      </c>
      <c r="P363" s="75">
        <v>21296.1</v>
      </c>
      <c r="Q363" s="75">
        <v>88031.08</v>
      </c>
      <c r="R363" s="75">
        <v>93169.68</v>
      </c>
    </row>
    <row r="364" spans="1:18" x14ac:dyDescent="0.3">
      <c r="A364">
        <v>347</v>
      </c>
      <c r="B364" s="19">
        <v>49.277700000000003</v>
      </c>
      <c r="C364" s="19">
        <v>33.014499999999998</v>
      </c>
      <c r="D364" s="19">
        <v>11.777200000000001</v>
      </c>
      <c r="E364" s="19">
        <v>254.86359999999999</v>
      </c>
      <c r="F364" s="19">
        <v>15.3131</v>
      </c>
      <c r="G364" s="19">
        <v>370.01670000000001</v>
      </c>
      <c r="H364" s="19">
        <v>4382.6745000000001</v>
      </c>
      <c r="I364" s="19">
        <v>7778.7073</v>
      </c>
      <c r="J364" s="75">
        <v>-6046</v>
      </c>
      <c r="K364" s="75">
        <v>6113.25</v>
      </c>
      <c r="L364" s="75">
        <v>8631.3599999999988</v>
      </c>
      <c r="M364" s="75">
        <v>-43078.32</v>
      </c>
      <c r="N364" s="75">
        <v>-14165.43</v>
      </c>
      <c r="O364" s="75">
        <v>12168.45</v>
      </c>
      <c r="P364" s="75">
        <v>-55487.85</v>
      </c>
      <c r="Q364" s="75">
        <v>-125824.06000000001</v>
      </c>
      <c r="R364" s="75">
        <v>-217688.60000000003</v>
      </c>
    </row>
    <row r="365" spans="1:18" x14ac:dyDescent="0.3">
      <c r="A365">
        <v>348</v>
      </c>
      <c r="B365" s="19">
        <v>49.159599999999998</v>
      </c>
      <c r="C365" s="19">
        <v>32.553199999999997</v>
      </c>
      <c r="D365" s="19">
        <v>11.7491</v>
      </c>
      <c r="E365" s="19">
        <v>275.07409999999999</v>
      </c>
      <c r="F365" s="19">
        <v>15.0268</v>
      </c>
      <c r="G365" s="19">
        <v>372.15050000000002</v>
      </c>
      <c r="H365" s="19">
        <v>4479.4322000000002</v>
      </c>
      <c r="I365" s="19">
        <v>8496.3768</v>
      </c>
      <c r="J365" s="75">
        <v>-8408</v>
      </c>
      <c r="K365" s="75">
        <v>-7033.8</v>
      </c>
      <c r="L365" s="75">
        <v>6136.08</v>
      </c>
      <c r="M365" s="75">
        <v>33721.58</v>
      </c>
      <c r="N365" s="75">
        <v>-26963.039999999997</v>
      </c>
      <c r="O365" s="75">
        <v>19636.75</v>
      </c>
      <c r="P365" s="75">
        <v>-26460.54</v>
      </c>
      <c r="Q365" s="75">
        <v>17709.84</v>
      </c>
      <c r="R365" s="75">
        <v>8338.8700000000026</v>
      </c>
    </row>
    <row r="366" spans="1:18" x14ac:dyDescent="0.3">
      <c r="A366">
        <v>349</v>
      </c>
      <c r="B366" s="19">
        <v>49.385399999999997</v>
      </c>
      <c r="C366" s="19">
        <v>31.962399999999999</v>
      </c>
      <c r="D366" s="19">
        <v>11.2004</v>
      </c>
      <c r="E366" s="19">
        <v>264.0598</v>
      </c>
      <c r="F366" s="19">
        <v>15.749700000000001</v>
      </c>
      <c r="G366" s="19">
        <v>363.26650000000001</v>
      </c>
      <c r="H366" s="19">
        <v>4781.3851000000004</v>
      </c>
      <c r="I366" s="19">
        <v>8452.3497000000007</v>
      </c>
      <c r="J366" s="75">
        <v>-3892</v>
      </c>
      <c r="K366" s="75">
        <v>-23871.599999999999</v>
      </c>
      <c r="L366" s="75">
        <v>-42588.480000000003</v>
      </c>
      <c r="M366" s="75">
        <v>-8132.76</v>
      </c>
      <c r="N366" s="75">
        <v>5350.59</v>
      </c>
      <c r="O366" s="75">
        <v>-11457.25</v>
      </c>
      <c r="P366" s="75">
        <v>64125.33</v>
      </c>
      <c r="Q366" s="75">
        <v>8904.42</v>
      </c>
      <c r="R366" s="75">
        <v>-11561.749999999998</v>
      </c>
    </row>
    <row r="367" spans="1:18" x14ac:dyDescent="0.3">
      <c r="A367">
        <v>350</v>
      </c>
      <c r="B367" s="19">
        <v>48.351199999999999</v>
      </c>
      <c r="C367" s="19">
        <v>33.546300000000002</v>
      </c>
      <c r="D367" s="19">
        <v>12.0999</v>
      </c>
      <c r="E367" s="19">
        <v>258.88339999999999</v>
      </c>
      <c r="F367" s="19">
        <v>15.6698</v>
      </c>
      <c r="G367" s="19">
        <v>364.79809999999998</v>
      </c>
      <c r="H367" s="19">
        <v>4623.6309000000001</v>
      </c>
      <c r="I367" s="19">
        <v>7722.3537999999999</v>
      </c>
      <c r="J367" s="75">
        <v>-24575.999999999996</v>
      </c>
      <c r="K367" s="75">
        <v>21269.55</v>
      </c>
      <c r="L367" s="75">
        <v>37287.120000000003</v>
      </c>
      <c r="M367" s="75">
        <v>-27803.08</v>
      </c>
      <c r="N367" s="75">
        <v>1779.0600000000002</v>
      </c>
      <c r="O367" s="75">
        <v>-6096.65</v>
      </c>
      <c r="P367" s="75">
        <v>16799.07</v>
      </c>
      <c r="Q367" s="75">
        <v>-137094.76</v>
      </c>
      <c r="R367" s="75">
        <v>-118435.69</v>
      </c>
    </row>
    <row r="368" spans="1:18" x14ac:dyDescent="0.3">
      <c r="A368">
        <v>351</v>
      </c>
      <c r="B368" s="19">
        <v>49.832999999999998</v>
      </c>
      <c r="C368" s="19">
        <v>32.4758</v>
      </c>
      <c r="D368" s="19">
        <v>11.977600000000001</v>
      </c>
      <c r="E368" s="19">
        <v>272.09739999999999</v>
      </c>
      <c r="F368" s="19">
        <v>15.616899999999999</v>
      </c>
      <c r="G368" s="19">
        <v>370.83440000000002</v>
      </c>
      <c r="H368" s="19">
        <v>4620.9645</v>
      </c>
      <c r="I368" s="19">
        <v>8493.0645000000004</v>
      </c>
      <c r="J368" s="75">
        <v>5060</v>
      </c>
      <c r="K368" s="75">
        <v>-9239.6999999999989</v>
      </c>
      <c r="L368" s="75">
        <v>26426.879999999997</v>
      </c>
      <c r="M368" s="75">
        <v>22410.12</v>
      </c>
      <c r="N368" s="75">
        <v>-585.57000000000005</v>
      </c>
      <c r="O368" s="75">
        <v>15030.400000000001</v>
      </c>
      <c r="P368" s="75">
        <v>15999.15</v>
      </c>
      <c r="Q368" s="75">
        <v>17047.38</v>
      </c>
      <c r="R368" s="75">
        <v>92148.66</v>
      </c>
    </row>
    <row r="369" spans="1:18" x14ac:dyDescent="0.3">
      <c r="A369">
        <v>352</v>
      </c>
      <c r="B369" s="19">
        <v>49.981999999999999</v>
      </c>
      <c r="C369" s="19">
        <v>32.989600000000003</v>
      </c>
      <c r="D369" s="19">
        <v>11.5061</v>
      </c>
      <c r="E369" s="19">
        <v>269.20510000000002</v>
      </c>
      <c r="F369" s="19">
        <v>15.587899999999999</v>
      </c>
      <c r="G369" s="19">
        <v>360.71769999999998</v>
      </c>
      <c r="H369" s="19">
        <v>4639.6813000000002</v>
      </c>
      <c r="I369" s="19">
        <v>8122.6283999999996</v>
      </c>
      <c r="J369" s="75">
        <v>8040.0000000000009</v>
      </c>
      <c r="K369" s="75">
        <v>5403.5999999999995</v>
      </c>
      <c r="L369" s="75">
        <v>-15442.32</v>
      </c>
      <c r="M369" s="75">
        <v>11419.380000000001</v>
      </c>
      <c r="N369" s="75">
        <v>-1881.87</v>
      </c>
      <c r="O369" s="75">
        <v>-20378.05</v>
      </c>
      <c r="P369" s="75">
        <v>21614.190000000002</v>
      </c>
      <c r="Q369" s="75">
        <v>-57039.840000000004</v>
      </c>
      <c r="R369" s="75">
        <v>-48264.91</v>
      </c>
    </row>
    <row r="370" spans="1:18" x14ac:dyDescent="0.3">
      <c r="A370">
        <v>353</v>
      </c>
      <c r="B370" s="19">
        <v>49.302500000000002</v>
      </c>
      <c r="C370" s="19">
        <v>34.211799999999997</v>
      </c>
      <c r="D370" s="19">
        <v>11.6717</v>
      </c>
      <c r="E370" s="19">
        <v>278.43270000000001</v>
      </c>
      <c r="F370" s="19">
        <v>15.2986</v>
      </c>
      <c r="G370" s="19">
        <v>378.61410000000001</v>
      </c>
      <c r="H370" s="19">
        <v>4478.9750999999997</v>
      </c>
      <c r="I370" s="19">
        <v>8194.0637999999999</v>
      </c>
      <c r="J370" s="75">
        <v>-5550.0000000000009</v>
      </c>
      <c r="K370" s="75">
        <v>40236.299999999996</v>
      </c>
      <c r="L370" s="75">
        <v>-737.04</v>
      </c>
      <c r="M370" s="75">
        <v>46484.259999999995</v>
      </c>
      <c r="N370" s="75">
        <v>-14813.579999999998</v>
      </c>
      <c r="O370" s="75">
        <v>42259.35</v>
      </c>
      <c r="P370" s="75">
        <v>-26597.670000000002</v>
      </c>
      <c r="Q370" s="75">
        <v>-42752.76</v>
      </c>
      <c r="R370" s="75">
        <v>38528.859999999979</v>
      </c>
    </row>
    <row r="371" spans="1:18" x14ac:dyDescent="0.3">
      <c r="A371">
        <v>354</v>
      </c>
      <c r="B371" s="19">
        <v>49.782600000000002</v>
      </c>
      <c r="C371" s="19">
        <v>32.6203</v>
      </c>
      <c r="D371" s="19">
        <v>11.9452</v>
      </c>
      <c r="E371" s="19">
        <v>259.12619999999998</v>
      </c>
      <c r="F371" s="19">
        <v>15.5783</v>
      </c>
      <c r="G371" s="19">
        <v>362.14609999999999</v>
      </c>
      <c r="H371" s="19">
        <v>4541.9403000000002</v>
      </c>
      <c r="I371" s="19">
        <v>7877.0047999999997</v>
      </c>
      <c r="J371" s="75">
        <v>4052</v>
      </c>
      <c r="K371" s="75">
        <v>-5121.45</v>
      </c>
      <c r="L371" s="75">
        <v>23549.759999999998</v>
      </c>
      <c r="M371" s="75">
        <v>-26880.440000000002</v>
      </c>
      <c r="N371" s="75">
        <v>-2310.9900000000002</v>
      </c>
      <c r="O371" s="75">
        <v>-15378.650000000001</v>
      </c>
      <c r="P371" s="75">
        <v>-7708.11</v>
      </c>
      <c r="Q371" s="75">
        <v>-106164.56000000001</v>
      </c>
      <c r="R371" s="75">
        <v>-135962.44</v>
      </c>
    </row>
    <row r="372" spans="1:18" x14ac:dyDescent="0.3">
      <c r="A372">
        <v>355</v>
      </c>
      <c r="B372" s="19">
        <v>49.450899999999997</v>
      </c>
      <c r="C372" s="19">
        <v>32.601900000000001</v>
      </c>
      <c r="D372" s="19">
        <v>11.647</v>
      </c>
      <c r="E372" s="19">
        <v>257.44349999999997</v>
      </c>
      <c r="F372" s="19">
        <v>15.759499999999999</v>
      </c>
      <c r="G372" s="19">
        <v>368.47160000000002</v>
      </c>
      <c r="H372" s="19">
        <v>4492.1322</v>
      </c>
      <c r="I372" s="19">
        <v>8886.8884999999991</v>
      </c>
      <c r="J372" s="75">
        <v>-2582</v>
      </c>
      <c r="K372" s="75">
        <v>-5645.85</v>
      </c>
      <c r="L372" s="75">
        <v>-2930.4</v>
      </c>
      <c r="M372" s="75">
        <v>-33274.700000000004</v>
      </c>
      <c r="N372" s="75">
        <v>5788.6500000000005</v>
      </c>
      <c r="O372" s="75">
        <v>6760.6</v>
      </c>
      <c r="P372" s="75">
        <v>-22650.54</v>
      </c>
      <c r="Q372" s="75">
        <v>95812.180000000008</v>
      </c>
      <c r="R372" s="75">
        <v>41277.94</v>
      </c>
    </row>
    <row r="373" spans="1:18" x14ac:dyDescent="0.3">
      <c r="A373">
        <v>356</v>
      </c>
      <c r="B373" s="19">
        <v>49.932899999999997</v>
      </c>
      <c r="C373" s="19">
        <v>32.7179</v>
      </c>
      <c r="D373" s="19">
        <v>12.278</v>
      </c>
      <c r="E373" s="19">
        <v>265.94240000000002</v>
      </c>
      <c r="F373" s="19">
        <v>15.748900000000001</v>
      </c>
      <c r="G373" s="19">
        <v>367.53730000000002</v>
      </c>
      <c r="H373" s="19">
        <v>4631.0328</v>
      </c>
      <c r="I373" s="19">
        <v>8041.7816999999995</v>
      </c>
      <c r="J373" s="75">
        <v>7058</v>
      </c>
      <c r="K373" s="75">
        <v>-2339.8500000000004</v>
      </c>
      <c r="L373" s="75">
        <v>53102.400000000001</v>
      </c>
      <c r="M373" s="75">
        <v>-978.88</v>
      </c>
      <c r="N373" s="75">
        <v>5314.83</v>
      </c>
      <c r="O373" s="75">
        <v>3490.5499999999997</v>
      </c>
      <c r="P373" s="75">
        <v>19019.64</v>
      </c>
      <c r="Q373" s="75">
        <v>-73209.180000000008</v>
      </c>
      <c r="R373" s="75">
        <v>11457.509999999995</v>
      </c>
    </row>
    <row r="374" spans="1:18" x14ac:dyDescent="0.3">
      <c r="A374">
        <v>357</v>
      </c>
      <c r="B374" s="19">
        <v>49.8322</v>
      </c>
      <c r="C374" s="19">
        <v>33.051900000000003</v>
      </c>
      <c r="D374" s="19">
        <v>11.500999999999999</v>
      </c>
      <c r="E374" s="19">
        <v>268.42399999999998</v>
      </c>
      <c r="F374" s="19">
        <v>15.186</v>
      </c>
      <c r="G374" s="19">
        <v>361.36160000000001</v>
      </c>
      <c r="H374" s="19">
        <v>4580.5604000000003</v>
      </c>
      <c r="I374" s="19">
        <v>8957.7127</v>
      </c>
      <c r="J374" s="75">
        <v>5044</v>
      </c>
      <c r="K374" s="75">
        <v>7179.1500000000005</v>
      </c>
      <c r="L374" s="75">
        <v>-15895.199999999999</v>
      </c>
      <c r="M374" s="75">
        <v>8451.2000000000007</v>
      </c>
      <c r="N374" s="75">
        <v>-19846.8</v>
      </c>
      <c r="O374" s="75">
        <v>-18124.399999999998</v>
      </c>
      <c r="P374" s="75">
        <v>3877.9199999999996</v>
      </c>
      <c r="Q374" s="75">
        <v>109977.01999999999</v>
      </c>
      <c r="R374" s="75">
        <v>80662.889999999985</v>
      </c>
    </row>
    <row r="375" spans="1:18" x14ac:dyDescent="0.3">
      <c r="A375">
        <v>358</v>
      </c>
      <c r="B375" s="19">
        <v>49.486899999999999</v>
      </c>
      <c r="C375" s="19">
        <v>32.4497</v>
      </c>
      <c r="D375" s="19">
        <v>11.9406</v>
      </c>
      <c r="E375" s="19">
        <v>273.25459999999998</v>
      </c>
      <c r="F375" s="19">
        <v>15.9321</v>
      </c>
      <c r="G375" s="19">
        <v>371.64850000000001</v>
      </c>
      <c r="H375" s="19">
        <v>4578.1569</v>
      </c>
      <c r="I375" s="19">
        <v>8859.5588000000007</v>
      </c>
      <c r="J375" s="75">
        <v>-1862</v>
      </c>
      <c r="K375" s="75">
        <v>-9983.5499999999993</v>
      </c>
      <c r="L375" s="75">
        <v>23141.279999999999</v>
      </c>
      <c r="M375" s="75">
        <v>26807.48</v>
      </c>
      <c r="N375" s="75">
        <v>13503.869999999999</v>
      </c>
      <c r="O375" s="75">
        <v>17879.75</v>
      </c>
      <c r="P375" s="75">
        <v>3156.87</v>
      </c>
      <c r="Q375" s="75">
        <v>90346.240000000005</v>
      </c>
      <c r="R375" s="75">
        <v>162989.94</v>
      </c>
    </row>
    <row r="376" spans="1:18" x14ac:dyDescent="0.3">
      <c r="A376">
        <v>359</v>
      </c>
      <c r="B376" s="19">
        <v>48.945900000000002</v>
      </c>
      <c r="C376" s="19">
        <v>33.323300000000003</v>
      </c>
      <c r="D376" s="19">
        <v>11.3827</v>
      </c>
      <c r="E376" s="19">
        <v>271.62630000000001</v>
      </c>
      <c r="F376" s="19">
        <v>15.7965</v>
      </c>
      <c r="G376" s="19">
        <v>368.4135</v>
      </c>
      <c r="H376" s="19">
        <v>4651.3074999999999</v>
      </c>
      <c r="I376" s="19">
        <v>8354.6712000000007</v>
      </c>
      <c r="J376" s="75">
        <v>-12682</v>
      </c>
      <c r="K376" s="75">
        <v>14914.05</v>
      </c>
      <c r="L376" s="75">
        <v>-26400.240000000002</v>
      </c>
      <c r="M376" s="75">
        <v>20619.940000000002</v>
      </c>
      <c r="N376" s="75">
        <v>7442.55</v>
      </c>
      <c r="O376" s="75">
        <v>6557.25</v>
      </c>
      <c r="P376" s="75">
        <v>25102.050000000003</v>
      </c>
      <c r="Q376" s="75">
        <v>-10631.279999999999</v>
      </c>
      <c r="R376" s="75">
        <v>24922.320000000007</v>
      </c>
    </row>
    <row r="377" spans="1:18" x14ac:dyDescent="0.3">
      <c r="A377">
        <v>360</v>
      </c>
      <c r="B377" s="19">
        <v>49.457299999999996</v>
      </c>
      <c r="C377" s="19">
        <v>33.147100000000002</v>
      </c>
      <c r="D377" s="19">
        <v>11.5863</v>
      </c>
      <c r="E377" s="19">
        <v>271.95710000000003</v>
      </c>
      <c r="F377" s="19">
        <v>15.666499999999999</v>
      </c>
      <c r="G377" s="19">
        <v>372.15179999999998</v>
      </c>
      <c r="H377" s="19">
        <v>4572.7615999999998</v>
      </c>
      <c r="I377" s="19">
        <v>7595.8698999999997</v>
      </c>
      <c r="J377" s="75">
        <v>-2454</v>
      </c>
      <c r="K377" s="75">
        <v>9892.35</v>
      </c>
      <c r="L377" s="75">
        <v>-8320.5600000000013</v>
      </c>
      <c r="M377" s="75">
        <v>21876.98</v>
      </c>
      <c r="N377" s="75">
        <v>1631.55</v>
      </c>
      <c r="O377" s="75">
        <v>19641.3</v>
      </c>
      <c r="P377" s="75">
        <v>1538.28</v>
      </c>
      <c r="Q377" s="75">
        <v>-162391.54</v>
      </c>
      <c r="R377" s="75">
        <v>-118585.64000000001</v>
      </c>
    </row>
    <row r="378" spans="1:18" x14ac:dyDescent="0.3">
      <c r="A378">
        <v>361</v>
      </c>
      <c r="B378" s="19">
        <v>49.376600000000003</v>
      </c>
      <c r="C378" s="19">
        <v>32.725700000000003</v>
      </c>
      <c r="D378" s="19">
        <v>11.642899999999999</v>
      </c>
      <c r="E378" s="19">
        <v>276.8965</v>
      </c>
      <c r="F378" s="19">
        <v>15.6845</v>
      </c>
      <c r="G378" s="19">
        <v>374.65929999999997</v>
      </c>
      <c r="H378" s="19">
        <v>4552.3472000000002</v>
      </c>
      <c r="I378" s="19">
        <v>8128.5774000000001</v>
      </c>
      <c r="J378" s="75">
        <v>-4068</v>
      </c>
      <c r="K378" s="75">
        <v>-2117.5500000000002</v>
      </c>
      <c r="L378" s="75">
        <v>-3294.48</v>
      </c>
      <c r="M378" s="75">
        <v>40646.700000000004</v>
      </c>
      <c r="N378" s="75">
        <v>2436.15</v>
      </c>
      <c r="O378" s="75">
        <v>28417.550000000003</v>
      </c>
      <c r="P378" s="75">
        <v>-4586.04</v>
      </c>
      <c r="Q378" s="75">
        <v>-55850.04</v>
      </c>
      <c r="R378" s="75">
        <v>1584.2900000000081</v>
      </c>
    </row>
    <row r="379" spans="1:18" x14ac:dyDescent="0.3">
      <c r="A379">
        <v>362</v>
      </c>
      <c r="B379" s="19">
        <v>49.792000000000002</v>
      </c>
      <c r="C379" s="19">
        <v>32.210700000000003</v>
      </c>
      <c r="D379" s="19">
        <v>11.7455</v>
      </c>
      <c r="E379" s="19">
        <v>274.34660000000002</v>
      </c>
      <c r="F379" s="19">
        <v>16.268799999999999</v>
      </c>
      <c r="G379" s="19">
        <v>365.49630000000002</v>
      </c>
      <c r="H379" s="19">
        <v>4715.2091</v>
      </c>
      <c r="I379" s="19">
        <v>8522.0072</v>
      </c>
      <c r="J379" s="75">
        <v>4240</v>
      </c>
      <c r="K379" s="75">
        <v>-16795.050000000003</v>
      </c>
      <c r="L379" s="75">
        <v>5816.4000000000005</v>
      </c>
      <c r="M379" s="75">
        <v>30957.079999999998</v>
      </c>
      <c r="N379" s="75">
        <v>28554.36</v>
      </c>
      <c r="O379" s="75">
        <v>-3652.9500000000003</v>
      </c>
      <c r="P379" s="75">
        <v>44272.53</v>
      </c>
      <c r="Q379" s="75">
        <v>22835.919999999998</v>
      </c>
      <c r="R379" s="75">
        <v>116228.29</v>
      </c>
    </row>
    <row r="380" spans="1:18" x14ac:dyDescent="0.3">
      <c r="A380">
        <v>363</v>
      </c>
      <c r="B380" s="19">
        <v>49.344299999999997</v>
      </c>
      <c r="C380" s="19">
        <v>32.357900000000001</v>
      </c>
      <c r="D380" s="19">
        <v>12.0327</v>
      </c>
      <c r="E380" s="19">
        <v>254.72890000000001</v>
      </c>
      <c r="F380" s="19">
        <v>15.6061</v>
      </c>
      <c r="G380" s="19">
        <v>369.62560000000002</v>
      </c>
      <c r="H380" s="19">
        <v>4588.9151000000002</v>
      </c>
      <c r="I380" s="19">
        <v>8673.9750000000004</v>
      </c>
      <c r="J380" s="75">
        <v>-4714</v>
      </c>
      <c r="K380" s="75">
        <v>-12599.85</v>
      </c>
      <c r="L380" s="75">
        <v>31319.760000000002</v>
      </c>
      <c r="M380" s="75">
        <v>-43590.18</v>
      </c>
      <c r="N380" s="75">
        <v>-1068.3300000000002</v>
      </c>
      <c r="O380" s="75">
        <v>10799.6</v>
      </c>
      <c r="P380" s="75">
        <v>6384.33</v>
      </c>
      <c r="Q380" s="75">
        <v>53229.48</v>
      </c>
      <c r="R380" s="75">
        <v>39760.810000000005</v>
      </c>
    </row>
    <row r="381" spans="1:18" x14ac:dyDescent="0.3">
      <c r="A381">
        <v>364</v>
      </c>
      <c r="B381" s="19">
        <v>49.912999999999997</v>
      </c>
      <c r="C381" s="19">
        <v>32.433300000000003</v>
      </c>
      <c r="D381" s="19">
        <v>11.9857</v>
      </c>
      <c r="E381" s="19">
        <v>268.61399999999998</v>
      </c>
      <c r="F381" s="19">
        <v>15.543799999999999</v>
      </c>
      <c r="G381" s="19">
        <v>375.92520000000002</v>
      </c>
      <c r="H381" s="19">
        <v>4511.3972000000003</v>
      </c>
      <c r="I381" s="19">
        <v>8824.8039000000008</v>
      </c>
      <c r="J381" s="75">
        <v>6660</v>
      </c>
      <c r="K381" s="75">
        <v>-10450.950000000001</v>
      </c>
      <c r="L381" s="75">
        <v>27146.160000000003</v>
      </c>
      <c r="M381" s="75">
        <v>9173.2000000000007</v>
      </c>
      <c r="N381" s="75">
        <v>-3853.14</v>
      </c>
      <c r="O381" s="75">
        <v>32848.199999999997</v>
      </c>
      <c r="P381" s="75">
        <v>-16871.04</v>
      </c>
      <c r="Q381" s="75">
        <v>83395.259999999995</v>
      </c>
      <c r="R381" s="75">
        <v>128047.69</v>
      </c>
    </row>
    <row r="382" spans="1:18" x14ac:dyDescent="0.3">
      <c r="A382">
        <v>365</v>
      </c>
      <c r="B382" s="19">
        <v>49.113100000000003</v>
      </c>
      <c r="C382" s="19">
        <v>34.037399999999998</v>
      </c>
      <c r="D382" s="19">
        <v>11.972099999999999</v>
      </c>
      <c r="E382" s="19">
        <v>276.4479</v>
      </c>
      <c r="F382" s="19">
        <v>15.5565</v>
      </c>
      <c r="G382" s="19">
        <v>370.46710000000002</v>
      </c>
      <c r="H382" s="19">
        <v>4592.5205999999998</v>
      </c>
      <c r="I382" s="19">
        <v>8477.2634999999991</v>
      </c>
      <c r="J382" s="75">
        <v>-9338</v>
      </c>
      <c r="K382" s="75">
        <v>35265.9</v>
      </c>
      <c r="L382" s="75">
        <v>25938.480000000003</v>
      </c>
      <c r="M382" s="75">
        <v>38942.019999999997</v>
      </c>
      <c r="N382" s="75">
        <v>-3285.45</v>
      </c>
      <c r="O382" s="75">
        <v>13744.849999999999</v>
      </c>
      <c r="P382" s="75">
        <v>7465.9800000000005</v>
      </c>
      <c r="Q382" s="75">
        <v>13887.18</v>
      </c>
      <c r="R382" s="75">
        <v>122620.95999999999</v>
      </c>
    </row>
    <row r="383" spans="1:18" x14ac:dyDescent="0.3">
      <c r="A383">
        <v>366</v>
      </c>
      <c r="B383" s="19">
        <v>49.655000000000001</v>
      </c>
      <c r="C383" s="19">
        <v>31.7211</v>
      </c>
      <c r="D383" s="19">
        <v>11.4396</v>
      </c>
      <c r="E383" s="19">
        <v>264.73230000000001</v>
      </c>
      <c r="F383" s="19">
        <v>15.181800000000001</v>
      </c>
      <c r="G383" s="19">
        <v>368.27379999999999</v>
      </c>
      <c r="H383" s="19">
        <v>4563.8517000000002</v>
      </c>
      <c r="I383" s="19">
        <v>8237.8354999999992</v>
      </c>
      <c r="J383" s="75">
        <v>1500</v>
      </c>
      <c r="K383" s="75">
        <v>-30748.649999999998</v>
      </c>
      <c r="L383" s="75">
        <v>-21347.52</v>
      </c>
      <c r="M383" s="75">
        <v>-5577.26</v>
      </c>
      <c r="N383" s="75">
        <v>-20034.54</v>
      </c>
      <c r="O383" s="75">
        <v>6068.3</v>
      </c>
      <c r="P383" s="75">
        <v>-1134.69</v>
      </c>
      <c r="Q383" s="75">
        <v>-33998.42</v>
      </c>
      <c r="R383" s="75">
        <v>-105272.78</v>
      </c>
    </row>
    <row r="384" spans="1:18" x14ac:dyDescent="0.3">
      <c r="A384">
        <v>367</v>
      </c>
      <c r="B384" s="19">
        <v>50.286499999999997</v>
      </c>
      <c r="C384" s="19">
        <v>32.552</v>
      </c>
      <c r="D384" s="19">
        <v>11.9411</v>
      </c>
      <c r="E384" s="19">
        <v>275.80540000000002</v>
      </c>
      <c r="F384" s="19">
        <v>15.3348</v>
      </c>
      <c r="G384" s="19">
        <v>366.41590000000002</v>
      </c>
      <c r="H384" s="19">
        <v>4511.1562999999996</v>
      </c>
      <c r="I384" s="19">
        <v>8639.1309000000001</v>
      </c>
      <c r="J384" s="75">
        <v>14130</v>
      </c>
      <c r="K384" s="75">
        <v>-7068</v>
      </c>
      <c r="L384" s="75">
        <v>23185.68</v>
      </c>
      <c r="M384" s="75">
        <v>36500.519999999997</v>
      </c>
      <c r="N384" s="75">
        <v>-13195.44</v>
      </c>
      <c r="O384" s="75">
        <v>-434.35</v>
      </c>
      <c r="P384" s="75">
        <v>-16943.310000000001</v>
      </c>
      <c r="Q384" s="75">
        <v>46260.66</v>
      </c>
      <c r="R384" s="75">
        <v>82435.759999999995</v>
      </c>
    </row>
    <row r="385" spans="1:18" x14ac:dyDescent="0.3">
      <c r="A385">
        <v>368</v>
      </c>
      <c r="B385" s="19">
        <v>49.255699999999997</v>
      </c>
      <c r="C385" s="19">
        <v>33.040999999999997</v>
      </c>
      <c r="D385" s="19">
        <v>11.7865</v>
      </c>
      <c r="E385" s="19">
        <v>273.2192</v>
      </c>
      <c r="F385" s="19">
        <v>15.355399999999999</v>
      </c>
      <c r="G385" s="19">
        <v>371.95710000000003</v>
      </c>
      <c r="H385" s="19">
        <v>4515.9273000000003</v>
      </c>
      <c r="I385" s="19">
        <v>8928.4334999999992</v>
      </c>
      <c r="J385" s="75">
        <v>-6485.9999999999991</v>
      </c>
      <c r="K385" s="75">
        <v>6868.5</v>
      </c>
      <c r="L385" s="75">
        <v>9457.1999999999989</v>
      </c>
      <c r="M385" s="75">
        <v>26672.959999999999</v>
      </c>
      <c r="N385" s="75">
        <v>-12274.62</v>
      </c>
      <c r="O385" s="75">
        <v>18959.849999999999</v>
      </c>
      <c r="P385" s="75">
        <v>-15512.01</v>
      </c>
      <c r="Q385" s="75">
        <v>104121.18000000001</v>
      </c>
      <c r="R385" s="75">
        <v>131807.06</v>
      </c>
    </row>
    <row r="386" spans="1:18" x14ac:dyDescent="0.3">
      <c r="A386">
        <v>369</v>
      </c>
      <c r="B386" s="19">
        <v>50.220500000000001</v>
      </c>
      <c r="C386" s="19">
        <v>32.495399999999997</v>
      </c>
      <c r="D386" s="19">
        <v>11.353</v>
      </c>
      <c r="E386" s="19">
        <v>277.27449999999999</v>
      </c>
      <c r="F386" s="19">
        <v>16.084199999999999</v>
      </c>
      <c r="G386" s="19">
        <v>368.47680000000003</v>
      </c>
      <c r="H386" s="19">
        <v>4651.4885000000004</v>
      </c>
      <c r="I386" s="19">
        <v>8678.5059000000001</v>
      </c>
      <c r="J386" s="75">
        <v>12810</v>
      </c>
      <c r="K386" s="75">
        <v>-8681.1</v>
      </c>
      <c r="L386" s="75">
        <v>-29037.600000000002</v>
      </c>
      <c r="M386" s="75">
        <v>42083.1</v>
      </c>
      <c r="N386" s="75">
        <v>20302.739999999998</v>
      </c>
      <c r="O386" s="75">
        <v>6778.8</v>
      </c>
      <c r="P386" s="75">
        <v>25156.350000000002</v>
      </c>
      <c r="Q386" s="75">
        <v>54135.659999999996</v>
      </c>
      <c r="R386" s="75">
        <v>123547.94999999998</v>
      </c>
    </row>
    <row r="387" spans="1:18" x14ac:dyDescent="0.3">
      <c r="A387">
        <v>370</v>
      </c>
      <c r="B387" s="19">
        <v>49.0381</v>
      </c>
      <c r="C387" s="19">
        <v>32.537300000000002</v>
      </c>
      <c r="D387" s="19">
        <v>11.5572</v>
      </c>
      <c r="E387" s="19">
        <v>275.83170000000001</v>
      </c>
      <c r="F387" s="19">
        <v>15.937099999999999</v>
      </c>
      <c r="G387" s="19">
        <v>371.50170000000003</v>
      </c>
      <c r="H387" s="19">
        <v>4453.3982999999998</v>
      </c>
      <c r="I387" s="19">
        <v>8856.4541000000008</v>
      </c>
      <c r="J387" s="75">
        <v>-10838.000000000002</v>
      </c>
      <c r="K387" s="75">
        <v>-7486.95</v>
      </c>
      <c r="L387" s="75">
        <v>-10904.640000000001</v>
      </c>
      <c r="M387" s="75">
        <v>36600.46</v>
      </c>
      <c r="N387" s="75">
        <v>13727.369999999999</v>
      </c>
      <c r="O387" s="75">
        <v>17365.95</v>
      </c>
      <c r="P387" s="75">
        <v>-34270.71</v>
      </c>
      <c r="Q387" s="75">
        <v>89725.3</v>
      </c>
      <c r="R387" s="75">
        <v>93918.78</v>
      </c>
    </row>
    <row r="388" spans="1:18" x14ac:dyDescent="0.3">
      <c r="A388">
        <v>371</v>
      </c>
      <c r="B388" s="19">
        <v>50.476100000000002</v>
      </c>
      <c r="C388" s="19">
        <v>32.262900000000002</v>
      </c>
      <c r="D388" s="19">
        <v>11.6934</v>
      </c>
      <c r="E388" s="19">
        <v>261.08550000000002</v>
      </c>
      <c r="F388" s="19">
        <v>15.4564</v>
      </c>
      <c r="G388" s="19">
        <v>369.64609999999999</v>
      </c>
      <c r="H388" s="19">
        <v>4565.9811</v>
      </c>
      <c r="I388" s="19">
        <v>8713.9986000000008</v>
      </c>
      <c r="J388" s="75">
        <v>17922</v>
      </c>
      <c r="K388" s="75">
        <v>-15307.35</v>
      </c>
      <c r="L388" s="75">
        <v>1189.92</v>
      </c>
      <c r="M388" s="75">
        <v>-19435.099999999999</v>
      </c>
      <c r="N388" s="75">
        <v>-7759.92</v>
      </c>
      <c r="O388" s="75">
        <v>10871.35</v>
      </c>
      <c r="P388" s="75">
        <v>-495.87</v>
      </c>
      <c r="Q388" s="75">
        <v>61234.2</v>
      </c>
      <c r="R388" s="75">
        <v>48219.229999999996</v>
      </c>
    </row>
    <row r="389" spans="1:18" x14ac:dyDescent="0.3">
      <c r="A389">
        <v>372</v>
      </c>
      <c r="B389" s="19">
        <v>49.6997</v>
      </c>
      <c r="C389" s="19">
        <v>32.545499999999997</v>
      </c>
      <c r="D389" s="19">
        <v>11.7544</v>
      </c>
      <c r="E389" s="19">
        <v>269.48050000000001</v>
      </c>
      <c r="F389" s="19">
        <v>15.3674</v>
      </c>
      <c r="G389" s="19">
        <v>360.88249999999999</v>
      </c>
      <c r="H389" s="19">
        <v>4548.7362999999996</v>
      </c>
      <c r="I389" s="19">
        <v>8576.6947</v>
      </c>
      <c r="J389" s="75">
        <v>2394</v>
      </c>
      <c r="K389" s="75">
        <v>-7253.25</v>
      </c>
      <c r="L389" s="75">
        <v>6606.7199999999993</v>
      </c>
      <c r="M389" s="75">
        <v>12465.9</v>
      </c>
      <c r="N389" s="75">
        <v>-11738.22</v>
      </c>
      <c r="O389" s="75">
        <v>-19801.25</v>
      </c>
      <c r="P389" s="75">
        <v>-5669.31</v>
      </c>
      <c r="Q389" s="75">
        <v>33773.42</v>
      </c>
      <c r="R389" s="75">
        <v>10778.009999999998</v>
      </c>
    </row>
    <row r="390" spans="1:18" x14ac:dyDescent="0.3">
      <c r="A390">
        <v>373</v>
      </c>
      <c r="B390" s="19">
        <v>49.6614</v>
      </c>
      <c r="C390" s="19">
        <v>32.741399999999999</v>
      </c>
      <c r="D390" s="19">
        <v>11.802</v>
      </c>
      <c r="E390" s="19">
        <v>266.68450000000001</v>
      </c>
      <c r="F390" s="19">
        <v>15.1539</v>
      </c>
      <c r="G390" s="19">
        <v>371.75900000000001</v>
      </c>
      <c r="H390" s="19">
        <v>4495.6992</v>
      </c>
      <c r="I390" s="19">
        <v>9110.0632000000005</v>
      </c>
      <c r="J390" s="75">
        <v>1628</v>
      </c>
      <c r="K390" s="75">
        <v>-1670.1</v>
      </c>
      <c r="L390" s="75">
        <v>10833.6</v>
      </c>
      <c r="M390" s="75">
        <v>1841.1</v>
      </c>
      <c r="N390" s="75">
        <v>-21281.670000000002</v>
      </c>
      <c r="O390" s="75">
        <v>18266.5</v>
      </c>
      <c r="P390" s="75">
        <v>-21580.44</v>
      </c>
      <c r="Q390" s="75">
        <v>140447.12</v>
      </c>
      <c r="R390" s="75">
        <v>128484.11</v>
      </c>
    </row>
    <row r="391" spans="1:18" x14ac:dyDescent="0.3">
      <c r="A391">
        <v>374</v>
      </c>
      <c r="B391" s="19">
        <v>50.1098</v>
      </c>
      <c r="C391" s="19">
        <v>33.467799999999997</v>
      </c>
      <c r="D391" s="19">
        <v>11.5464</v>
      </c>
      <c r="E391" s="19">
        <v>273.29509999999999</v>
      </c>
      <c r="F391" s="19">
        <v>15.6752</v>
      </c>
      <c r="G391" s="19">
        <v>367.75380000000001</v>
      </c>
      <c r="H391" s="19">
        <v>4422.1076000000003</v>
      </c>
      <c r="I391" s="19">
        <v>7975.1850000000004</v>
      </c>
      <c r="J391" s="75">
        <v>10596.000000000002</v>
      </c>
      <c r="K391" s="75">
        <v>19032.3</v>
      </c>
      <c r="L391" s="75">
        <v>-11863.68</v>
      </c>
      <c r="M391" s="75">
        <v>26961.38</v>
      </c>
      <c r="N391" s="75">
        <v>2020.4399999999998</v>
      </c>
      <c r="O391" s="75">
        <v>4248.3</v>
      </c>
      <c r="P391" s="75">
        <v>-43657.919999999998</v>
      </c>
      <c r="Q391" s="75">
        <v>-86528.52</v>
      </c>
      <c r="R391" s="75">
        <v>-79191.7</v>
      </c>
    </row>
    <row r="392" spans="1:18" x14ac:dyDescent="0.3">
      <c r="A392">
        <v>375</v>
      </c>
      <c r="B392" s="19">
        <v>49.634999999999998</v>
      </c>
      <c r="C392" s="19">
        <v>31.911999999999999</v>
      </c>
      <c r="D392" s="19">
        <v>11.5517</v>
      </c>
      <c r="E392" s="19">
        <v>265.67489999999998</v>
      </c>
      <c r="F392" s="19">
        <v>15.7499</v>
      </c>
      <c r="G392" s="19">
        <v>367.96629999999999</v>
      </c>
      <c r="H392" s="19">
        <v>4647.1596</v>
      </c>
      <c r="I392" s="19">
        <v>8485.7546000000002</v>
      </c>
      <c r="J392" s="75">
        <v>1100</v>
      </c>
      <c r="K392" s="75">
        <v>-25308</v>
      </c>
      <c r="L392" s="75">
        <v>-11393.039999999999</v>
      </c>
      <c r="M392" s="75">
        <v>-1995.38</v>
      </c>
      <c r="N392" s="75">
        <v>5359.5300000000007</v>
      </c>
      <c r="O392" s="75">
        <v>4992.0499999999993</v>
      </c>
      <c r="P392" s="75">
        <v>23857.68</v>
      </c>
      <c r="Q392" s="75">
        <v>15585.400000000001</v>
      </c>
      <c r="R392" s="75">
        <v>12198.240000000002</v>
      </c>
    </row>
    <row r="393" spans="1:18" x14ac:dyDescent="0.3">
      <c r="A393">
        <v>376</v>
      </c>
      <c r="B393" s="19">
        <v>49.258400000000002</v>
      </c>
      <c r="C393" s="19">
        <v>33.118200000000002</v>
      </c>
      <c r="D393" s="19">
        <v>11.6235</v>
      </c>
      <c r="E393" s="19">
        <v>263.12310000000002</v>
      </c>
      <c r="F393" s="19">
        <v>15.7593</v>
      </c>
      <c r="G393" s="19">
        <v>381.21929999999998</v>
      </c>
      <c r="H393" s="19">
        <v>4641.0882000000001</v>
      </c>
      <c r="I393" s="19">
        <v>7642.4727999999996</v>
      </c>
      <c r="J393" s="75">
        <v>-6432</v>
      </c>
      <c r="K393" s="75">
        <v>9068.6999999999989</v>
      </c>
      <c r="L393" s="75">
        <v>-5017.2</v>
      </c>
      <c r="M393" s="75">
        <v>-11692.220000000001</v>
      </c>
      <c r="N393" s="75">
        <v>5779.71</v>
      </c>
      <c r="O393" s="75">
        <v>51377.549999999996</v>
      </c>
      <c r="P393" s="75">
        <v>22036.26</v>
      </c>
      <c r="Q393" s="75">
        <v>-153070.96</v>
      </c>
      <c r="R393" s="75">
        <v>-87950.16</v>
      </c>
    </row>
    <row r="394" spans="1:18" x14ac:dyDescent="0.3">
      <c r="A394">
        <v>377</v>
      </c>
      <c r="B394" s="19">
        <v>50.017499999999998</v>
      </c>
      <c r="C394" s="19">
        <v>32.064799999999998</v>
      </c>
      <c r="D394" s="19">
        <v>11.585699999999999</v>
      </c>
      <c r="E394" s="19">
        <v>271.0822</v>
      </c>
      <c r="F394" s="19">
        <v>15.514799999999999</v>
      </c>
      <c r="G394" s="19">
        <v>387.89240000000001</v>
      </c>
      <c r="H394" s="19">
        <v>4615.5937999999996</v>
      </c>
      <c r="I394" s="19">
        <v>9008.4017000000003</v>
      </c>
      <c r="J394" s="75">
        <v>8750</v>
      </c>
      <c r="K394" s="75">
        <v>-20953.2</v>
      </c>
      <c r="L394" s="75">
        <v>-8373.84</v>
      </c>
      <c r="M394" s="75">
        <v>18552.36</v>
      </c>
      <c r="N394" s="75">
        <v>-5149.4399999999996</v>
      </c>
      <c r="O394" s="75">
        <v>74733.399999999994</v>
      </c>
      <c r="P394" s="75">
        <v>14387.94</v>
      </c>
      <c r="Q394" s="75">
        <v>120114.82</v>
      </c>
      <c r="R394" s="75">
        <v>202062.04</v>
      </c>
    </row>
    <row r="395" spans="1:18" x14ac:dyDescent="0.3">
      <c r="A395">
        <v>378</v>
      </c>
      <c r="B395" s="19">
        <v>48.936900000000001</v>
      </c>
      <c r="C395" s="19">
        <v>32.930500000000002</v>
      </c>
      <c r="D395" s="19">
        <v>11.757999999999999</v>
      </c>
      <c r="E395" s="19">
        <v>266.86750000000001</v>
      </c>
      <c r="F395" s="19">
        <v>15.4916</v>
      </c>
      <c r="G395" s="19">
        <v>356.25479999999999</v>
      </c>
      <c r="H395" s="19">
        <v>4562.0389999999998</v>
      </c>
      <c r="I395" s="19">
        <v>8081.5114999999996</v>
      </c>
      <c r="J395" s="75">
        <v>-12862</v>
      </c>
      <c r="K395" s="75">
        <v>3719.25</v>
      </c>
      <c r="L395" s="75">
        <v>6926.4</v>
      </c>
      <c r="M395" s="75">
        <v>2536.5</v>
      </c>
      <c r="N395" s="75">
        <v>-6186.48</v>
      </c>
      <c r="O395" s="75">
        <v>-35998.199999999997</v>
      </c>
      <c r="P395" s="75">
        <v>-1678.5</v>
      </c>
      <c r="Q395" s="75">
        <v>-65263.22</v>
      </c>
      <c r="R395" s="75">
        <v>-108806.25</v>
      </c>
    </row>
    <row r="396" spans="1:18" x14ac:dyDescent="0.3">
      <c r="A396">
        <v>379</v>
      </c>
      <c r="B396" s="19">
        <v>49.488100000000003</v>
      </c>
      <c r="C396" s="19">
        <v>33.006300000000003</v>
      </c>
      <c r="D396" s="19">
        <v>11.771000000000001</v>
      </c>
      <c r="E396" s="19">
        <v>267.73779999999999</v>
      </c>
      <c r="F396" s="19">
        <v>15.956200000000001</v>
      </c>
      <c r="G396" s="19">
        <v>374.33890000000002</v>
      </c>
      <c r="H396" s="19">
        <v>4444.1130999999996</v>
      </c>
      <c r="I396" s="19">
        <v>8607.4102000000003</v>
      </c>
      <c r="J396" s="75">
        <v>-1838</v>
      </c>
      <c r="K396" s="75">
        <v>5879.55</v>
      </c>
      <c r="L396" s="75">
        <v>8080.8</v>
      </c>
      <c r="M396" s="75">
        <v>5843.64</v>
      </c>
      <c r="N396" s="75">
        <v>14581.14</v>
      </c>
      <c r="O396" s="75">
        <v>27296.149999999998</v>
      </c>
      <c r="P396" s="75">
        <v>-37056.269999999997</v>
      </c>
      <c r="Q396" s="75">
        <v>39916.520000000004</v>
      </c>
      <c r="R396" s="75">
        <v>62703.530000000006</v>
      </c>
    </row>
    <row r="397" spans="1:18" x14ac:dyDescent="0.3">
      <c r="A397">
        <v>380</v>
      </c>
      <c r="B397" s="19">
        <v>49.8568</v>
      </c>
      <c r="C397" s="19">
        <v>33.1417</v>
      </c>
      <c r="D397" s="19">
        <v>11.6134</v>
      </c>
      <c r="E397" s="19">
        <v>265.64150000000001</v>
      </c>
      <c r="F397" s="19">
        <v>15.1867</v>
      </c>
      <c r="G397" s="19">
        <v>374.78879999999998</v>
      </c>
      <c r="H397" s="19">
        <v>4749.1508000000003</v>
      </c>
      <c r="I397" s="19">
        <v>9122.8966999999993</v>
      </c>
      <c r="J397" s="75">
        <v>5536</v>
      </c>
      <c r="K397" s="75">
        <v>9738.4500000000007</v>
      </c>
      <c r="L397" s="75">
        <v>-5914.0800000000008</v>
      </c>
      <c r="M397" s="75">
        <v>-2122.3000000000002</v>
      </c>
      <c r="N397" s="75">
        <v>-19815.510000000002</v>
      </c>
      <c r="O397" s="75">
        <v>28870.799999999996</v>
      </c>
      <c r="P397" s="75">
        <v>54455.039999999994</v>
      </c>
      <c r="Q397" s="75">
        <v>143013.82</v>
      </c>
      <c r="R397" s="75">
        <v>213762.22</v>
      </c>
    </row>
    <row r="398" spans="1:18" x14ac:dyDescent="0.3">
      <c r="A398">
        <v>381</v>
      </c>
      <c r="B398" s="19">
        <v>49.259099999999997</v>
      </c>
      <c r="C398" s="19">
        <v>32.652500000000003</v>
      </c>
      <c r="D398" s="19">
        <v>11.6586</v>
      </c>
      <c r="E398" s="19">
        <v>263.81950000000001</v>
      </c>
      <c r="F398" s="19">
        <v>15.606299999999999</v>
      </c>
      <c r="G398" s="19">
        <v>376.36930000000001</v>
      </c>
      <c r="H398" s="19">
        <v>4559.9791999999998</v>
      </c>
      <c r="I398" s="19">
        <v>8329.2441999999992</v>
      </c>
      <c r="J398" s="75">
        <v>-6418</v>
      </c>
      <c r="K398" s="75">
        <v>-4203.75</v>
      </c>
      <c r="L398" s="75">
        <v>-1900.32</v>
      </c>
      <c r="M398" s="75">
        <v>-9045.9</v>
      </c>
      <c r="N398" s="75">
        <v>-1059.3899999999999</v>
      </c>
      <c r="O398" s="75">
        <v>34402.550000000003</v>
      </c>
      <c r="P398" s="75">
        <v>-2296.44</v>
      </c>
      <c r="Q398" s="75">
        <v>-15716.68</v>
      </c>
      <c r="R398" s="75">
        <v>-6237.9299999999985</v>
      </c>
    </row>
    <row r="399" spans="1:18" x14ac:dyDescent="0.3">
      <c r="A399">
        <v>382</v>
      </c>
      <c r="B399" s="19">
        <v>49.421599999999998</v>
      </c>
      <c r="C399" s="19">
        <v>33.113</v>
      </c>
      <c r="D399" s="19">
        <v>11.5624</v>
      </c>
      <c r="E399" s="19">
        <v>271.42689999999999</v>
      </c>
      <c r="F399" s="19">
        <v>15.6409</v>
      </c>
      <c r="G399" s="19">
        <v>367.22340000000003</v>
      </c>
      <c r="H399" s="19">
        <v>4558.5249999999996</v>
      </c>
      <c r="I399" s="19">
        <v>8085.6243000000004</v>
      </c>
      <c r="J399" s="75">
        <v>-3168.0000000000005</v>
      </c>
      <c r="K399" s="75">
        <v>8920.5</v>
      </c>
      <c r="L399" s="75">
        <v>-10442.879999999999</v>
      </c>
      <c r="M399" s="75">
        <v>19862.219999999998</v>
      </c>
      <c r="N399" s="75">
        <v>487.23</v>
      </c>
      <c r="O399" s="75">
        <v>2391.9</v>
      </c>
      <c r="P399" s="75">
        <v>-2732.7</v>
      </c>
      <c r="Q399" s="75">
        <v>-64440.66</v>
      </c>
      <c r="R399" s="75">
        <v>-49122.390000000007</v>
      </c>
    </row>
    <row r="400" spans="1:18" x14ac:dyDescent="0.3">
      <c r="A400">
        <v>383</v>
      </c>
      <c r="B400" s="19">
        <v>49.442500000000003</v>
      </c>
      <c r="C400" s="19">
        <v>32.311700000000002</v>
      </c>
      <c r="D400" s="19">
        <v>11.841200000000001</v>
      </c>
      <c r="E400" s="19">
        <v>268.3997</v>
      </c>
      <c r="F400" s="19">
        <v>15.7271</v>
      </c>
      <c r="G400" s="19">
        <v>373.93049999999999</v>
      </c>
      <c r="H400" s="19">
        <v>4638.7079999999996</v>
      </c>
      <c r="I400" s="19">
        <v>8811.8292999999994</v>
      </c>
      <c r="J400" s="75">
        <v>-2750</v>
      </c>
      <c r="K400" s="75">
        <v>-13916.550000000001</v>
      </c>
      <c r="L400" s="75">
        <v>14314.560000000001</v>
      </c>
      <c r="M400" s="75">
        <v>8358.86</v>
      </c>
      <c r="N400" s="75">
        <v>4340.37</v>
      </c>
      <c r="O400" s="75">
        <v>25866.75</v>
      </c>
      <c r="P400" s="75">
        <v>21322.2</v>
      </c>
      <c r="Q400" s="75">
        <v>80800.340000000011</v>
      </c>
      <c r="R400" s="75">
        <v>138336.53000000003</v>
      </c>
    </row>
    <row r="401" spans="1:18" x14ac:dyDescent="0.3">
      <c r="A401">
        <v>384</v>
      </c>
      <c r="B401" s="19">
        <v>49.582700000000003</v>
      </c>
      <c r="C401" s="19">
        <v>33.512099999999997</v>
      </c>
      <c r="D401" s="19">
        <v>12.03</v>
      </c>
      <c r="E401" s="19">
        <v>270.59910000000002</v>
      </c>
      <c r="F401" s="19">
        <v>15.8962</v>
      </c>
      <c r="G401" s="19">
        <v>377.92790000000002</v>
      </c>
      <c r="H401" s="19">
        <v>4465.0509000000002</v>
      </c>
      <c r="I401" s="19">
        <v>8115.4957999999997</v>
      </c>
      <c r="J401" s="75">
        <v>54</v>
      </c>
      <c r="K401" s="75">
        <v>20294.849999999999</v>
      </c>
      <c r="L401" s="75">
        <v>31079.999999999996</v>
      </c>
      <c r="M401" s="75">
        <v>16716.579999999998</v>
      </c>
      <c r="N401" s="75">
        <v>11899.14</v>
      </c>
      <c r="O401" s="75">
        <v>39857.65</v>
      </c>
      <c r="P401" s="75">
        <v>-30774.93</v>
      </c>
      <c r="Q401" s="75">
        <v>-58466.36</v>
      </c>
      <c r="R401" s="75">
        <v>30660.930000000008</v>
      </c>
    </row>
    <row r="402" spans="1:18" x14ac:dyDescent="0.3">
      <c r="A402">
        <v>385</v>
      </c>
      <c r="B402" s="19">
        <v>49.291899999999998</v>
      </c>
      <c r="C402" s="19">
        <v>32.547199999999997</v>
      </c>
      <c r="D402" s="19">
        <v>11.7163</v>
      </c>
      <c r="E402" s="19">
        <v>283.42450000000002</v>
      </c>
      <c r="F402" s="19">
        <v>15.386699999999999</v>
      </c>
      <c r="G402" s="19">
        <v>375.51089999999999</v>
      </c>
      <c r="H402" s="19">
        <v>4599.0331999999999</v>
      </c>
      <c r="I402" s="19">
        <v>8704.7644</v>
      </c>
      <c r="J402" s="75">
        <v>-5762</v>
      </c>
      <c r="K402" s="75">
        <v>-7204.8000000000011</v>
      </c>
      <c r="L402" s="75">
        <v>3223.44</v>
      </c>
      <c r="M402" s="75">
        <v>65453.1</v>
      </c>
      <c r="N402" s="75">
        <v>-10875.51</v>
      </c>
      <c r="O402" s="75">
        <v>31398.15</v>
      </c>
      <c r="P402" s="75">
        <v>9419.76</v>
      </c>
      <c r="Q402" s="75">
        <v>59387.360000000001</v>
      </c>
      <c r="R402" s="75">
        <v>145039.5</v>
      </c>
    </row>
    <row r="403" spans="1:18" x14ac:dyDescent="0.3">
      <c r="A403">
        <v>386</v>
      </c>
      <c r="B403" s="19">
        <v>49.6419</v>
      </c>
      <c r="C403" s="19">
        <v>32.047600000000003</v>
      </c>
      <c r="D403" s="19">
        <v>11.407500000000001</v>
      </c>
      <c r="E403" s="19">
        <v>262.52730000000003</v>
      </c>
      <c r="F403" s="19">
        <v>15.496700000000001</v>
      </c>
      <c r="G403" s="19">
        <v>363.65690000000001</v>
      </c>
      <c r="H403" s="19">
        <v>4599.9075000000003</v>
      </c>
      <c r="I403" s="19">
        <v>7960.5321000000004</v>
      </c>
      <c r="J403" s="75">
        <v>1238</v>
      </c>
      <c r="K403" s="75">
        <v>-21443.399999999998</v>
      </c>
      <c r="L403" s="75">
        <v>-24198</v>
      </c>
      <c r="M403" s="75">
        <v>-13956.26</v>
      </c>
      <c r="N403" s="75">
        <v>-5958.51</v>
      </c>
      <c r="O403" s="75">
        <v>-10090.85</v>
      </c>
      <c r="P403" s="75">
        <v>9682.0499999999993</v>
      </c>
      <c r="Q403" s="75">
        <v>-89459.1</v>
      </c>
      <c r="R403" s="75">
        <v>-154186.07</v>
      </c>
    </row>
    <row r="404" spans="1:18" x14ac:dyDescent="0.3">
      <c r="A404">
        <v>387</v>
      </c>
      <c r="B404" s="19">
        <v>49.207999999999998</v>
      </c>
      <c r="C404" s="19">
        <v>32.513300000000001</v>
      </c>
      <c r="D404" s="19">
        <v>11.5236</v>
      </c>
      <c r="E404" s="19">
        <v>276.17009999999999</v>
      </c>
      <c r="F404" s="19">
        <v>15.7874</v>
      </c>
      <c r="G404" s="19">
        <v>368.74979999999999</v>
      </c>
      <c r="H404" s="19">
        <v>4489.2888999999996</v>
      </c>
      <c r="I404" s="19">
        <v>8059.1327000000001</v>
      </c>
      <c r="J404" s="75">
        <v>-7440</v>
      </c>
      <c r="K404" s="75">
        <v>-8170.9500000000007</v>
      </c>
      <c r="L404" s="75">
        <v>-13888.320000000002</v>
      </c>
      <c r="M404" s="75">
        <v>37886.380000000005</v>
      </c>
      <c r="N404" s="75">
        <v>7035.7800000000007</v>
      </c>
      <c r="O404" s="75">
        <v>7734.3</v>
      </c>
      <c r="P404" s="75">
        <v>-23503.53</v>
      </c>
      <c r="Q404" s="75">
        <v>-69738.98000000001</v>
      </c>
      <c r="R404" s="75">
        <v>-70085.320000000007</v>
      </c>
    </row>
    <row r="405" spans="1:18" x14ac:dyDescent="0.3">
      <c r="A405">
        <v>388</v>
      </c>
      <c r="B405" s="19">
        <v>48.948099999999997</v>
      </c>
      <c r="C405" s="19">
        <v>32.956699999999998</v>
      </c>
      <c r="D405" s="19">
        <v>11.9511</v>
      </c>
      <c r="E405" s="19">
        <v>276.45299999999997</v>
      </c>
      <c r="F405" s="19">
        <v>15.627800000000001</v>
      </c>
      <c r="G405" s="19">
        <v>370.74250000000001</v>
      </c>
      <c r="H405" s="19">
        <v>4539.6301000000003</v>
      </c>
      <c r="I405" s="19">
        <v>8113.0068000000001</v>
      </c>
      <c r="J405" s="75">
        <v>-12638</v>
      </c>
      <c r="K405" s="75">
        <v>4465.95</v>
      </c>
      <c r="L405" s="75">
        <v>24073.68</v>
      </c>
      <c r="M405" s="75">
        <v>38961.4</v>
      </c>
      <c r="N405" s="75">
        <v>-98.34</v>
      </c>
      <c r="O405" s="75">
        <v>14708.749999999998</v>
      </c>
      <c r="P405" s="75">
        <v>-8401.17</v>
      </c>
      <c r="Q405" s="75">
        <v>-58964.160000000003</v>
      </c>
      <c r="R405" s="75">
        <v>2108.1100000000006</v>
      </c>
    </row>
    <row r="406" spans="1:18" x14ac:dyDescent="0.3">
      <c r="A406">
        <v>389</v>
      </c>
      <c r="B406" s="19">
        <v>50.092500000000001</v>
      </c>
      <c r="C406" s="19">
        <v>32.287100000000002</v>
      </c>
      <c r="D406" s="19">
        <v>11.769600000000001</v>
      </c>
      <c r="E406" s="19">
        <v>266.76479999999998</v>
      </c>
      <c r="F406" s="19">
        <v>15.8385</v>
      </c>
      <c r="G406" s="19">
        <v>374.05549999999999</v>
      </c>
      <c r="H406" s="19">
        <v>4472.8370999999997</v>
      </c>
      <c r="I406" s="19">
        <v>8071.4340000000002</v>
      </c>
      <c r="J406" s="75">
        <v>10250</v>
      </c>
      <c r="K406" s="75">
        <v>-14617.650000000001</v>
      </c>
      <c r="L406" s="75">
        <v>7956.48</v>
      </c>
      <c r="M406" s="75">
        <v>2146.2399999999998</v>
      </c>
      <c r="N406" s="75">
        <v>9319.9499999999989</v>
      </c>
      <c r="O406" s="75">
        <v>26304.25</v>
      </c>
      <c r="P406" s="75">
        <v>-28439.07</v>
      </c>
      <c r="Q406" s="75">
        <v>-67278.720000000001</v>
      </c>
      <c r="R406" s="75">
        <v>-54358.520000000004</v>
      </c>
    </row>
    <row r="407" spans="1:18" x14ac:dyDescent="0.3">
      <c r="A407">
        <v>390</v>
      </c>
      <c r="B407" s="19">
        <v>49.031599999999997</v>
      </c>
      <c r="C407" s="19">
        <v>33.3367</v>
      </c>
      <c r="D407" s="19">
        <v>11.5853</v>
      </c>
      <c r="E407" s="19">
        <v>268.53969999999998</v>
      </c>
      <c r="F407" s="19">
        <v>15.174899999999999</v>
      </c>
      <c r="G407" s="19">
        <v>374.89280000000002</v>
      </c>
      <c r="H407" s="19">
        <v>4630.8910999999998</v>
      </c>
      <c r="I407" s="19">
        <v>9036.2297999999992</v>
      </c>
      <c r="J407" s="75">
        <v>-10968</v>
      </c>
      <c r="K407" s="75">
        <v>15295.949999999999</v>
      </c>
      <c r="L407" s="75">
        <v>-8409.36</v>
      </c>
      <c r="M407" s="75">
        <v>8890.86</v>
      </c>
      <c r="N407" s="75">
        <v>-20342.97</v>
      </c>
      <c r="O407" s="75">
        <v>29234.799999999999</v>
      </c>
      <c r="P407" s="75">
        <v>18977.13</v>
      </c>
      <c r="Q407" s="75">
        <v>125680.44</v>
      </c>
      <c r="R407" s="75">
        <v>158358.85</v>
      </c>
    </row>
    <row r="408" spans="1:18" x14ac:dyDescent="0.3">
      <c r="A408">
        <v>391</v>
      </c>
      <c r="B408" s="19">
        <v>49.722000000000001</v>
      </c>
      <c r="C408" s="19">
        <v>32.291600000000003</v>
      </c>
      <c r="D408" s="19">
        <v>11.6091</v>
      </c>
      <c r="E408" s="19">
        <v>268.4205</v>
      </c>
      <c r="F408" s="19">
        <v>15.254099999999999</v>
      </c>
      <c r="G408" s="19">
        <v>368.96120000000002</v>
      </c>
      <c r="H408" s="19">
        <v>4452.8999999999996</v>
      </c>
      <c r="I408" s="19">
        <v>8658.0074000000004</v>
      </c>
      <c r="J408" s="75">
        <v>2839.9999999999995</v>
      </c>
      <c r="K408" s="75">
        <v>-14489.4</v>
      </c>
      <c r="L408" s="75">
        <v>-6295.92</v>
      </c>
      <c r="M408" s="75">
        <v>8437.9</v>
      </c>
      <c r="N408" s="75">
        <v>-16802.73</v>
      </c>
      <c r="O408" s="75">
        <v>8474.1999999999989</v>
      </c>
      <c r="P408" s="75">
        <v>-34420.199999999997</v>
      </c>
      <c r="Q408" s="75">
        <v>50035.96</v>
      </c>
      <c r="R408" s="75">
        <v>-2220.1900000000023</v>
      </c>
    </row>
    <row r="409" spans="1:18" x14ac:dyDescent="0.3">
      <c r="A409">
        <v>392</v>
      </c>
      <c r="B409" s="19">
        <v>50.104300000000002</v>
      </c>
      <c r="C409" s="19">
        <v>32.689799999999998</v>
      </c>
      <c r="D409" s="19">
        <v>11.581099999999999</v>
      </c>
      <c r="E409" s="19">
        <v>262.33580000000001</v>
      </c>
      <c r="F409" s="19">
        <v>16.263000000000002</v>
      </c>
      <c r="G409" s="19">
        <v>366.5376</v>
      </c>
      <c r="H409" s="19">
        <v>4648.9165000000003</v>
      </c>
      <c r="I409" s="19">
        <v>8426.6723999999995</v>
      </c>
      <c r="J409" s="75">
        <v>10486</v>
      </c>
      <c r="K409" s="75">
        <v>-3140.7000000000003</v>
      </c>
      <c r="L409" s="75">
        <v>-8782.32</v>
      </c>
      <c r="M409" s="75">
        <v>-14683.96</v>
      </c>
      <c r="N409" s="75">
        <v>28295.1</v>
      </c>
      <c r="O409" s="75">
        <v>-8.3999999999999986</v>
      </c>
      <c r="P409" s="75">
        <v>24384.75</v>
      </c>
      <c r="Q409" s="75">
        <v>3768.96</v>
      </c>
      <c r="R409" s="75">
        <v>40319.43</v>
      </c>
    </row>
    <row r="410" spans="1:18" x14ac:dyDescent="0.3">
      <c r="A410">
        <v>393</v>
      </c>
      <c r="B410" s="19">
        <v>49.239699999999999</v>
      </c>
      <c r="C410" s="19">
        <v>33.475299999999997</v>
      </c>
      <c r="D410" s="19">
        <v>12.074199999999999</v>
      </c>
      <c r="E410" s="19">
        <v>271.92320000000001</v>
      </c>
      <c r="F410" s="19">
        <v>15.9323</v>
      </c>
      <c r="G410" s="19">
        <v>367.68509999999998</v>
      </c>
      <c r="H410" s="19">
        <v>4480.0047000000004</v>
      </c>
      <c r="I410" s="19">
        <v>8508.8794999999991</v>
      </c>
      <c r="J410" s="75">
        <v>-6806</v>
      </c>
      <c r="K410" s="75">
        <v>19246.05</v>
      </c>
      <c r="L410" s="75">
        <v>35004.959999999999</v>
      </c>
      <c r="M410" s="75">
        <v>21748.16</v>
      </c>
      <c r="N410" s="75">
        <v>13512.810000000001</v>
      </c>
      <c r="O410" s="75">
        <v>4007.85</v>
      </c>
      <c r="P410" s="75">
        <v>-26288.79</v>
      </c>
      <c r="Q410" s="75">
        <v>20210.38</v>
      </c>
      <c r="R410" s="75">
        <v>80635.42</v>
      </c>
    </row>
    <row r="411" spans="1:18" x14ac:dyDescent="0.3">
      <c r="A411">
        <v>394</v>
      </c>
      <c r="B411" s="19">
        <v>50.258800000000001</v>
      </c>
      <c r="C411" s="19">
        <v>32.728900000000003</v>
      </c>
      <c r="D411" s="19">
        <v>11.750500000000001</v>
      </c>
      <c r="E411" s="19">
        <v>269.1832</v>
      </c>
      <c r="F411" s="19">
        <v>15.4758</v>
      </c>
      <c r="G411" s="19">
        <v>365.80540000000002</v>
      </c>
      <c r="H411" s="19">
        <v>4582.8348999999998</v>
      </c>
      <c r="I411" s="19">
        <v>7919.3948</v>
      </c>
      <c r="J411" s="75">
        <v>13576</v>
      </c>
      <c r="K411" s="75">
        <v>-2026.35</v>
      </c>
      <c r="L411" s="75">
        <v>6260.4</v>
      </c>
      <c r="M411" s="75">
        <v>11336.16</v>
      </c>
      <c r="N411" s="75">
        <v>-6892.74</v>
      </c>
      <c r="O411" s="75">
        <v>-2571.1</v>
      </c>
      <c r="P411" s="75">
        <v>4560.2700000000004</v>
      </c>
      <c r="Q411" s="75">
        <v>-97686.56</v>
      </c>
      <c r="R411" s="75">
        <v>-73443.92</v>
      </c>
    </row>
    <row r="412" spans="1:18" x14ac:dyDescent="0.3">
      <c r="A412">
        <v>395</v>
      </c>
      <c r="B412" s="19">
        <v>49.991399999999999</v>
      </c>
      <c r="C412" s="19">
        <v>33.882899999999999</v>
      </c>
      <c r="D412" s="19">
        <v>11.545</v>
      </c>
      <c r="E412" s="19">
        <v>268.84219999999999</v>
      </c>
      <c r="F412" s="19">
        <v>15.3085</v>
      </c>
      <c r="G412" s="19">
        <v>369.73020000000002</v>
      </c>
      <c r="H412" s="19">
        <v>4572.4785000000002</v>
      </c>
      <c r="I412" s="19">
        <v>8379.6733000000004</v>
      </c>
      <c r="J412" s="75">
        <v>8228</v>
      </c>
      <c r="K412" s="75">
        <v>30862.649999999998</v>
      </c>
      <c r="L412" s="75">
        <v>-11988</v>
      </c>
      <c r="M412" s="75">
        <v>10040.359999999999</v>
      </c>
      <c r="N412" s="75">
        <v>-14371.050000000001</v>
      </c>
      <c r="O412" s="75">
        <v>11165.699999999999</v>
      </c>
      <c r="P412" s="75">
        <v>1453.35</v>
      </c>
      <c r="Q412" s="75">
        <v>-5630.86</v>
      </c>
      <c r="R412" s="75">
        <v>29760.149999999987</v>
      </c>
    </row>
    <row r="413" spans="1:18" x14ac:dyDescent="0.3">
      <c r="A413">
        <v>396</v>
      </c>
      <c r="B413" s="19">
        <v>49.490699999999997</v>
      </c>
      <c r="C413" s="19">
        <v>32.685200000000002</v>
      </c>
      <c r="D413" s="19">
        <v>11.810700000000001</v>
      </c>
      <c r="E413" s="19">
        <v>258.82859999999999</v>
      </c>
      <c r="F413" s="19">
        <v>15.9983</v>
      </c>
      <c r="G413" s="19">
        <v>370.47739999999999</v>
      </c>
      <c r="H413" s="19">
        <v>4592.0411999999997</v>
      </c>
      <c r="I413" s="19">
        <v>8075.0830999999998</v>
      </c>
      <c r="J413" s="75">
        <v>-1786</v>
      </c>
      <c r="K413" s="75">
        <v>-3271.8</v>
      </c>
      <c r="L413" s="75">
        <v>11606.160000000002</v>
      </c>
      <c r="M413" s="75">
        <v>-28011.32</v>
      </c>
      <c r="N413" s="75">
        <v>16463.010000000002</v>
      </c>
      <c r="O413" s="75">
        <v>13780.9</v>
      </c>
      <c r="P413" s="75">
        <v>7322.16</v>
      </c>
      <c r="Q413" s="75">
        <v>-66548.900000000009</v>
      </c>
      <c r="R413" s="75">
        <v>-50445.790000000008</v>
      </c>
    </row>
    <row r="414" spans="1:18" x14ac:dyDescent="0.3">
      <c r="A414">
        <v>397</v>
      </c>
      <c r="B414" s="19">
        <v>49.545499999999997</v>
      </c>
      <c r="C414" s="19">
        <v>33.122700000000002</v>
      </c>
      <c r="D414" s="19">
        <v>11.9269</v>
      </c>
      <c r="E414" s="19">
        <v>268.6995</v>
      </c>
      <c r="F414" s="19">
        <v>15.4611</v>
      </c>
      <c r="G414" s="19">
        <v>376.05939999999998</v>
      </c>
      <c r="H414" s="19">
        <v>4488.4256999999998</v>
      </c>
      <c r="I414" s="19">
        <v>8227.3713000000007</v>
      </c>
      <c r="J414" s="75">
        <v>-690.00000000000011</v>
      </c>
      <c r="K414" s="75">
        <v>9196.9499999999989</v>
      </c>
      <c r="L414" s="75">
        <v>21924.720000000001</v>
      </c>
      <c r="M414" s="75">
        <v>9498.0999999999985</v>
      </c>
      <c r="N414" s="75">
        <v>-7549.83</v>
      </c>
      <c r="O414" s="75">
        <v>33317.899999999994</v>
      </c>
      <c r="P414" s="75">
        <v>-23762.489999999998</v>
      </c>
      <c r="Q414" s="75">
        <v>-36091.26</v>
      </c>
      <c r="R414" s="75">
        <v>5844.0899999999965</v>
      </c>
    </row>
    <row r="415" spans="1:18" x14ac:dyDescent="0.3">
      <c r="A415">
        <v>398</v>
      </c>
      <c r="B415" s="19">
        <v>49.870100000000001</v>
      </c>
      <c r="C415" s="19">
        <v>33.043100000000003</v>
      </c>
      <c r="D415" s="19">
        <v>11.370100000000001</v>
      </c>
      <c r="E415" s="19">
        <v>276.4522</v>
      </c>
      <c r="F415" s="19">
        <v>15.9391</v>
      </c>
      <c r="G415" s="19">
        <v>361.68680000000001</v>
      </c>
      <c r="H415" s="19">
        <v>4645.6216000000004</v>
      </c>
      <c r="I415" s="19">
        <v>9037.3848999999991</v>
      </c>
      <c r="J415" s="75">
        <v>5802.0000000000009</v>
      </c>
      <c r="K415" s="75">
        <v>6928.35</v>
      </c>
      <c r="L415" s="75">
        <v>-27519.119999999999</v>
      </c>
      <c r="M415" s="75">
        <v>38958.36</v>
      </c>
      <c r="N415" s="75">
        <v>13816.769999999999</v>
      </c>
      <c r="O415" s="75">
        <v>-16986.2</v>
      </c>
      <c r="P415" s="75">
        <v>23396.28</v>
      </c>
      <c r="Q415" s="75">
        <v>125911.46</v>
      </c>
      <c r="R415" s="75">
        <v>170307.90000000002</v>
      </c>
    </row>
    <row r="416" spans="1:18" x14ac:dyDescent="0.3">
      <c r="A416">
        <v>399</v>
      </c>
      <c r="B416" s="19">
        <v>49.971499999999999</v>
      </c>
      <c r="C416" s="19">
        <v>32.369399999999999</v>
      </c>
      <c r="D416" s="19">
        <v>11.726800000000001</v>
      </c>
      <c r="E416" s="19">
        <v>267.92129999999997</v>
      </c>
      <c r="F416" s="19">
        <v>15.480600000000001</v>
      </c>
      <c r="G416" s="19">
        <v>373.22030000000001</v>
      </c>
      <c r="H416" s="19">
        <v>4683.7224999999999</v>
      </c>
      <c r="I416" s="19">
        <v>7978.4174999999996</v>
      </c>
      <c r="J416" s="75">
        <v>7830</v>
      </c>
      <c r="K416" s="75">
        <v>-12272.1</v>
      </c>
      <c r="L416" s="75">
        <v>4155.84</v>
      </c>
      <c r="M416" s="75">
        <v>6540.9400000000005</v>
      </c>
      <c r="N416" s="75">
        <v>-6678.18</v>
      </c>
      <c r="O416" s="75">
        <v>23381.05</v>
      </c>
      <c r="P416" s="75">
        <v>34826.549999999996</v>
      </c>
      <c r="Q416" s="75">
        <v>-85882.02</v>
      </c>
      <c r="R416" s="75">
        <v>-28097.920000000013</v>
      </c>
    </row>
    <row r="417" spans="1:18" x14ac:dyDescent="0.3">
      <c r="A417">
        <v>400</v>
      </c>
      <c r="B417" s="19">
        <v>49.426099999999998</v>
      </c>
      <c r="C417" s="19">
        <v>32.296599999999998</v>
      </c>
      <c r="D417" s="19">
        <v>12.0329</v>
      </c>
      <c r="E417" s="19">
        <v>264.22359999999998</v>
      </c>
      <c r="F417" s="19">
        <v>15.7791</v>
      </c>
      <c r="G417" s="19">
        <v>381.25720000000001</v>
      </c>
      <c r="H417" s="19">
        <v>4646.3127999999997</v>
      </c>
      <c r="I417" s="19">
        <v>8577.4642000000003</v>
      </c>
      <c r="J417" s="75">
        <v>-3078</v>
      </c>
      <c r="K417" s="75">
        <v>-14346.9</v>
      </c>
      <c r="L417" s="75">
        <v>31337.52</v>
      </c>
      <c r="M417" s="75">
        <v>-7510.32</v>
      </c>
      <c r="N417" s="75">
        <v>6664.77</v>
      </c>
      <c r="O417" s="75">
        <v>51510.2</v>
      </c>
      <c r="P417" s="75">
        <v>23603.64</v>
      </c>
      <c r="Q417" s="75">
        <v>33927.32</v>
      </c>
      <c r="R417" s="75">
        <v>122108.23000000001</v>
      </c>
    </row>
    <row r="418" spans="1:18" x14ac:dyDescent="0.3">
      <c r="A418">
        <v>401</v>
      </c>
      <c r="B418" s="19">
        <v>49.186500000000002</v>
      </c>
      <c r="C418" s="19">
        <v>32.971699999999998</v>
      </c>
      <c r="D418" s="19">
        <v>11.398899999999999</v>
      </c>
      <c r="E418" s="19">
        <v>280.28519999999997</v>
      </c>
      <c r="F418" s="19">
        <v>15.3955</v>
      </c>
      <c r="G418" s="19">
        <v>379.84379999999999</v>
      </c>
      <c r="H418" s="19">
        <v>4492.0658000000003</v>
      </c>
      <c r="I418" s="19">
        <v>8558.4341000000004</v>
      </c>
      <c r="J418" s="75">
        <v>-7870</v>
      </c>
      <c r="K418" s="75">
        <v>4893.45</v>
      </c>
      <c r="L418" s="75">
        <v>-24961.68</v>
      </c>
      <c r="M418" s="75">
        <v>53523.76</v>
      </c>
      <c r="N418" s="75">
        <v>-10482.15</v>
      </c>
      <c r="O418" s="75">
        <v>46563.3</v>
      </c>
      <c r="P418" s="75">
        <v>-22670.460000000003</v>
      </c>
      <c r="Q418" s="75">
        <v>30121.300000000003</v>
      </c>
      <c r="R418" s="75">
        <v>69117.52</v>
      </c>
    </row>
    <row r="419" spans="1:18" x14ac:dyDescent="0.3">
      <c r="A419">
        <v>402</v>
      </c>
      <c r="B419" s="19">
        <v>49.360999999999997</v>
      </c>
      <c r="C419" s="19">
        <v>33.814999999999998</v>
      </c>
      <c r="D419" s="19">
        <v>11.879200000000001</v>
      </c>
      <c r="E419" s="19">
        <v>257.48570000000001</v>
      </c>
      <c r="F419" s="19">
        <v>15.5807</v>
      </c>
      <c r="G419" s="19">
        <v>369.39569999999998</v>
      </c>
      <c r="H419" s="19">
        <v>4691.0442999999996</v>
      </c>
      <c r="I419" s="19">
        <v>8864.8690999999999</v>
      </c>
      <c r="J419" s="75">
        <v>-4380</v>
      </c>
      <c r="K419" s="75">
        <v>28927.499999999996</v>
      </c>
      <c r="L419" s="75">
        <v>17688.96</v>
      </c>
      <c r="M419" s="75">
        <v>-33114.339999999997</v>
      </c>
      <c r="N419" s="75">
        <v>-2203.71</v>
      </c>
      <c r="O419" s="75">
        <v>9994.9500000000007</v>
      </c>
      <c r="P419" s="75">
        <v>37023.090000000004</v>
      </c>
      <c r="Q419" s="75">
        <v>91408.3</v>
      </c>
      <c r="R419" s="75">
        <v>145344.75</v>
      </c>
    </row>
    <row r="420" spans="1:18" x14ac:dyDescent="0.3">
      <c r="A420">
        <v>403</v>
      </c>
      <c r="B420" s="19">
        <v>49.460099999999997</v>
      </c>
      <c r="C420" s="19">
        <v>33.134599999999999</v>
      </c>
      <c r="D420" s="19">
        <v>11.4938</v>
      </c>
      <c r="E420" s="19">
        <v>259.31740000000002</v>
      </c>
      <c r="F420" s="19">
        <v>16.0182</v>
      </c>
      <c r="G420" s="19">
        <v>374.58150000000001</v>
      </c>
      <c r="H420" s="19">
        <v>4542.1280999999999</v>
      </c>
      <c r="I420" s="19">
        <v>8699.0663999999997</v>
      </c>
      <c r="J420" s="75">
        <v>-2398</v>
      </c>
      <c r="K420" s="75">
        <v>9536.1</v>
      </c>
      <c r="L420" s="75">
        <v>-16534.560000000001</v>
      </c>
      <c r="M420" s="75">
        <v>-26153.88</v>
      </c>
      <c r="N420" s="75">
        <v>17352.54</v>
      </c>
      <c r="O420" s="75">
        <v>28145.249999999996</v>
      </c>
      <c r="P420" s="75">
        <v>-7651.77</v>
      </c>
      <c r="Q420" s="75">
        <v>58247.76</v>
      </c>
      <c r="R420" s="75">
        <v>60543.439999999995</v>
      </c>
    </row>
    <row r="421" spans="1:18" x14ac:dyDescent="0.3">
      <c r="A421">
        <v>404</v>
      </c>
      <c r="B421" s="19">
        <v>49.114699999999999</v>
      </c>
      <c r="C421" s="19">
        <v>32.852800000000002</v>
      </c>
      <c r="D421" s="19">
        <v>12.2704</v>
      </c>
      <c r="E421" s="19">
        <v>268.10180000000003</v>
      </c>
      <c r="F421" s="19">
        <v>15.396100000000001</v>
      </c>
      <c r="G421" s="19">
        <v>373.71289999999999</v>
      </c>
      <c r="H421" s="19">
        <v>4551.4219999999996</v>
      </c>
      <c r="I421" s="19">
        <v>8608.4323000000004</v>
      </c>
      <c r="J421" s="75">
        <v>-9306</v>
      </c>
      <c r="K421" s="75">
        <v>1504.8</v>
      </c>
      <c r="L421" s="75">
        <v>52427.520000000004</v>
      </c>
      <c r="M421" s="75">
        <v>7226.84</v>
      </c>
      <c r="N421" s="75">
        <v>-10455.33</v>
      </c>
      <c r="O421" s="75">
        <v>25105.15</v>
      </c>
      <c r="P421" s="75">
        <v>-4863.6000000000004</v>
      </c>
      <c r="Q421" s="75">
        <v>40120.94</v>
      </c>
      <c r="R421" s="75">
        <v>101760.32000000001</v>
      </c>
    </row>
    <row r="422" spans="1:18" x14ac:dyDescent="0.3">
      <c r="A422">
        <v>405</v>
      </c>
      <c r="B422" s="19">
        <v>49.684899999999999</v>
      </c>
      <c r="C422" s="19">
        <v>32.625399999999999</v>
      </c>
      <c r="D422" s="19">
        <v>11.565200000000001</v>
      </c>
      <c r="E422" s="19">
        <v>265.78320000000002</v>
      </c>
      <c r="F422" s="19">
        <v>15.8363</v>
      </c>
      <c r="G422" s="19">
        <v>368.16899999999998</v>
      </c>
      <c r="H422" s="19">
        <v>4460.2147000000004</v>
      </c>
      <c r="I422" s="19">
        <v>8894.8081999999995</v>
      </c>
      <c r="J422" s="75">
        <v>2098</v>
      </c>
      <c r="K422" s="75">
        <v>-4976.1000000000004</v>
      </c>
      <c r="L422" s="75">
        <v>-10194.24</v>
      </c>
      <c r="M422" s="75">
        <v>-1583.84</v>
      </c>
      <c r="N422" s="75">
        <v>9221.61</v>
      </c>
      <c r="O422" s="75">
        <v>5701.5</v>
      </c>
      <c r="P422" s="75">
        <v>-32225.79</v>
      </c>
      <c r="Q422" s="75">
        <v>97396.12</v>
      </c>
      <c r="R422" s="75">
        <v>65437.259999999995</v>
      </c>
    </row>
    <row r="423" spans="1:18" x14ac:dyDescent="0.3">
      <c r="A423">
        <v>406</v>
      </c>
      <c r="B423" s="19">
        <v>49.003300000000003</v>
      </c>
      <c r="C423" s="19">
        <v>32.481499999999997</v>
      </c>
      <c r="D423" s="19">
        <v>11.574199999999999</v>
      </c>
      <c r="E423" s="19">
        <v>268.98750000000001</v>
      </c>
      <c r="F423" s="19">
        <v>15.8881</v>
      </c>
      <c r="G423" s="19">
        <v>366.7106</v>
      </c>
      <c r="H423" s="19">
        <v>4559.5892999999996</v>
      </c>
      <c r="I423" s="19">
        <v>8220.1198000000004</v>
      </c>
      <c r="J423" s="75">
        <v>-11534</v>
      </c>
      <c r="K423" s="75">
        <v>-9077.25</v>
      </c>
      <c r="L423" s="75">
        <v>-9395.0400000000009</v>
      </c>
      <c r="M423" s="75">
        <v>10592.5</v>
      </c>
      <c r="N423" s="75">
        <v>11537.07</v>
      </c>
      <c r="O423" s="75">
        <v>597.1</v>
      </c>
      <c r="P423" s="75">
        <v>-2413.4100000000003</v>
      </c>
      <c r="Q423" s="75">
        <v>-37541.56</v>
      </c>
      <c r="R423" s="75">
        <v>-47234.59</v>
      </c>
    </row>
    <row r="424" spans="1:18" x14ac:dyDescent="0.3">
      <c r="A424">
        <v>407</v>
      </c>
      <c r="B424" s="19">
        <v>49.201000000000001</v>
      </c>
      <c r="C424" s="19">
        <v>33.119700000000002</v>
      </c>
      <c r="D424" s="19">
        <v>11.687200000000001</v>
      </c>
      <c r="E424" s="19">
        <v>276.86540000000002</v>
      </c>
      <c r="F424" s="19">
        <v>15.520300000000001</v>
      </c>
      <c r="G424" s="19">
        <v>372.14120000000003</v>
      </c>
      <c r="H424" s="19">
        <v>4524.0613000000003</v>
      </c>
      <c r="I424" s="19">
        <v>8110.2271000000001</v>
      </c>
      <c r="J424" s="75">
        <v>-7580</v>
      </c>
      <c r="K424" s="75">
        <v>9111.4499999999989</v>
      </c>
      <c r="L424" s="75">
        <v>639.36</v>
      </c>
      <c r="M424" s="75">
        <v>40528.519999999997</v>
      </c>
      <c r="N424" s="75">
        <v>-4903.59</v>
      </c>
      <c r="O424" s="75">
        <v>19604.2</v>
      </c>
      <c r="P424" s="75">
        <v>-13071.81</v>
      </c>
      <c r="Q424" s="75">
        <v>-59520.100000000006</v>
      </c>
      <c r="R424" s="75">
        <v>-15191.970000000016</v>
      </c>
    </row>
    <row r="425" spans="1:18" x14ac:dyDescent="0.3">
      <c r="A425">
        <v>408</v>
      </c>
      <c r="B425" s="19">
        <v>49.7697</v>
      </c>
      <c r="C425" s="19">
        <v>32.422600000000003</v>
      </c>
      <c r="D425" s="19">
        <v>11.807700000000001</v>
      </c>
      <c r="E425" s="19">
        <v>262.86290000000002</v>
      </c>
      <c r="F425" s="19">
        <v>15.483000000000001</v>
      </c>
      <c r="G425" s="19">
        <v>361.4649</v>
      </c>
      <c r="H425" s="19">
        <v>4603.8239999999996</v>
      </c>
      <c r="I425" s="19">
        <v>8551.3510000000006</v>
      </c>
      <c r="J425" s="75">
        <v>3794</v>
      </c>
      <c r="K425" s="75">
        <v>-10755.9</v>
      </c>
      <c r="L425" s="75">
        <v>11339.76</v>
      </c>
      <c r="M425" s="75">
        <v>-12680.98</v>
      </c>
      <c r="N425" s="75">
        <v>-6570.9</v>
      </c>
      <c r="O425" s="75">
        <v>-17762.849999999999</v>
      </c>
      <c r="P425" s="75">
        <v>10857</v>
      </c>
      <c r="Q425" s="75">
        <v>28704.68</v>
      </c>
      <c r="R425" s="75">
        <v>6924.8100000000049</v>
      </c>
    </row>
    <row r="426" spans="1:18" x14ac:dyDescent="0.3">
      <c r="A426">
        <v>409</v>
      </c>
      <c r="B426" s="19">
        <v>49.558900000000001</v>
      </c>
      <c r="C426" s="19">
        <v>33.022199999999998</v>
      </c>
      <c r="D426" s="19">
        <v>11.710699999999999</v>
      </c>
      <c r="E426" s="19">
        <v>278.20819999999998</v>
      </c>
      <c r="F426" s="19">
        <v>15.8218</v>
      </c>
      <c r="G426" s="19">
        <v>370.32690000000002</v>
      </c>
      <c r="H426" s="19">
        <v>4579.0550000000003</v>
      </c>
      <c r="I426" s="19">
        <v>8487.1725000000006</v>
      </c>
      <c r="J426" s="75">
        <v>-422</v>
      </c>
      <c r="K426" s="75">
        <v>6332.7</v>
      </c>
      <c r="L426" s="75">
        <v>2726.1600000000003</v>
      </c>
      <c r="M426" s="75">
        <v>45631.16</v>
      </c>
      <c r="N426" s="75">
        <v>8573.4599999999991</v>
      </c>
      <c r="O426" s="75">
        <v>13254.15</v>
      </c>
      <c r="P426" s="75">
        <v>3426.2999999999997</v>
      </c>
      <c r="Q426" s="75">
        <v>15868.98</v>
      </c>
      <c r="R426" s="75">
        <v>95390.91</v>
      </c>
    </row>
    <row r="427" spans="1:18" x14ac:dyDescent="0.3">
      <c r="A427">
        <v>410</v>
      </c>
      <c r="B427" s="19">
        <v>49.166699999999999</v>
      </c>
      <c r="C427" s="19">
        <v>32.904699999999998</v>
      </c>
      <c r="D427" s="19">
        <v>11.7842</v>
      </c>
      <c r="E427" s="19">
        <v>263.76900000000001</v>
      </c>
      <c r="F427" s="19">
        <v>15.4772</v>
      </c>
      <c r="G427" s="19">
        <v>355.10199999999998</v>
      </c>
      <c r="H427" s="19">
        <v>4663.8969999999999</v>
      </c>
      <c r="I427" s="19">
        <v>7811.1167999999998</v>
      </c>
      <c r="J427" s="75">
        <v>-8266</v>
      </c>
      <c r="K427" s="75">
        <v>2983.95</v>
      </c>
      <c r="L427" s="75">
        <v>9252.9600000000009</v>
      </c>
      <c r="M427" s="75">
        <v>-9237.8000000000011</v>
      </c>
      <c r="N427" s="75">
        <v>-6830.16</v>
      </c>
      <c r="O427" s="75">
        <v>-40033</v>
      </c>
      <c r="P427" s="75">
        <v>28878.9</v>
      </c>
      <c r="Q427" s="75">
        <v>-119342.15999999999</v>
      </c>
      <c r="R427" s="75">
        <v>-142593.31</v>
      </c>
    </row>
    <row r="428" spans="1:18" x14ac:dyDescent="0.3">
      <c r="A428">
        <v>411</v>
      </c>
      <c r="B428" s="19">
        <v>50.575400000000002</v>
      </c>
      <c r="C428" s="19">
        <v>32.336799999999997</v>
      </c>
      <c r="D428" s="19">
        <v>11.6975</v>
      </c>
      <c r="E428" s="19">
        <v>267.7953</v>
      </c>
      <c r="F428" s="19">
        <v>15.2508</v>
      </c>
      <c r="G428" s="19">
        <v>368.77960000000002</v>
      </c>
      <c r="H428" s="19">
        <v>4397.0645999999997</v>
      </c>
      <c r="I428" s="19">
        <v>8847.3916000000008</v>
      </c>
      <c r="J428" s="75">
        <v>19908</v>
      </c>
      <c r="K428" s="75">
        <v>-13201.2</v>
      </c>
      <c r="L428" s="75">
        <v>1554.0000000000002</v>
      </c>
      <c r="M428" s="75">
        <v>6062.1399999999994</v>
      </c>
      <c r="N428" s="75">
        <v>-16950.239999999998</v>
      </c>
      <c r="O428" s="75">
        <v>7838.5999999999995</v>
      </c>
      <c r="P428" s="75">
        <v>-51170.82</v>
      </c>
      <c r="Q428" s="75">
        <v>87912.8</v>
      </c>
      <c r="R428" s="75">
        <v>41953.280000000006</v>
      </c>
    </row>
    <row r="429" spans="1:18" x14ac:dyDescent="0.3">
      <c r="A429">
        <v>412</v>
      </c>
      <c r="B429" s="19">
        <v>49.523299999999999</v>
      </c>
      <c r="C429" s="19">
        <v>33.616300000000003</v>
      </c>
      <c r="D429" s="19">
        <v>11.8352</v>
      </c>
      <c r="E429" s="19">
        <v>272.36540000000002</v>
      </c>
      <c r="F429" s="19">
        <v>15.3178</v>
      </c>
      <c r="G429" s="19">
        <v>369.07330000000002</v>
      </c>
      <c r="H429" s="19">
        <v>4544.0592999999999</v>
      </c>
      <c r="I429" s="19">
        <v>9095.3279999999995</v>
      </c>
      <c r="J429" s="75">
        <v>-1134</v>
      </c>
      <c r="K429" s="75">
        <v>23264.55</v>
      </c>
      <c r="L429" s="75">
        <v>13781.76</v>
      </c>
      <c r="M429" s="75">
        <v>23428.52</v>
      </c>
      <c r="N429" s="75">
        <v>-13955.339999999998</v>
      </c>
      <c r="O429" s="75">
        <v>8866.5500000000011</v>
      </c>
      <c r="P429" s="75">
        <v>-7072.41</v>
      </c>
      <c r="Q429" s="75">
        <v>137500.08000000002</v>
      </c>
      <c r="R429" s="75">
        <v>184679.71000000002</v>
      </c>
    </row>
    <row r="430" spans="1:18" x14ac:dyDescent="0.3">
      <c r="A430">
        <v>413</v>
      </c>
      <c r="B430" s="19">
        <v>48.417999999999999</v>
      </c>
      <c r="C430" s="19">
        <v>33.208500000000001</v>
      </c>
      <c r="D430" s="19">
        <v>11.628500000000001</v>
      </c>
      <c r="E430" s="19">
        <v>267.72590000000002</v>
      </c>
      <c r="F430" s="19">
        <v>15.5589</v>
      </c>
      <c r="G430" s="19">
        <v>376.21</v>
      </c>
      <c r="H430" s="19">
        <v>4601.4124000000002</v>
      </c>
      <c r="I430" s="19">
        <v>8673.6777999999995</v>
      </c>
      <c r="J430" s="75">
        <v>-23240</v>
      </c>
      <c r="K430" s="75">
        <v>11642.25</v>
      </c>
      <c r="L430" s="75">
        <v>-4573.2</v>
      </c>
      <c r="M430" s="75">
        <v>5798.42</v>
      </c>
      <c r="N430" s="75">
        <v>-3178.1699999999996</v>
      </c>
      <c r="O430" s="75">
        <v>33845</v>
      </c>
      <c r="P430" s="75">
        <v>10133.519999999999</v>
      </c>
      <c r="Q430" s="75">
        <v>53170.039999999994</v>
      </c>
      <c r="R430" s="75">
        <v>83597.859999999986</v>
      </c>
    </row>
    <row r="431" spans="1:18" x14ac:dyDescent="0.3">
      <c r="A431">
        <v>414</v>
      </c>
      <c r="B431" s="19">
        <v>49.473999999999997</v>
      </c>
      <c r="C431" s="19">
        <v>32.970399999999998</v>
      </c>
      <c r="D431" s="19">
        <v>11.624599999999999</v>
      </c>
      <c r="E431" s="19">
        <v>278.92570000000001</v>
      </c>
      <c r="F431" s="19">
        <v>15.492000000000001</v>
      </c>
      <c r="G431" s="19">
        <v>375.30700000000002</v>
      </c>
      <c r="H431" s="19">
        <v>4365.0418</v>
      </c>
      <c r="I431" s="19">
        <v>8032.7539999999999</v>
      </c>
      <c r="J431" s="75">
        <v>-2120</v>
      </c>
      <c r="K431" s="75">
        <v>4856.3999999999996</v>
      </c>
      <c r="L431" s="75">
        <v>-4919.5199999999995</v>
      </c>
      <c r="M431" s="75">
        <v>48357.659999999996</v>
      </c>
      <c r="N431" s="75">
        <v>-6168.6</v>
      </c>
      <c r="O431" s="75">
        <v>30684.499999999996</v>
      </c>
      <c r="P431" s="75">
        <v>-60777.659999999996</v>
      </c>
      <c r="Q431" s="75">
        <v>-75014.720000000001</v>
      </c>
      <c r="R431" s="75">
        <v>-65101.94000000001</v>
      </c>
    </row>
    <row r="432" spans="1:18" x14ac:dyDescent="0.3">
      <c r="A432">
        <v>415</v>
      </c>
      <c r="B432" s="19">
        <v>49.315300000000001</v>
      </c>
      <c r="C432" s="19">
        <v>32.044699999999999</v>
      </c>
      <c r="D432" s="19">
        <v>11.7477</v>
      </c>
      <c r="E432" s="19">
        <v>270.7088</v>
      </c>
      <c r="F432" s="19">
        <v>15.680300000000001</v>
      </c>
      <c r="G432" s="19">
        <v>367.45339999999999</v>
      </c>
      <c r="H432" s="19">
        <v>4551.6457</v>
      </c>
      <c r="I432" s="19">
        <v>8947.9441000000006</v>
      </c>
      <c r="J432" s="75">
        <v>-5294</v>
      </c>
      <c r="K432" s="75">
        <v>-21526.05</v>
      </c>
      <c r="L432" s="75">
        <v>6011.7599999999993</v>
      </c>
      <c r="M432" s="75">
        <v>17133.439999999999</v>
      </c>
      <c r="N432" s="75">
        <v>2248.41</v>
      </c>
      <c r="O432" s="75">
        <v>3196.9</v>
      </c>
      <c r="P432" s="75">
        <v>-4796.49</v>
      </c>
      <c r="Q432" s="75">
        <v>108023.29999999999</v>
      </c>
      <c r="R432" s="75">
        <v>104997.26999999999</v>
      </c>
    </row>
    <row r="433" spans="1:18" x14ac:dyDescent="0.3">
      <c r="A433">
        <v>416</v>
      </c>
      <c r="B433" s="19">
        <v>49.846699999999998</v>
      </c>
      <c r="C433" s="19">
        <v>32.726999999999997</v>
      </c>
      <c r="D433" s="19">
        <v>11.948499999999999</v>
      </c>
      <c r="E433" s="19">
        <v>260.05410000000001</v>
      </c>
      <c r="F433" s="19">
        <v>15.407999999999999</v>
      </c>
      <c r="G433" s="19">
        <v>366.03590000000003</v>
      </c>
      <c r="H433" s="19">
        <v>4440.3332</v>
      </c>
      <c r="I433" s="19">
        <v>7874.3814000000002</v>
      </c>
      <c r="J433" s="75">
        <v>5334</v>
      </c>
      <c r="K433" s="75">
        <v>-2080.5</v>
      </c>
      <c r="L433" s="75">
        <v>23842.800000000003</v>
      </c>
      <c r="M433" s="75">
        <v>-23354.420000000002</v>
      </c>
      <c r="N433" s="75">
        <v>-9923.4</v>
      </c>
      <c r="O433" s="75">
        <v>-1764.35</v>
      </c>
      <c r="P433" s="75">
        <v>-38190.239999999998</v>
      </c>
      <c r="Q433" s="75">
        <v>-106689.23999999999</v>
      </c>
      <c r="R433" s="75">
        <v>-152825.34999999998</v>
      </c>
    </row>
    <row r="434" spans="1:18" x14ac:dyDescent="0.3">
      <c r="A434">
        <v>417</v>
      </c>
      <c r="B434" s="19">
        <v>50.082799999999999</v>
      </c>
      <c r="C434" s="19">
        <v>32.1432</v>
      </c>
      <c r="D434" s="19">
        <v>11.445499999999999</v>
      </c>
      <c r="E434" s="19">
        <v>275.9051</v>
      </c>
      <c r="F434" s="19">
        <v>15.739800000000001</v>
      </c>
      <c r="G434" s="19">
        <v>358.75689999999997</v>
      </c>
      <c r="H434" s="19">
        <v>4554.2869000000001</v>
      </c>
      <c r="I434" s="19">
        <v>8889.1303000000007</v>
      </c>
      <c r="J434" s="75">
        <v>10056</v>
      </c>
      <c r="K434" s="75">
        <v>-18718.800000000003</v>
      </c>
      <c r="L434" s="75">
        <v>-20823.599999999999</v>
      </c>
      <c r="M434" s="75">
        <v>36879.379999999997</v>
      </c>
      <c r="N434" s="75">
        <v>4908.0599999999995</v>
      </c>
      <c r="O434" s="75">
        <v>-27240.850000000002</v>
      </c>
      <c r="P434" s="75">
        <v>-4004.1299999999997</v>
      </c>
      <c r="Q434" s="75">
        <v>96260.540000000008</v>
      </c>
      <c r="R434" s="75">
        <v>77316.600000000006</v>
      </c>
    </row>
    <row r="435" spans="1:18" x14ac:dyDescent="0.3">
      <c r="A435">
        <v>418</v>
      </c>
      <c r="B435" s="19">
        <v>49.9497</v>
      </c>
      <c r="C435" s="19">
        <v>32.969900000000003</v>
      </c>
      <c r="D435" s="19">
        <v>11.3286</v>
      </c>
      <c r="E435" s="19">
        <v>258.79860000000002</v>
      </c>
      <c r="F435" s="19">
        <v>15.4168</v>
      </c>
      <c r="G435" s="19">
        <v>376.22329999999999</v>
      </c>
      <c r="H435" s="19">
        <v>4515.8879999999999</v>
      </c>
      <c r="I435" s="19">
        <v>8458.8158000000003</v>
      </c>
      <c r="J435" s="75">
        <v>7393.9999999999991</v>
      </c>
      <c r="K435" s="75">
        <v>4842.1499999999996</v>
      </c>
      <c r="L435" s="75">
        <v>-31204.32</v>
      </c>
      <c r="M435" s="75">
        <v>-28125.32</v>
      </c>
      <c r="N435" s="75">
        <v>-9530.0400000000009</v>
      </c>
      <c r="O435" s="75">
        <v>33891.549999999996</v>
      </c>
      <c r="P435" s="75">
        <v>-15523.800000000001</v>
      </c>
      <c r="Q435" s="75">
        <v>10197.64</v>
      </c>
      <c r="R435" s="75">
        <v>-28058.140000000014</v>
      </c>
    </row>
    <row r="436" spans="1:18" x14ac:dyDescent="0.3">
      <c r="A436">
        <v>419</v>
      </c>
      <c r="B436" s="19">
        <v>49.156599999999997</v>
      </c>
      <c r="C436" s="19">
        <v>33.142800000000001</v>
      </c>
      <c r="D436" s="19">
        <v>11.5129</v>
      </c>
      <c r="E436" s="19">
        <v>270.2285</v>
      </c>
      <c r="F436" s="19">
        <v>16.072600000000001</v>
      </c>
      <c r="G436" s="19">
        <v>361.89830000000001</v>
      </c>
      <c r="H436" s="19">
        <v>4544.7599</v>
      </c>
      <c r="I436" s="19">
        <v>8459.1761000000006</v>
      </c>
      <c r="J436" s="75">
        <v>-8468</v>
      </c>
      <c r="K436" s="75">
        <v>9769.7999999999993</v>
      </c>
      <c r="L436" s="75">
        <v>-14838.48</v>
      </c>
      <c r="M436" s="75">
        <v>15308.300000000001</v>
      </c>
      <c r="N436" s="75">
        <v>19784.22</v>
      </c>
      <c r="O436" s="75">
        <v>-16245.95</v>
      </c>
      <c r="P436" s="75">
        <v>-6862.23</v>
      </c>
      <c r="Q436" s="75">
        <v>10269.700000000001</v>
      </c>
      <c r="R436" s="75">
        <v>8717.3600000000042</v>
      </c>
    </row>
    <row r="437" spans="1:18" x14ac:dyDescent="0.3">
      <c r="A437">
        <v>420</v>
      </c>
      <c r="B437" s="19">
        <v>49.025599999999997</v>
      </c>
      <c r="C437" s="19">
        <v>32.716000000000001</v>
      </c>
      <c r="D437" s="19">
        <v>11.664099999999999</v>
      </c>
      <c r="E437" s="19">
        <v>263.40309999999999</v>
      </c>
      <c r="F437" s="19">
        <v>16.205300000000001</v>
      </c>
      <c r="G437" s="19">
        <v>366.06119999999999</v>
      </c>
      <c r="H437" s="19">
        <v>4582.7903999999999</v>
      </c>
      <c r="I437" s="19">
        <v>8141.7385999999997</v>
      </c>
      <c r="J437" s="75">
        <v>-11088</v>
      </c>
      <c r="K437" s="75">
        <v>-2394</v>
      </c>
      <c r="L437" s="75">
        <v>-1411.92</v>
      </c>
      <c r="M437" s="75">
        <v>-10628.22</v>
      </c>
      <c r="N437" s="75">
        <v>25715.91</v>
      </c>
      <c r="O437" s="75">
        <v>-1675.8</v>
      </c>
      <c r="P437" s="75">
        <v>4546.92</v>
      </c>
      <c r="Q437" s="75">
        <v>-53217.8</v>
      </c>
      <c r="R437" s="75">
        <v>-50152.91</v>
      </c>
    </row>
    <row r="438" spans="1:18" x14ac:dyDescent="0.3">
      <c r="A438">
        <v>421</v>
      </c>
      <c r="B438" s="19">
        <v>48.561599999999999</v>
      </c>
      <c r="C438" s="19">
        <v>31.616499999999998</v>
      </c>
      <c r="D438" s="19">
        <v>11.4641</v>
      </c>
      <c r="E438" s="19">
        <v>266.11160000000001</v>
      </c>
      <c r="F438" s="19">
        <v>15.822100000000001</v>
      </c>
      <c r="G438" s="19">
        <v>362.83339999999998</v>
      </c>
      <c r="H438" s="19">
        <v>4458.6446999999998</v>
      </c>
      <c r="I438" s="19">
        <v>8682.8413</v>
      </c>
      <c r="J438" s="75">
        <v>-20368</v>
      </c>
      <c r="K438" s="75">
        <v>-33729.75</v>
      </c>
      <c r="L438" s="75">
        <v>-19171.920000000002</v>
      </c>
      <c r="M438" s="75">
        <v>-335.92</v>
      </c>
      <c r="N438" s="75">
        <v>8586.869999999999</v>
      </c>
      <c r="O438" s="75">
        <v>-12973.1</v>
      </c>
      <c r="P438" s="75">
        <v>-32696.79</v>
      </c>
      <c r="Q438" s="75">
        <v>55002.739999999991</v>
      </c>
      <c r="R438" s="75">
        <v>-55685.870000000024</v>
      </c>
    </row>
    <row r="439" spans="1:18" x14ac:dyDescent="0.3">
      <c r="A439">
        <v>422</v>
      </c>
      <c r="B439" s="19">
        <v>49.112900000000003</v>
      </c>
      <c r="C439" s="19">
        <v>32.807499999999997</v>
      </c>
      <c r="D439" s="19">
        <v>11.852399999999999</v>
      </c>
      <c r="E439" s="19">
        <v>266.7561</v>
      </c>
      <c r="F439" s="19">
        <v>15.794700000000001</v>
      </c>
      <c r="G439" s="19">
        <v>361.99549999999999</v>
      </c>
      <c r="H439" s="19">
        <v>4461.6241</v>
      </c>
      <c r="I439" s="19">
        <v>8222.2584999999999</v>
      </c>
      <c r="J439" s="75">
        <v>-9342</v>
      </c>
      <c r="K439" s="75">
        <v>213.75</v>
      </c>
      <c r="L439" s="75">
        <v>15309.119999999999</v>
      </c>
      <c r="M439" s="75">
        <v>2113.1800000000003</v>
      </c>
      <c r="N439" s="75">
        <v>7362.09</v>
      </c>
      <c r="O439" s="75">
        <v>-15905.75</v>
      </c>
      <c r="P439" s="75">
        <v>-31802.97</v>
      </c>
      <c r="Q439" s="75">
        <v>-37113.82</v>
      </c>
      <c r="R439" s="75">
        <v>-69166.399999999994</v>
      </c>
    </row>
    <row r="440" spans="1:18" x14ac:dyDescent="0.3">
      <c r="A440">
        <v>423</v>
      </c>
      <c r="B440" s="19">
        <v>49.420200000000001</v>
      </c>
      <c r="C440" s="19">
        <v>32.907800000000002</v>
      </c>
      <c r="D440" s="19">
        <v>11.355499999999999</v>
      </c>
      <c r="E440" s="19">
        <v>263.8759</v>
      </c>
      <c r="F440" s="19">
        <v>15.2926</v>
      </c>
      <c r="G440" s="19">
        <v>364.5754</v>
      </c>
      <c r="H440" s="19">
        <v>4526.4079000000002</v>
      </c>
      <c r="I440" s="19">
        <v>8422.5722000000005</v>
      </c>
      <c r="J440" s="75">
        <v>-3196</v>
      </c>
      <c r="K440" s="75">
        <v>3072.3</v>
      </c>
      <c r="L440" s="75">
        <v>-28815.600000000002</v>
      </c>
      <c r="M440" s="75">
        <v>-8831.58</v>
      </c>
      <c r="N440" s="75">
        <v>-15081.779999999999</v>
      </c>
      <c r="O440" s="75">
        <v>-6876.0999999999995</v>
      </c>
      <c r="P440" s="75">
        <v>-12367.83</v>
      </c>
      <c r="Q440" s="75">
        <v>2948.92</v>
      </c>
      <c r="R440" s="75">
        <v>-69147.67</v>
      </c>
    </row>
    <row r="441" spans="1:18" x14ac:dyDescent="0.3">
      <c r="A441">
        <v>424</v>
      </c>
      <c r="B441" s="19">
        <v>49.174799999999998</v>
      </c>
      <c r="C441" s="19">
        <v>33.302900000000001</v>
      </c>
      <c r="D441" s="19">
        <v>11.576599999999999</v>
      </c>
      <c r="E441" s="19">
        <v>263.33960000000002</v>
      </c>
      <c r="F441" s="19">
        <v>15.7227</v>
      </c>
      <c r="G441" s="19">
        <v>364.18610000000001</v>
      </c>
      <c r="H441" s="19">
        <v>4587.4745999999996</v>
      </c>
      <c r="I441" s="19">
        <v>8826.5092000000004</v>
      </c>
      <c r="J441" s="75">
        <v>-8104</v>
      </c>
      <c r="K441" s="75">
        <v>14332.65</v>
      </c>
      <c r="L441" s="75">
        <v>-9181.92</v>
      </c>
      <c r="M441" s="75">
        <v>-10869.519999999999</v>
      </c>
      <c r="N441" s="75">
        <v>4143.6900000000005</v>
      </c>
      <c r="O441" s="75">
        <v>-8238.65</v>
      </c>
      <c r="P441" s="75">
        <v>5952.1799999999994</v>
      </c>
      <c r="Q441" s="75">
        <v>83736.320000000007</v>
      </c>
      <c r="R441" s="75">
        <v>71770.75</v>
      </c>
    </row>
    <row r="442" spans="1:18" x14ac:dyDescent="0.3">
      <c r="A442">
        <v>425</v>
      </c>
      <c r="B442" s="19">
        <v>50.430300000000003</v>
      </c>
      <c r="C442" s="19">
        <v>32.5349</v>
      </c>
      <c r="D442" s="19">
        <v>11.807600000000001</v>
      </c>
      <c r="E442" s="19">
        <v>264.565</v>
      </c>
      <c r="F442" s="19">
        <v>15.857100000000001</v>
      </c>
      <c r="G442" s="19">
        <v>375.12709999999998</v>
      </c>
      <c r="H442" s="19">
        <v>4676.9090999999999</v>
      </c>
      <c r="I442" s="19">
        <v>8477.7204000000002</v>
      </c>
      <c r="J442" s="75">
        <v>17006</v>
      </c>
      <c r="K442" s="75">
        <v>-7555.35</v>
      </c>
      <c r="L442" s="75">
        <v>11330.88</v>
      </c>
      <c r="M442" s="75">
        <v>-6213</v>
      </c>
      <c r="N442" s="75">
        <v>10151.369999999999</v>
      </c>
      <c r="O442" s="75">
        <v>30054.85</v>
      </c>
      <c r="P442" s="75">
        <v>32782.53</v>
      </c>
      <c r="Q442" s="75">
        <v>13978.56</v>
      </c>
      <c r="R442" s="75">
        <v>101535.84</v>
      </c>
    </row>
    <row r="443" spans="1:18" x14ac:dyDescent="0.3">
      <c r="A443">
        <v>426</v>
      </c>
      <c r="B443" s="19">
        <v>50.0413</v>
      </c>
      <c r="C443" s="19">
        <v>32.486199999999997</v>
      </c>
      <c r="D443" s="19">
        <v>11.4259</v>
      </c>
      <c r="E443" s="19">
        <v>260.29939999999999</v>
      </c>
      <c r="F443" s="19">
        <v>15.9696</v>
      </c>
      <c r="G443" s="19">
        <v>368.11200000000002</v>
      </c>
      <c r="H443" s="19">
        <v>4524.7572</v>
      </c>
      <c r="I443" s="19">
        <v>7759.9258</v>
      </c>
      <c r="J443" s="75">
        <v>9226</v>
      </c>
      <c r="K443" s="75">
        <v>-8943.3000000000011</v>
      </c>
      <c r="L443" s="75">
        <v>-22564.079999999998</v>
      </c>
      <c r="M443" s="75">
        <v>-22422.28</v>
      </c>
      <c r="N443" s="75">
        <v>15180.12</v>
      </c>
      <c r="O443" s="75">
        <v>5502</v>
      </c>
      <c r="P443" s="75">
        <v>-12863.04</v>
      </c>
      <c r="Q443" s="75">
        <v>-129580.36</v>
      </c>
      <c r="R443" s="75">
        <v>-166464.94</v>
      </c>
    </row>
    <row r="444" spans="1:18" x14ac:dyDescent="0.3">
      <c r="A444">
        <v>427</v>
      </c>
      <c r="B444" s="19">
        <v>49.642299999999999</v>
      </c>
      <c r="C444" s="19">
        <v>32.909300000000002</v>
      </c>
      <c r="D444" s="19">
        <v>11.5908</v>
      </c>
      <c r="E444" s="19">
        <v>240.56620000000001</v>
      </c>
      <c r="F444" s="19">
        <v>16.251999999999999</v>
      </c>
      <c r="G444" s="19">
        <v>367.649</v>
      </c>
      <c r="H444" s="19">
        <v>4489.3145999999997</v>
      </c>
      <c r="I444" s="19">
        <v>7697.2907999999998</v>
      </c>
      <c r="J444" s="75">
        <v>1246</v>
      </c>
      <c r="K444" s="75">
        <v>3115.0499999999997</v>
      </c>
      <c r="L444" s="75">
        <v>-7920.96</v>
      </c>
      <c r="M444" s="75">
        <v>-97408.44</v>
      </c>
      <c r="N444" s="75">
        <v>27803.4</v>
      </c>
      <c r="O444" s="75">
        <v>3881.5</v>
      </c>
      <c r="P444" s="75">
        <v>-23495.82</v>
      </c>
      <c r="Q444" s="75">
        <v>-142107.35999999999</v>
      </c>
      <c r="R444" s="75">
        <v>-234886.63</v>
      </c>
    </row>
    <row r="445" spans="1:18" x14ac:dyDescent="0.3">
      <c r="A445">
        <v>428</v>
      </c>
      <c r="B445" s="19">
        <v>49.816000000000003</v>
      </c>
      <c r="C445" s="19">
        <v>32.601599999999998</v>
      </c>
      <c r="D445" s="19">
        <v>11.7516</v>
      </c>
      <c r="E445" s="19">
        <v>265.5487</v>
      </c>
      <c r="F445" s="19">
        <v>15.086399999999999</v>
      </c>
      <c r="G445" s="19">
        <v>360.70260000000002</v>
      </c>
      <c r="H445" s="19">
        <v>4698.5479999999998</v>
      </c>
      <c r="I445" s="19">
        <v>7942.5659999999998</v>
      </c>
      <c r="J445" s="75">
        <v>4720</v>
      </c>
      <c r="K445" s="75">
        <v>-5654.4</v>
      </c>
      <c r="L445" s="75">
        <v>6358.08</v>
      </c>
      <c r="M445" s="75">
        <v>-2474.94</v>
      </c>
      <c r="N445" s="75">
        <v>-24298.92</v>
      </c>
      <c r="O445" s="75">
        <v>-20430.899999999998</v>
      </c>
      <c r="P445" s="75">
        <v>39274.199999999997</v>
      </c>
      <c r="Q445" s="75">
        <v>-93052.319999999992</v>
      </c>
      <c r="R445" s="75">
        <v>-95559.199999999983</v>
      </c>
    </row>
    <row r="446" spans="1:18" x14ac:dyDescent="0.3">
      <c r="A446">
        <v>429</v>
      </c>
      <c r="B446" s="19">
        <v>49.100499999999997</v>
      </c>
      <c r="C446" s="19">
        <v>32.824199999999998</v>
      </c>
      <c r="D446" s="19">
        <v>11.8508</v>
      </c>
      <c r="E446" s="19">
        <v>265.995</v>
      </c>
      <c r="F446" s="19">
        <v>15.7875</v>
      </c>
      <c r="G446" s="19">
        <v>365.93520000000001</v>
      </c>
      <c r="H446" s="19">
        <v>4707.1548000000003</v>
      </c>
      <c r="I446" s="19">
        <v>8403.848</v>
      </c>
      <c r="J446" s="75">
        <v>-9590</v>
      </c>
      <c r="K446" s="75">
        <v>689.69999999999993</v>
      </c>
      <c r="L446" s="75">
        <v>15167.04</v>
      </c>
      <c r="M446" s="75">
        <v>-779</v>
      </c>
      <c r="N446" s="75">
        <v>7040.25</v>
      </c>
      <c r="O446" s="75">
        <v>-2116.8000000000002</v>
      </c>
      <c r="P446" s="75">
        <v>41856.240000000005</v>
      </c>
      <c r="Q446" s="75">
        <v>-795.92</v>
      </c>
      <c r="R446" s="75">
        <v>51471.510000000009</v>
      </c>
    </row>
    <row r="447" spans="1:18" x14ac:dyDescent="0.3">
      <c r="A447">
        <v>430</v>
      </c>
      <c r="B447" s="19">
        <v>49.275399999999998</v>
      </c>
      <c r="C447" s="19">
        <v>32.939300000000003</v>
      </c>
      <c r="D447" s="19">
        <v>11.6319</v>
      </c>
      <c r="E447" s="19">
        <v>257.88619999999997</v>
      </c>
      <c r="F447" s="19">
        <v>15.3924</v>
      </c>
      <c r="G447" s="19">
        <v>361.59480000000002</v>
      </c>
      <c r="H447" s="19">
        <v>4622.1985999999997</v>
      </c>
      <c r="I447" s="19">
        <v>8485.1818000000003</v>
      </c>
      <c r="J447" s="75">
        <v>-6092</v>
      </c>
      <c r="K447" s="75">
        <v>3970.05</v>
      </c>
      <c r="L447" s="75">
        <v>-4271.28</v>
      </c>
      <c r="M447" s="75">
        <v>-31592.440000000002</v>
      </c>
      <c r="N447" s="75">
        <v>-10620.72</v>
      </c>
      <c r="O447" s="75">
        <v>-17308.2</v>
      </c>
      <c r="P447" s="75">
        <v>16369.38</v>
      </c>
      <c r="Q447" s="75">
        <v>15470.840000000002</v>
      </c>
      <c r="R447" s="75">
        <v>-34074.369999999995</v>
      </c>
    </row>
    <row r="448" spans="1:18" x14ac:dyDescent="0.3">
      <c r="A448">
        <v>431</v>
      </c>
      <c r="B448" s="19">
        <v>48.736600000000003</v>
      </c>
      <c r="C448" s="19">
        <v>32.964799999999997</v>
      </c>
      <c r="D448" s="19">
        <v>11.605</v>
      </c>
      <c r="E448" s="19">
        <v>256.33359999999999</v>
      </c>
      <c r="F448" s="19">
        <v>15.48</v>
      </c>
      <c r="G448" s="19">
        <v>364.18349999999998</v>
      </c>
      <c r="H448" s="19">
        <v>4510.4453999999996</v>
      </c>
      <c r="I448" s="19">
        <v>8894.9490000000005</v>
      </c>
      <c r="J448" s="75">
        <v>-16868</v>
      </c>
      <c r="K448" s="75">
        <v>4696.8</v>
      </c>
      <c r="L448" s="75">
        <v>-6660</v>
      </c>
      <c r="M448" s="75">
        <v>-37492.32</v>
      </c>
      <c r="N448" s="75">
        <v>-6705</v>
      </c>
      <c r="O448" s="75">
        <v>-8247.75</v>
      </c>
      <c r="P448" s="75">
        <v>-17156.580000000002</v>
      </c>
      <c r="Q448" s="75">
        <v>97424.28</v>
      </c>
      <c r="R448" s="75">
        <v>8991.429999999993</v>
      </c>
    </row>
    <row r="449" spans="1:18" x14ac:dyDescent="0.3">
      <c r="A449">
        <v>432</v>
      </c>
      <c r="B449" s="19">
        <v>49.959600000000002</v>
      </c>
      <c r="C449" s="19">
        <v>32.269300000000001</v>
      </c>
      <c r="D449" s="19">
        <v>11.4779</v>
      </c>
      <c r="E449" s="19">
        <v>271.7029</v>
      </c>
      <c r="F449" s="19">
        <v>16.243500000000001</v>
      </c>
      <c r="G449" s="19">
        <v>359.94909999999999</v>
      </c>
      <c r="H449" s="19">
        <v>4642.5397999999996</v>
      </c>
      <c r="I449" s="19">
        <v>8464.1304</v>
      </c>
      <c r="J449" s="75">
        <v>7592</v>
      </c>
      <c r="K449" s="75">
        <v>-15124.949999999999</v>
      </c>
      <c r="L449" s="75">
        <v>-17946.48</v>
      </c>
      <c r="M449" s="75">
        <v>20911.02</v>
      </c>
      <c r="N449" s="75">
        <v>27423.45</v>
      </c>
      <c r="O449" s="75">
        <v>-23068.15</v>
      </c>
      <c r="P449" s="75">
        <v>22471.739999999998</v>
      </c>
      <c r="Q449" s="75">
        <v>11260.56</v>
      </c>
      <c r="R449" s="75">
        <v>33519.189999999995</v>
      </c>
    </row>
    <row r="450" spans="1:18" x14ac:dyDescent="0.3">
      <c r="A450">
        <v>433</v>
      </c>
      <c r="B450" s="19">
        <v>49.89</v>
      </c>
      <c r="C450" s="19">
        <v>33.008299999999998</v>
      </c>
      <c r="D450" s="19">
        <v>11.602</v>
      </c>
      <c r="E450" s="19">
        <v>252.07980000000001</v>
      </c>
      <c r="F450" s="19">
        <v>15.6487</v>
      </c>
      <c r="G450" s="19">
        <v>372.20299999999997</v>
      </c>
      <c r="H450" s="19">
        <v>4575.5815000000002</v>
      </c>
      <c r="I450" s="19">
        <v>8279.7399000000005</v>
      </c>
      <c r="J450" s="75">
        <v>6200</v>
      </c>
      <c r="K450" s="75">
        <v>5936.55</v>
      </c>
      <c r="L450" s="75">
        <v>-6926.4</v>
      </c>
      <c r="M450" s="75">
        <v>-53656.76</v>
      </c>
      <c r="N450" s="75">
        <v>835.8900000000001</v>
      </c>
      <c r="O450" s="75">
        <v>19820.5</v>
      </c>
      <c r="P450" s="75">
        <v>2384.25</v>
      </c>
      <c r="Q450" s="75">
        <v>-25617.54</v>
      </c>
      <c r="R450" s="75">
        <v>-51023.51</v>
      </c>
    </row>
    <row r="451" spans="1:18" x14ac:dyDescent="0.3">
      <c r="A451">
        <v>434</v>
      </c>
      <c r="B451" s="19">
        <v>49.901499999999999</v>
      </c>
      <c r="C451" s="19">
        <v>33.542099999999998</v>
      </c>
      <c r="D451" s="19">
        <v>11.961499999999999</v>
      </c>
      <c r="E451" s="19">
        <v>267.12560000000002</v>
      </c>
      <c r="F451" s="19">
        <v>15.9391</v>
      </c>
      <c r="G451" s="19">
        <v>366.74090000000001</v>
      </c>
      <c r="H451" s="19">
        <v>4332.0291999999999</v>
      </c>
      <c r="I451" s="19">
        <v>8585.5535</v>
      </c>
      <c r="J451" s="75">
        <v>6430</v>
      </c>
      <c r="K451" s="75">
        <v>21149.85</v>
      </c>
      <c r="L451" s="75">
        <v>24997.199999999997</v>
      </c>
      <c r="M451" s="75">
        <v>3517.2799999999997</v>
      </c>
      <c r="N451" s="75">
        <v>13816.769999999999</v>
      </c>
      <c r="O451" s="75">
        <v>703.15</v>
      </c>
      <c r="P451" s="75">
        <v>-70681.440000000002</v>
      </c>
      <c r="Q451" s="75">
        <v>35545.18</v>
      </c>
      <c r="R451" s="75">
        <v>35477.989999999983</v>
      </c>
    </row>
    <row r="452" spans="1:18" x14ac:dyDescent="0.3">
      <c r="A452">
        <v>435</v>
      </c>
      <c r="B452" s="19">
        <v>49.368699999999997</v>
      </c>
      <c r="C452" s="19">
        <v>33.1312</v>
      </c>
      <c r="D452" s="19">
        <v>11.6252</v>
      </c>
      <c r="E452" s="19">
        <v>249.81610000000001</v>
      </c>
      <c r="F452" s="19">
        <v>15.3316</v>
      </c>
      <c r="G452" s="19">
        <v>367.25880000000001</v>
      </c>
      <c r="H452" s="19">
        <v>4635.6773999999996</v>
      </c>
      <c r="I452" s="19">
        <v>8597.1558000000005</v>
      </c>
      <c r="J452" s="75">
        <v>-4226</v>
      </c>
      <c r="K452" s="75">
        <v>9439.2000000000007</v>
      </c>
      <c r="L452" s="75">
        <v>-4866.24</v>
      </c>
      <c r="M452" s="75">
        <v>-62258.82</v>
      </c>
      <c r="N452" s="75">
        <v>-13338.48</v>
      </c>
      <c r="O452" s="75">
        <v>2515.8000000000002</v>
      </c>
      <c r="P452" s="75">
        <v>20413.02</v>
      </c>
      <c r="Q452" s="75">
        <v>37865.64</v>
      </c>
      <c r="R452" s="75">
        <v>-14455.87999999999</v>
      </c>
    </row>
    <row r="453" spans="1:18" x14ac:dyDescent="0.3">
      <c r="A453">
        <v>436</v>
      </c>
      <c r="B453" s="19">
        <v>49.501300000000001</v>
      </c>
      <c r="C453" s="19">
        <v>33.540999999999997</v>
      </c>
      <c r="D453" s="19">
        <v>11.3605</v>
      </c>
      <c r="E453" s="19">
        <v>255.77850000000001</v>
      </c>
      <c r="F453" s="19">
        <v>15.9659</v>
      </c>
      <c r="G453" s="19">
        <v>368.49209999999999</v>
      </c>
      <c r="H453" s="19">
        <v>4410.5780999999997</v>
      </c>
      <c r="I453" s="19">
        <v>8114.7686999999996</v>
      </c>
      <c r="J453" s="75">
        <v>-1574.0000000000002</v>
      </c>
      <c r="K453" s="75">
        <v>21118.5</v>
      </c>
      <c r="L453" s="75">
        <v>-28371.600000000002</v>
      </c>
      <c r="M453" s="75">
        <v>-39601.699999999997</v>
      </c>
      <c r="N453" s="75">
        <v>15014.73</v>
      </c>
      <c r="O453" s="75">
        <v>6832.3499999999995</v>
      </c>
      <c r="P453" s="75">
        <v>-47116.770000000004</v>
      </c>
      <c r="Q453" s="75">
        <v>-58611.78</v>
      </c>
      <c r="R453" s="75">
        <v>-132310.27000000002</v>
      </c>
    </row>
    <row r="454" spans="1:18" x14ac:dyDescent="0.3">
      <c r="A454">
        <v>437</v>
      </c>
      <c r="B454" s="19">
        <v>49.613500000000002</v>
      </c>
      <c r="C454" s="19">
        <v>32.264699999999998</v>
      </c>
      <c r="D454" s="19">
        <v>12.205</v>
      </c>
      <c r="E454" s="19">
        <v>278.63170000000002</v>
      </c>
      <c r="F454" s="19">
        <v>15.7881</v>
      </c>
      <c r="G454" s="19">
        <v>367.18759999999997</v>
      </c>
      <c r="H454" s="19">
        <v>4542.3495000000003</v>
      </c>
      <c r="I454" s="19">
        <v>8526.9539000000004</v>
      </c>
      <c r="J454" s="75">
        <v>670</v>
      </c>
      <c r="K454" s="75">
        <v>-15256.05</v>
      </c>
      <c r="L454" s="75">
        <v>46620</v>
      </c>
      <c r="M454" s="75">
        <v>47240.46</v>
      </c>
      <c r="N454" s="75">
        <v>7067.07</v>
      </c>
      <c r="O454" s="75">
        <v>2266.6</v>
      </c>
      <c r="P454" s="75">
        <v>-7585.35</v>
      </c>
      <c r="Q454" s="75">
        <v>23825.26</v>
      </c>
      <c r="R454" s="75">
        <v>104847.99</v>
      </c>
    </row>
    <row r="455" spans="1:18" x14ac:dyDescent="0.3">
      <c r="A455">
        <v>438</v>
      </c>
      <c r="B455" s="19">
        <v>49.92</v>
      </c>
      <c r="C455" s="19">
        <v>32.5154</v>
      </c>
      <c r="D455" s="19">
        <v>11.651899999999999</v>
      </c>
      <c r="E455" s="19">
        <v>259.30720000000002</v>
      </c>
      <c r="F455" s="19">
        <v>15.824199999999999</v>
      </c>
      <c r="G455" s="19">
        <v>362.66340000000002</v>
      </c>
      <c r="H455" s="19">
        <v>4423.4736999999996</v>
      </c>
      <c r="I455" s="19">
        <v>8302.1934999999994</v>
      </c>
      <c r="J455" s="75">
        <v>6800.0000000000009</v>
      </c>
      <c r="K455" s="75">
        <v>-8111.1</v>
      </c>
      <c r="L455" s="75">
        <v>-2495.2800000000002</v>
      </c>
      <c r="M455" s="75">
        <v>-26192.639999999999</v>
      </c>
      <c r="N455" s="75">
        <v>8680.74</v>
      </c>
      <c r="O455" s="75">
        <v>-13568.099999999999</v>
      </c>
      <c r="P455" s="75">
        <v>-43248.090000000004</v>
      </c>
      <c r="Q455" s="75">
        <v>-21126.82</v>
      </c>
      <c r="R455" s="75">
        <v>-99261.290000000008</v>
      </c>
    </row>
    <row r="456" spans="1:18" x14ac:dyDescent="0.3">
      <c r="A456">
        <v>439</v>
      </c>
      <c r="B456" s="19">
        <v>49.623199999999997</v>
      </c>
      <c r="C456" s="19">
        <v>33.061700000000002</v>
      </c>
      <c r="D456" s="19">
        <v>11.822800000000001</v>
      </c>
      <c r="E456" s="19">
        <v>262.62650000000002</v>
      </c>
      <c r="F456" s="19">
        <v>15.4613</v>
      </c>
      <c r="G456" s="19">
        <v>372.18680000000001</v>
      </c>
      <c r="H456" s="19">
        <v>4519.3069999999998</v>
      </c>
      <c r="I456" s="19">
        <v>8309.2793999999994</v>
      </c>
      <c r="J456" s="75">
        <v>864</v>
      </c>
      <c r="K456" s="75">
        <v>7458.45</v>
      </c>
      <c r="L456" s="75">
        <v>12680.640000000001</v>
      </c>
      <c r="M456" s="75">
        <v>-13579.300000000001</v>
      </c>
      <c r="N456" s="75">
        <v>-7540.8899999999994</v>
      </c>
      <c r="O456" s="75">
        <v>19763.8</v>
      </c>
      <c r="P456" s="75">
        <v>-14498.099999999999</v>
      </c>
      <c r="Q456" s="75">
        <v>-19709.64</v>
      </c>
      <c r="R456" s="75">
        <v>-14561.039999999994</v>
      </c>
    </row>
    <row r="457" spans="1:18" x14ac:dyDescent="0.3">
      <c r="A457">
        <v>440</v>
      </c>
      <c r="B457" s="19">
        <v>49.198799999999999</v>
      </c>
      <c r="C457" s="19">
        <v>32.445799999999998</v>
      </c>
      <c r="D457" s="19">
        <v>11.539300000000001</v>
      </c>
      <c r="E457" s="19">
        <v>267.82400000000001</v>
      </c>
      <c r="F457" s="19">
        <v>15.5345</v>
      </c>
      <c r="G457" s="19">
        <v>364.26940000000002</v>
      </c>
      <c r="H457" s="19">
        <v>4488.7614000000003</v>
      </c>
      <c r="I457" s="19">
        <v>8863.0380000000005</v>
      </c>
      <c r="J457" s="75">
        <v>-7624</v>
      </c>
      <c r="K457" s="75">
        <v>-10094.700000000001</v>
      </c>
      <c r="L457" s="75">
        <v>-12494.16</v>
      </c>
      <c r="M457" s="75">
        <v>6171.2000000000007</v>
      </c>
      <c r="N457" s="75">
        <v>-4268.8500000000004</v>
      </c>
      <c r="O457" s="75">
        <v>-7947.0999999999995</v>
      </c>
      <c r="P457" s="75">
        <v>-23661.780000000002</v>
      </c>
      <c r="Q457" s="75">
        <v>91042.08</v>
      </c>
      <c r="R457" s="75">
        <v>31122.690000000002</v>
      </c>
    </row>
    <row r="458" spans="1:18" x14ac:dyDescent="0.3">
      <c r="A458">
        <v>441</v>
      </c>
      <c r="B458" s="19">
        <v>49.204799999999999</v>
      </c>
      <c r="C458" s="19">
        <v>33.579900000000002</v>
      </c>
      <c r="D458" s="19">
        <v>11.491899999999999</v>
      </c>
      <c r="E458" s="19">
        <v>269.58609999999999</v>
      </c>
      <c r="F458" s="19">
        <v>15.175599999999999</v>
      </c>
      <c r="G458" s="19">
        <v>372.69389999999999</v>
      </c>
      <c r="H458" s="19">
        <v>4591.3734999999997</v>
      </c>
      <c r="I458" s="19">
        <v>8410.2407000000003</v>
      </c>
      <c r="J458" s="75">
        <v>-7504</v>
      </c>
      <c r="K458" s="75">
        <v>22227.15</v>
      </c>
      <c r="L458" s="75">
        <v>-16703.28</v>
      </c>
      <c r="M458" s="75">
        <v>12867.18</v>
      </c>
      <c r="N458" s="75">
        <v>-20311.68</v>
      </c>
      <c r="O458" s="75">
        <v>21538.65</v>
      </c>
      <c r="P458" s="75">
        <v>7121.8499999999995</v>
      </c>
      <c r="Q458" s="75">
        <v>482.62</v>
      </c>
      <c r="R458" s="75">
        <v>19718.490000000002</v>
      </c>
    </row>
    <row r="459" spans="1:18" x14ac:dyDescent="0.3">
      <c r="A459">
        <v>442</v>
      </c>
      <c r="B459" s="19">
        <v>49.405799999999999</v>
      </c>
      <c r="C459" s="19">
        <v>33.578600000000002</v>
      </c>
      <c r="D459" s="19">
        <v>11.7477</v>
      </c>
      <c r="E459" s="19">
        <v>278.22179999999997</v>
      </c>
      <c r="F459" s="19">
        <v>16.241700000000002</v>
      </c>
      <c r="G459" s="19">
        <v>355.52809999999999</v>
      </c>
      <c r="H459" s="19">
        <v>4659.6516000000001</v>
      </c>
      <c r="I459" s="19">
        <v>8207.0858000000007</v>
      </c>
      <c r="J459" s="75">
        <v>-3484</v>
      </c>
      <c r="K459" s="75">
        <v>22190.1</v>
      </c>
      <c r="L459" s="75">
        <v>6011.7599999999993</v>
      </c>
      <c r="M459" s="75">
        <v>45682.840000000004</v>
      </c>
      <c r="N459" s="75">
        <v>27342.99</v>
      </c>
      <c r="O459" s="75">
        <v>-38541.65</v>
      </c>
      <c r="P459" s="75">
        <v>27605.279999999999</v>
      </c>
      <c r="Q459" s="75">
        <v>-40148.36</v>
      </c>
      <c r="R459" s="75">
        <v>46658.960000000006</v>
      </c>
    </row>
    <row r="460" spans="1:18" x14ac:dyDescent="0.3">
      <c r="A460">
        <v>443</v>
      </c>
      <c r="B460" s="19">
        <v>49.633600000000001</v>
      </c>
      <c r="C460" s="19">
        <v>33.2727</v>
      </c>
      <c r="D460" s="19">
        <v>12.09</v>
      </c>
      <c r="E460" s="19">
        <v>271.95949999999999</v>
      </c>
      <c r="F460" s="19">
        <v>15.5067</v>
      </c>
      <c r="G460" s="19">
        <v>367.59730000000002</v>
      </c>
      <c r="H460" s="19">
        <v>4589.5628999999999</v>
      </c>
      <c r="I460" s="19">
        <v>8193.5547000000006</v>
      </c>
      <c r="J460" s="75">
        <v>1072</v>
      </c>
      <c r="K460" s="75">
        <v>13471.95</v>
      </c>
      <c r="L460" s="75">
        <v>36408</v>
      </c>
      <c r="M460" s="75">
        <v>21886.1</v>
      </c>
      <c r="N460" s="75">
        <v>-5511.51</v>
      </c>
      <c r="O460" s="75">
        <v>3700.5499999999997</v>
      </c>
      <c r="P460" s="75">
        <v>6578.67</v>
      </c>
      <c r="Q460" s="75">
        <v>-42854.58</v>
      </c>
      <c r="R460" s="75">
        <v>34751.179999999993</v>
      </c>
    </row>
    <row r="461" spans="1:18" x14ac:dyDescent="0.3">
      <c r="A461">
        <v>444</v>
      </c>
      <c r="B461" s="19">
        <v>49.382199999999997</v>
      </c>
      <c r="C461" s="19">
        <v>33.402099999999997</v>
      </c>
      <c r="D461" s="19">
        <v>11.814</v>
      </c>
      <c r="E461" s="19">
        <v>272.767</v>
      </c>
      <c r="F461" s="19">
        <v>15.458399999999999</v>
      </c>
      <c r="G461" s="19">
        <v>355.95499999999998</v>
      </c>
      <c r="H461" s="19">
        <v>4513.4675999999999</v>
      </c>
      <c r="I461" s="19">
        <v>8509.2636000000002</v>
      </c>
      <c r="J461" s="75">
        <v>-3956</v>
      </c>
      <c r="K461" s="75">
        <v>17159.849999999999</v>
      </c>
      <c r="L461" s="75">
        <v>11899.2</v>
      </c>
      <c r="M461" s="75">
        <v>24954.600000000002</v>
      </c>
      <c r="N461" s="75">
        <v>-7670.52</v>
      </c>
      <c r="O461" s="75">
        <v>-37047.5</v>
      </c>
      <c r="P461" s="75">
        <v>-16249.92</v>
      </c>
      <c r="Q461" s="75">
        <v>20287.2</v>
      </c>
      <c r="R461" s="75">
        <v>9376.9100000000053</v>
      </c>
    </row>
    <row r="462" spans="1:18" x14ac:dyDescent="0.3">
      <c r="A462">
        <v>445</v>
      </c>
      <c r="B462" s="19">
        <v>49.584499999999998</v>
      </c>
      <c r="C462" s="19">
        <v>32.340899999999998</v>
      </c>
      <c r="D462" s="19">
        <v>11.853999999999999</v>
      </c>
      <c r="E462" s="19">
        <v>275.05070000000001</v>
      </c>
      <c r="F462" s="19">
        <v>15.5428</v>
      </c>
      <c r="G462" s="19">
        <v>361.0872</v>
      </c>
      <c r="H462" s="19">
        <v>4577.6848</v>
      </c>
      <c r="I462" s="19">
        <v>8405.0231000000003</v>
      </c>
      <c r="J462" s="75">
        <v>90</v>
      </c>
      <c r="K462" s="75">
        <v>-13084.35</v>
      </c>
      <c r="L462" s="75">
        <v>15451.199999999999</v>
      </c>
      <c r="M462" s="75">
        <v>33632.659999999996</v>
      </c>
      <c r="N462" s="75">
        <v>-3897.84</v>
      </c>
      <c r="O462" s="75">
        <v>-19084.8</v>
      </c>
      <c r="P462" s="75">
        <v>3015.2400000000002</v>
      </c>
      <c r="Q462" s="75">
        <v>-560.9</v>
      </c>
      <c r="R462" s="75">
        <v>15561.209999999995</v>
      </c>
    </row>
    <row r="463" spans="1:18" x14ac:dyDescent="0.3">
      <c r="A463">
        <v>446</v>
      </c>
      <c r="B463" s="19">
        <v>49.473599999999998</v>
      </c>
      <c r="C463" s="19">
        <v>33.4771</v>
      </c>
      <c r="D463" s="19">
        <v>11.7014</v>
      </c>
      <c r="E463" s="19">
        <v>254.88640000000001</v>
      </c>
      <c r="F463" s="19">
        <v>15.4009</v>
      </c>
      <c r="G463" s="19">
        <v>372.84120000000001</v>
      </c>
      <c r="H463" s="19">
        <v>4645.8418000000001</v>
      </c>
      <c r="I463" s="19">
        <v>8131.3059000000003</v>
      </c>
      <c r="J463" s="75">
        <v>-2128</v>
      </c>
      <c r="K463" s="75">
        <v>19297.350000000002</v>
      </c>
      <c r="L463" s="75">
        <v>1900.32</v>
      </c>
      <c r="M463" s="75">
        <v>-42991.68</v>
      </c>
      <c r="N463" s="75">
        <v>-10240.77</v>
      </c>
      <c r="O463" s="75">
        <v>22054.2</v>
      </c>
      <c r="P463" s="75">
        <v>23462.34</v>
      </c>
      <c r="Q463" s="75">
        <v>-55304.340000000004</v>
      </c>
      <c r="R463" s="75">
        <v>-43950.58</v>
      </c>
    </row>
    <row r="464" spans="1:18" x14ac:dyDescent="0.3">
      <c r="A464">
        <v>447</v>
      </c>
      <c r="B464" s="19">
        <v>49.633000000000003</v>
      </c>
      <c r="C464" s="19">
        <v>32.181600000000003</v>
      </c>
      <c r="D464" s="19">
        <v>11.7597</v>
      </c>
      <c r="E464" s="19">
        <v>259.83929999999998</v>
      </c>
      <c r="F464" s="19">
        <v>15.5847</v>
      </c>
      <c r="G464" s="19">
        <v>374.07799999999997</v>
      </c>
      <c r="H464" s="19">
        <v>4613.8122000000003</v>
      </c>
      <c r="I464" s="19">
        <v>8999.6510999999991</v>
      </c>
      <c r="J464" s="75">
        <v>1060</v>
      </c>
      <c r="K464" s="75">
        <v>-17624.399999999998</v>
      </c>
      <c r="L464" s="75">
        <v>7077.36</v>
      </c>
      <c r="M464" s="75">
        <v>-24170.66</v>
      </c>
      <c r="N464" s="75">
        <v>-2024.91</v>
      </c>
      <c r="O464" s="75">
        <v>26383</v>
      </c>
      <c r="P464" s="75">
        <v>13853.46</v>
      </c>
      <c r="Q464" s="75">
        <v>118364.7</v>
      </c>
      <c r="R464" s="75">
        <v>122918.54999999999</v>
      </c>
    </row>
    <row r="465" spans="1:18" x14ac:dyDescent="0.3">
      <c r="A465">
        <v>448</v>
      </c>
      <c r="B465" s="19">
        <v>48.849200000000003</v>
      </c>
      <c r="C465" s="19">
        <v>33.165399999999998</v>
      </c>
      <c r="D465" s="19">
        <v>11.732200000000001</v>
      </c>
      <c r="E465" s="19">
        <v>272.17700000000002</v>
      </c>
      <c r="F465" s="19">
        <v>15.138999999999999</v>
      </c>
      <c r="G465" s="19">
        <v>359.76220000000001</v>
      </c>
      <c r="H465" s="19">
        <v>4506.3939</v>
      </c>
      <c r="I465" s="19">
        <v>8287.6996999999992</v>
      </c>
      <c r="J465" s="75">
        <v>-14616</v>
      </c>
      <c r="K465" s="75">
        <v>10413.9</v>
      </c>
      <c r="L465" s="75">
        <v>4635.3600000000006</v>
      </c>
      <c r="M465" s="75">
        <v>22712.600000000002</v>
      </c>
      <c r="N465" s="75">
        <v>-21947.7</v>
      </c>
      <c r="O465" s="75">
        <v>-23722.3</v>
      </c>
      <c r="P465" s="75">
        <v>-18372.03</v>
      </c>
      <c r="Q465" s="75">
        <v>-24025.579999999998</v>
      </c>
      <c r="R465" s="75">
        <v>-64921.75</v>
      </c>
    </row>
    <row r="466" spans="1:18" x14ac:dyDescent="0.3">
      <c r="A466">
        <v>449</v>
      </c>
      <c r="B466" s="19">
        <v>49.605400000000003</v>
      </c>
      <c r="C466" s="19">
        <v>33.0672</v>
      </c>
      <c r="D466" s="19">
        <v>11.7887</v>
      </c>
      <c r="E466" s="19">
        <v>247.89429999999999</v>
      </c>
      <c r="F466" s="19">
        <v>16.090900000000001</v>
      </c>
      <c r="G466" s="19">
        <v>375.1361</v>
      </c>
      <c r="H466" s="19">
        <v>4674.0355</v>
      </c>
      <c r="I466" s="19">
        <v>7761.2457000000004</v>
      </c>
      <c r="J466" s="75">
        <v>508</v>
      </c>
      <c r="K466" s="75">
        <v>7615.2</v>
      </c>
      <c r="L466" s="75">
        <v>9652.5600000000013</v>
      </c>
      <c r="M466" s="75">
        <v>-69561.66</v>
      </c>
      <c r="N466" s="75">
        <v>20602.23</v>
      </c>
      <c r="O466" s="75">
        <v>30086.35</v>
      </c>
      <c r="P466" s="75">
        <v>31920.45</v>
      </c>
      <c r="Q466" s="75">
        <v>-129316.38</v>
      </c>
      <c r="R466" s="75">
        <v>-98493.25</v>
      </c>
    </row>
    <row r="467" spans="1:18" x14ac:dyDescent="0.3">
      <c r="A467">
        <v>450</v>
      </c>
      <c r="B467" s="19">
        <v>49.203200000000002</v>
      </c>
      <c r="C467" s="19">
        <v>33.501100000000001</v>
      </c>
      <c r="D467" s="19">
        <v>11.6668</v>
      </c>
      <c r="E467" s="19">
        <v>267.47800000000001</v>
      </c>
      <c r="F467" s="19">
        <v>15.9849</v>
      </c>
      <c r="G467" s="19">
        <v>375.18599999999998</v>
      </c>
      <c r="H467" s="19">
        <v>4736.0321000000004</v>
      </c>
      <c r="I467" s="19">
        <v>7976.8882999999996</v>
      </c>
      <c r="J467" s="75">
        <v>-7536.0000000000009</v>
      </c>
      <c r="K467" s="75">
        <v>19981.349999999999</v>
      </c>
      <c r="L467" s="75">
        <v>-1172.1600000000001</v>
      </c>
      <c r="M467" s="75">
        <v>4856.4000000000005</v>
      </c>
      <c r="N467" s="75">
        <v>15864.029999999999</v>
      </c>
      <c r="O467" s="75">
        <v>30261.000000000004</v>
      </c>
      <c r="P467" s="75">
        <v>50519.43</v>
      </c>
      <c r="Q467" s="75">
        <v>-86187.86</v>
      </c>
      <c r="R467" s="75">
        <v>26586.190000000002</v>
      </c>
    </row>
    <row r="468" spans="1:18" x14ac:dyDescent="0.3">
      <c r="A468">
        <v>451</v>
      </c>
      <c r="B468" s="19">
        <v>50.318300000000001</v>
      </c>
      <c r="C468" s="19">
        <v>32.719499999999996</v>
      </c>
      <c r="D468" s="19">
        <v>11.3171</v>
      </c>
      <c r="E468" s="19">
        <v>259.14170000000001</v>
      </c>
      <c r="F468" s="19">
        <v>15.148</v>
      </c>
      <c r="G468" s="19">
        <v>355.54989999999998</v>
      </c>
      <c r="H468" s="19">
        <v>4559.3253000000004</v>
      </c>
      <c r="I468" s="19">
        <v>8569.5195999999996</v>
      </c>
      <c r="J468" s="75">
        <v>14766</v>
      </c>
      <c r="K468" s="75">
        <v>-2294.25</v>
      </c>
      <c r="L468" s="75">
        <v>-32225.52</v>
      </c>
      <c r="M468" s="75">
        <v>-26821.54</v>
      </c>
      <c r="N468" s="75">
        <v>-21545.399999999998</v>
      </c>
      <c r="O468" s="75">
        <v>-38465.35</v>
      </c>
      <c r="P468" s="75">
        <v>-2492.61</v>
      </c>
      <c r="Q468" s="75">
        <v>32338.400000000001</v>
      </c>
      <c r="R468" s="75">
        <v>-76740.26999999999</v>
      </c>
    </row>
    <row r="469" spans="1:18" x14ac:dyDescent="0.3">
      <c r="A469">
        <v>452</v>
      </c>
      <c r="B469" s="19">
        <v>50.196599999999997</v>
      </c>
      <c r="C469" s="19">
        <v>33.417700000000004</v>
      </c>
      <c r="D469" s="19">
        <v>11.8979</v>
      </c>
      <c r="E469" s="19">
        <v>278.97669999999999</v>
      </c>
      <c r="F469" s="19">
        <v>15.3878</v>
      </c>
      <c r="G469" s="19">
        <v>370.33920000000001</v>
      </c>
      <c r="H469" s="19">
        <v>4552.6252000000004</v>
      </c>
      <c r="I469" s="19">
        <v>8175.0427</v>
      </c>
      <c r="J469" s="75">
        <v>12332</v>
      </c>
      <c r="K469" s="75">
        <v>17604.45</v>
      </c>
      <c r="L469" s="75">
        <v>19349.52</v>
      </c>
      <c r="M469" s="75">
        <v>48551.46</v>
      </c>
      <c r="N469" s="75">
        <v>-10826.34</v>
      </c>
      <c r="O469" s="75">
        <v>13297.199999999999</v>
      </c>
      <c r="P469" s="75">
        <v>-4502.6400000000003</v>
      </c>
      <c r="Q469" s="75">
        <v>-46556.979999999996</v>
      </c>
      <c r="R469" s="75">
        <v>49248.67</v>
      </c>
    </row>
    <row r="470" spans="1:18" x14ac:dyDescent="0.3">
      <c r="A470">
        <v>453</v>
      </c>
      <c r="B470" s="19">
        <v>50.598300000000002</v>
      </c>
      <c r="C470" s="19">
        <v>32.304499999999997</v>
      </c>
      <c r="D470" s="19">
        <v>11.812900000000001</v>
      </c>
      <c r="E470" s="19">
        <v>264.46660000000003</v>
      </c>
      <c r="F470" s="19">
        <v>15.9621</v>
      </c>
      <c r="G470" s="19">
        <v>362.28390000000002</v>
      </c>
      <c r="H470" s="19">
        <v>4543.5439999999999</v>
      </c>
      <c r="I470" s="19">
        <v>8489.2286000000004</v>
      </c>
      <c r="J470" s="75">
        <v>20366</v>
      </c>
      <c r="K470" s="75">
        <v>-14121.75</v>
      </c>
      <c r="L470" s="75">
        <v>11801.519999999999</v>
      </c>
      <c r="M470" s="75">
        <v>-6586.92</v>
      </c>
      <c r="N470" s="75">
        <v>14844.87</v>
      </c>
      <c r="O470" s="75">
        <v>-14896.35</v>
      </c>
      <c r="P470" s="75">
        <v>-7227</v>
      </c>
      <c r="Q470" s="75">
        <v>16280.199999999999</v>
      </c>
      <c r="R470" s="75">
        <v>20460.569999999996</v>
      </c>
    </row>
    <row r="471" spans="1:18" x14ac:dyDescent="0.3">
      <c r="A471">
        <v>454</v>
      </c>
      <c r="B471" s="19">
        <v>49.979700000000001</v>
      </c>
      <c r="C471" s="19">
        <v>32.764600000000002</v>
      </c>
      <c r="D471" s="19">
        <v>11.630800000000001</v>
      </c>
      <c r="E471" s="19">
        <v>274.1447</v>
      </c>
      <c r="F471" s="19">
        <v>15.4346</v>
      </c>
      <c r="G471" s="19">
        <v>381.45940000000002</v>
      </c>
      <c r="H471" s="19">
        <v>4647.9395000000004</v>
      </c>
      <c r="I471" s="19">
        <v>8078.299</v>
      </c>
      <c r="J471" s="75">
        <v>7994</v>
      </c>
      <c r="K471" s="75">
        <v>-1008.9</v>
      </c>
      <c r="L471" s="75">
        <v>-4368.96</v>
      </c>
      <c r="M471" s="75">
        <v>30189.86</v>
      </c>
      <c r="N471" s="75">
        <v>-8734.3799999999992</v>
      </c>
      <c r="O471" s="75">
        <v>52217.9</v>
      </c>
      <c r="P471" s="75">
        <v>24091.649999999998</v>
      </c>
      <c r="Q471" s="75">
        <v>-65905.72</v>
      </c>
      <c r="R471" s="75">
        <v>34475.449999999997</v>
      </c>
    </row>
    <row r="472" spans="1:18" x14ac:dyDescent="0.3">
      <c r="A472">
        <v>455</v>
      </c>
      <c r="B472" s="19">
        <v>49.455800000000004</v>
      </c>
      <c r="C472" s="19">
        <v>32.615200000000002</v>
      </c>
      <c r="D472" s="19">
        <v>11.5899</v>
      </c>
      <c r="E472" s="19">
        <v>260.69690000000003</v>
      </c>
      <c r="F472" s="19">
        <v>16.092600000000001</v>
      </c>
      <c r="G472" s="19">
        <v>375.63290000000001</v>
      </c>
      <c r="H472" s="19">
        <v>4592.3527000000004</v>
      </c>
      <c r="I472" s="19">
        <v>8843.0702000000001</v>
      </c>
      <c r="J472" s="75">
        <v>-2484</v>
      </c>
      <c r="K472" s="75">
        <v>-5266.8</v>
      </c>
      <c r="L472" s="75">
        <v>-8000.88</v>
      </c>
      <c r="M472" s="75">
        <v>-20911.78</v>
      </c>
      <c r="N472" s="75">
        <v>20678.22</v>
      </c>
      <c r="O472" s="75">
        <v>31825.15</v>
      </c>
      <c r="P472" s="75">
        <v>7415.61</v>
      </c>
      <c r="Q472" s="75">
        <v>87048.51999999999</v>
      </c>
      <c r="R472" s="75">
        <v>110304.04</v>
      </c>
    </row>
    <row r="473" spans="1:18" x14ac:dyDescent="0.3">
      <c r="A473">
        <v>456</v>
      </c>
      <c r="B473" s="19">
        <v>49.923000000000002</v>
      </c>
      <c r="C473" s="19">
        <v>32.89</v>
      </c>
      <c r="D473" s="19">
        <v>11.9314</v>
      </c>
      <c r="E473" s="19">
        <v>264.49560000000002</v>
      </c>
      <c r="F473" s="19">
        <v>15.0563</v>
      </c>
      <c r="G473" s="19">
        <v>374.6748</v>
      </c>
      <c r="H473" s="19">
        <v>4515.2924000000003</v>
      </c>
      <c r="I473" s="19">
        <v>8557.2716999999993</v>
      </c>
      <c r="J473" s="75">
        <v>6860.0000000000009</v>
      </c>
      <c r="K473" s="75">
        <v>2565</v>
      </c>
      <c r="L473" s="75">
        <v>22324.32</v>
      </c>
      <c r="M473" s="75">
        <v>-6476.7199999999993</v>
      </c>
      <c r="N473" s="75">
        <v>-25644.39</v>
      </c>
      <c r="O473" s="75">
        <v>28471.8</v>
      </c>
      <c r="P473" s="75">
        <v>-15702.48</v>
      </c>
      <c r="Q473" s="75">
        <v>29888.82</v>
      </c>
      <c r="R473" s="75">
        <v>42286.35</v>
      </c>
    </row>
    <row r="474" spans="1:18" x14ac:dyDescent="0.3">
      <c r="A474">
        <v>457</v>
      </c>
      <c r="B474" s="19">
        <v>50.542299999999997</v>
      </c>
      <c r="C474" s="19">
        <v>31.8916</v>
      </c>
      <c r="D474" s="19">
        <v>11.402699999999999</v>
      </c>
      <c r="E474" s="19">
        <v>262.10270000000003</v>
      </c>
      <c r="F474" s="19">
        <v>15.8332</v>
      </c>
      <c r="G474" s="19">
        <v>365.0772</v>
      </c>
      <c r="H474" s="19">
        <v>4466.1499000000003</v>
      </c>
      <c r="I474" s="19">
        <v>8450.7572999999993</v>
      </c>
      <c r="J474" s="75">
        <v>19246</v>
      </c>
      <c r="K474" s="75">
        <v>-25889.399999999998</v>
      </c>
      <c r="L474" s="75">
        <v>-24624.239999999998</v>
      </c>
      <c r="M474" s="75">
        <v>-15569.74</v>
      </c>
      <c r="N474" s="75">
        <v>9083.0399999999991</v>
      </c>
      <c r="O474" s="75">
        <v>-5119.8</v>
      </c>
      <c r="P474" s="75">
        <v>-30445.23</v>
      </c>
      <c r="Q474" s="75">
        <v>8585.9399999999987</v>
      </c>
      <c r="R474" s="75">
        <v>-64733.429999999993</v>
      </c>
    </row>
    <row r="475" spans="1:18" x14ac:dyDescent="0.3">
      <c r="A475">
        <v>458</v>
      </c>
      <c r="B475" s="19">
        <v>49.276299999999999</v>
      </c>
      <c r="C475" s="19">
        <v>32.5777</v>
      </c>
      <c r="D475" s="19">
        <v>12.073399999999999</v>
      </c>
      <c r="E475" s="19">
        <v>264.60890000000001</v>
      </c>
      <c r="F475" s="19">
        <v>15.729100000000001</v>
      </c>
      <c r="G475" s="19">
        <v>369.02859999999998</v>
      </c>
      <c r="H475" s="19">
        <v>4707.2268000000004</v>
      </c>
      <c r="I475" s="19">
        <v>8152.5829000000003</v>
      </c>
      <c r="J475" s="75">
        <v>-6074.0000000000009</v>
      </c>
      <c r="K475" s="75">
        <v>-6335.55</v>
      </c>
      <c r="L475" s="75">
        <v>34933.920000000006</v>
      </c>
      <c r="M475" s="75">
        <v>-6046.18</v>
      </c>
      <c r="N475" s="75">
        <v>4429.7699999999995</v>
      </c>
      <c r="O475" s="75">
        <v>8710.1</v>
      </c>
      <c r="P475" s="75">
        <v>41877.840000000004</v>
      </c>
      <c r="Q475" s="75">
        <v>-51048.94</v>
      </c>
      <c r="R475" s="75">
        <v>20446.960000000006</v>
      </c>
    </row>
    <row r="476" spans="1:18" x14ac:dyDescent="0.3">
      <c r="A476">
        <v>459</v>
      </c>
      <c r="B476" s="19">
        <v>49.1526</v>
      </c>
      <c r="C476" s="19">
        <v>33.064599999999999</v>
      </c>
      <c r="D476" s="19">
        <v>11.875</v>
      </c>
      <c r="E476" s="19">
        <v>276.68939999999998</v>
      </c>
      <c r="F476" s="19">
        <v>15.818199999999999</v>
      </c>
      <c r="G476" s="19">
        <v>376.4332</v>
      </c>
      <c r="H476" s="19">
        <v>4512.9039000000002</v>
      </c>
      <c r="I476" s="19">
        <v>8042.1491999999998</v>
      </c>
      <c r="J476" s="75">
        <v>-8548</v>
      </c>
      <c r="K476" s="75">
        <v>7541.1</v>
      </c>
      <c r="L476" s="75">
        <v>17316</v>
      </c>
      <c r="M476" s="75">
        <v>39859.72</v>
      </c>
      <c r="N476" s="75">
        <v>8412.5400000000009</v>
      </c>
      <c r="O476" s="75">
        <v>34626.200000000004</v>
      </c>
      <c r="P476" s="75">
        <v>-16419.03</v>
      </c>
      <c r="Q476" s="75">
        <v>-73135.680000000008</v>
      </c>
      <c r="R476" s="75">
        <v>9652.8499999999913</v>
      </c>
    </row>
    <row r="477" spans="1:18" x14ac:dyDescent="0.3">
      <c r="A477">
        <v>460</v>
      </c>
      <c r="B477" s="19">
        <v>49.772300000000001</v>
      </c>
      <c r="C477" s="19">
        <v>32.077300000000001</v>
      </c>
      <c r="D477" s="19">
        <v>11.7766</v>
      </c>
      <c r="E477" s="19">
        <v>265.74459999999999</v>
      </c>
      <c r="F477" s="19">
        <v>15.7722</v>
      </c>
      <c r="G477" s="19">
        <v>363.4076</v>
      </c>
      <c r="H477" s="19">
        <v>4541.6530000000002</v>
      </c>
      <c r="I477" s="19">
        <v>8590.9294000000009</v>
      </c>
      <c r="J477" s="75">
        <v>3846</v>
      </c>
      <c r="K477" s="75">
        <v>-20596.95</v>
      </c>
      <c r="L477" s="75">
        <v>8578.08</v>
      </c>
      <c r="M477" s="75">
        <v>-1730.5200000000002</v>
      </c>
      <c r="N477" s="75">
        <v>6356.3399999999992</v>
      </c>
      <c r="O477" s="75">
        <v>-10963.4</v>
      </c>
      <c r="P477" s="75">
        <v>-7794.3</v>
      </c>
      <c r="Q477" s="75">
        <v>36620.36</v>
      </c>
      <c r="R477" s="75">
        <v>14315.61</v>
      </c>
    </row>
    <row r="478" spans="1:18" x14ac:dyDescent="0.3">
      <c r="A478">
        <v>461</v>
      </c>
      <c r="B478" s="19">
        <v>48.645200000000003</v>
      </c>
      <c r="C478" s="19">
        <v>32.422600000000003</v>
      </c>
      <c r="D478" s="19">
        <v>11.7029</v>
      </c>
      <c r="E478" s="19">
        <v>264.45319999999998</v>
      </c>
      <c r="F478" s="19">
        <v>15.7608</v>
      </c>
      <c r="G478" s="19">
        <v>360.09449999999998</v>
      </c>
      <c r="H478" s="19">
        <v>4677.8257000000003</v>
      </c>
      <c r="I478" s="19">
        <v>9190.4850000000006</v>
      </c>
      <c r="J478" s="75">
        <v>-18696</v>
      </c>
      <c r="K478" s="75">
        <v>-10755.9</v>
      </c>
      <c r="L478" s="75">
        <v>2033.52</v>
      </c>
      <c r="M478" s="75">
        <v>-6637.8399999999992</v>
      </c>
      <c r="N478" s="75">
        <v>5846.76</v>
      </c>
      <c r="O478" s="75">
        <v>-22559.25</v>
      </c>
      <c r="P478" s="75">
        <v>33057.51</v>
      </c>
      <c r="Q478" s="75">
        <v>156531.48000000001</v>
      </c>
      <c r="R478" s="75">
        <v>138820.28000000003</v>
      </c>
    </row>
    <row r="479" spans="1:18" x14ac:dyDescent="0.3">
      <c r="A479">
        <v>462</v>
      </c>
      <c r="B479" s="19">
        <v>49.376199999999997</v>
      </c>
      <c r="C479" s="19">
        <v>32.040399999999998</v>
      </c>
      <c r="D479" s="19">
        <v>11.632099999999999</v>
      </c>
      <c r="E479" s="19">
        <v>266.54219999999998</v>
      </c>
      <c r="F479" s="19">
        <v>15.4406</v>
      </c>
      <c r="G479" s="19">
        <v>373.4495</v>
      </c>
      <c r="H479" s="19">
        <v>4565.9218000000001</v>
      </c>
      <c r="I479" s="19">
        <v>8340.4315000000006</v>
      </c>
      <c r="J479" s="75">
        <v>-4076</v>
      </c>
      <c r="K479" s="75">
        <v>-21648.600000000002</v>
      </c>
      <c r="L479" s="75">
        <v>-4253.5199999999995</v>
      </c>
      <c r="M479" s="75">
        <v>1300.3600000000001</v>
      </c>
      <c r="N479" s="75">
        <v>-8466.18</v>
      </c>
      <c r="O479" s="75">
        <v>24183.25</v>
      </c>
      <c r="P479" s="75">
        <v>-513.66</v>
      </c>
      <c r="Q479" s="75">
        <v>-13479.220000000001</v>
      </c>
      <c r="R479" s="75">
        <v>-26953.570000000003</v>
      </c>
    </row>
    <row r="480" spans="1:18" x14ac:dyDescent="0.3">
      <c r="A480">
        <v>463</v>
      </c>
      <c r="B480" s="19">
        <v>49.769799999999996</v>
      </c>
      <c r="C480" s="19">
        <v>33.243899999999996</v>
      </c>
      <c r="D480" s="19">
        <v>11.624599999999999</v>
      </c>
      <c r="E480" s="19">
        <v>269.58620000000002</v>
      </c>
      <c r="F480" s="19">
        <v>15.4811</v>
      </c>
      <c r="G480" s="19">
        <v>357.78539999999998</v>
      </c>
      <c r="H480" s="19">
        <v>4529.7053999999998</v>
      </c>
      <c r="I480" s="19">
        <v>8106.8963000000003</v>
      </c>
      <c r="J480" s="75">
        <v>3796</v>
      </c>
      <c r="K480" s="75">
        <v>12651.15</v>
      </c>
      <c r="L480" s="75">
        <v>-4919.5199999999995</v>
      </c>
      <c r="M480" s="75">
        <v>12867.56</v>
      </c>
      <c r="N480" s="75">
        <v>-6655.83</v>
      </c>
      <c r="O480" s="75">
        <v>-30641.1</v>
      </c>
      <c r="P480" s="75">
        <v>-11378.580000000002</v>
      </c>
      <c r="Q480" s="75">
        <v>-60186.26</v>
      </c>
      <c r="R480" s="75">
        <v>-84466.58</v>
      </c>
    </row>
    <row r="481" spans="1:18" x14ac:dyDescent="0.3">
      <c r="A481">
        <v>464</v>
      </c>
      <c r="B481" s="19">
        <v>49.029200000000003</v>
      </c>
      <c r="C481" s="19">
        <v>32.363599999999998</v>
      </c>
      <c r="D481" s="19">
        <v>11.0457</v>
      </c>
      <c r="E481" s="19">
        <v>263.05119999999999</v>
      </c>
      <c r="F481" s="19">
        <v>15.6389</v>
      </c>
      <c r="G481" s="19">
        <v>370.91489999999999</v>
      </c>
      <c r="H481" s="19">
        <v>4625.2686000000003</v>
      </c>
      <c r="I481" s="19">
        <v>7920.8558999999996</v>
      </c>
      <c r="J481" s="75">
        <v>-11016</v>
      </c>
      <c r="K481" s="75">
        <v>-12437.4</v>
      </c>
      <c r="L481" s="75">
        <v>-56325.84</v>
      </c>
      <c r="M481" s="75">
        <v>-11965.44</v>
      </c>
      <c r="N481" s="75">
        <v>397.83</v>
      </c>
      <c r="O481" s="75">
        <v>15312.150000000001</v>
      </c>
      <c r="P481" s="75">
        <v>17290.38</v>
      </c>
      <c r="Q481" s="75">
        <v>-97394.34</v>
      </c>
      <c r="R481" s="75">
        <v>-156138.65999999997</v>
      </c>
    </row>
    <row r="482" spans="1:18" x14ac:dyDescent="0.3">
      <c r="A482">
        <v>465</v>
      </c>
      <c r="B482" s="19">
        <v>49.027799999999999</v>
      </c>
      <c r="C482" s="19">
        <v>33.1357</v>
      </c>
      <c r="D482" s="19">
        <v>11.526999999999999</v>
      </c>
      <c r="E482" s="19">
        <v>268.14499999999998</v>
      </c>
      <c r="F482" s="19">
        <v>15.5558</v>
      </c>
      <c r="G482" s="19">
        <v>366.3528</v>
      </c>
      <c r="H482" s="19">
        <v>4518.9705999999996</v>
      </c>
      <c r="I482" s="19">
        <v>8217.9796000000006</v>
      </c>
      <c r="J482" s="75">
        <v>-11044</v>
      </c>
      <c r="K482" s="75">
        <v>9567.4500000000007</v>
      </c>
      <c r="L482" s="75">
        <v>-13586.4</v>
      </c>
      <c r="M482" s="75">
        <v>7391</v>
      </c>
      <c r="N482" s="75">
        <v>-3316.7400000000002</v>
      </c>
      <c r="O482" s="75">
        <v>-655.20000000000005</v>
      </c>
      <c r="P482" s="75">
        <v>-14599.02</v>
      </c>
      <c r="Q482" s="75">
        <v>-37969.600000000006</v>
      </c>
      <c r="R482" s="75">
        <v>-64212.510000000009</v>
      </c>
    </row>
    <row r="483" spans="1:18" x14ac:dyDescent="0.3">
      <c r="A483">
        <v>466</v>
      </c>
      <c r="B483" s="19">
        <v>49.317599999999999</v>
      </c>
      <c r="C483" s="19">
        <v>33.740699999999997</v>
      </c>
      <c r="D483" s="19">
        <v>11.5738</v>
      </c>
      <c r="E483" s="19">
        <v>274.33620000000002</v>
      </c>
      <c r="F483" s="19">
        <v>15.114699999999999</v>
      </c>
      <c r="G483" s="19">
        <v>356.62709999999998</v>
      </c>
      <c r="H483" s="19">
        <v>4476.6337999999996</v>
      </c>
      <c r="I483" s="19">
        <v>9357.6144999999997</v>
      </c>
      <c r="J483" s="75">
        <v>-5248</v>
      </c>
      <c r="K483" s="75">
        <v>26809.95</v>
      </c>
      <c r="L483" s="75">
        <v>-9430.56</v>
      </c>
      <c r="M483" s="75">
        <v>30917.56</v>
      </c>
      <c r="N483" s="75">
        <v>-23033.91</v>
      </c>
      <c r="O483" s="75">
        <v>-34695.15</v>
      </c>
      <c r="P483" s="75">
        <v>-27300.06</v>
      </c>
      <c r="Q483" s="75">
        <v>189957.37999999998</v>
      </c>
      <c r="R483" s="75">
        <v>147977.20999999996</v>
      </c>
    </row>
    <row r="484" spans="1:18" x14ac:dyDescent="0.3">
      <c r="A484">
        <v>467</v>
      </c>
      <c r="B484" s="19">
        <v>49.444299999999998</v>
      </c>
      <c r="C484" s="19">
        <v>33.176900000000003</v>
      </c>
      <c r="D484" s="19">
        <v>11.8512</v>
      </c>
      <c r="E484" s="19">
        <v>264.11709999999999</v>
      </c>
      <c r="F484" s="19">
        <v>15.633699999999999</v>
      </c>
      <c r="G484" s="19">
        <v>361.91230000000002</v>
      </c>
      <c r="H484" s="19">
        <v>4552.7547000000004</v>
      </c>
      <c r="I484" s="19">
        <v>8045.4498999999996</v>
      </c>
      <c r="J484" s="75">
        <v>-2713.9999999999995</v>
      </c>
      <c r="K484" s="75">
        <v>10741.65</v>
      </c>
      <c r="L484" s="75">
        <v>15202.56</v>
      </c>
      <c r="M484" s="75">
        <v>-7915.0199999999995</v>
      </c>
      <c r="N484" s="75">
        <v>165.39000000000001</v>
      </c>
      <c r="O484" s="75">
        <v>-16196.949999999999</v>
      </c>
      <c r="P484" s="75">
        <v>-4463.79</v>
      </c>
      <c r="Q484" s="75">
        <v>-72475.540000000008</v>
      </c>
      <c r="R484" s="75">
        <v>-77655.700000000012</v>
      </c>
    </row>
    <row r="485" spans="1:18" x14ac:dyDescent="0.3">
      <c r="A485">
        <v>468</v>
      </c>
      <c r="B485" s="19">
        <v>49.617800000000003</v>
      </c>
      <c r="C485" s="19">
        <v>32.7455</v>
      </c>
      <c r="D485" s="19">
        <v>12.0573</v>
      </c>
      <c r="E485" s="19">
        <v>260.3913</v>
      </c>
      <c r="F485" s="19">
        <v>15.513400000000001</v>
      </c>
      <c r="G485" s="19">
        <v>365.39519999999999</v>
      </c>
      <c r="H485" s="19">
        <v>4544.6944000000003</v>
      </c>
      <c r="I485" s="19">
        <v>8167.6116000000002</v>
      </c>
      <c r="J485" s="75">
        <v>756</v>
      </c>
      <c r="K485" s="75">
        <v>-1553.25</v>
      </c>
      <c r="L485" s="75">
        <v>33504.240000000005</v>
      </c>
      <c r="M485" s="75">
        <v>-22073.06</v>
      </c>
      <c r="N485" s="75">
        <v>-5212.0199999999995</v>
      </c>
      <c r="O485" s="75">
        <v>-4006.8</v>
      </c>
      <c r="P485" s="75">
        <v>-6881.8799999999992</v>
      </c>
      <c r="Q485" s="75">
        <v>-48043.200000000004</v>
      </c>
      <c r="R485" s="75">
        <v>-53509.97</v>
      </c>
    </row>
    <row r="486" spans="1:18" x14ac:dyDescent="0.3">
      <c r="A486">
        <v>469</v>
      </c>
      <c r="B486" s="19">
        <v>49.342700000000001</v>
      </c>
      <c r="C486" s="19">
        <v>32.999400000000001</v>
      </c>
      <c r="D486" s="19">
        <v>11.746700000000001</v>
      </c>
      <c r="E486" s="19">
        <v>273.1832</v>
      </c>
      <c r="F486" s="19">
        <v>15.8245</v>
      </c>
      <c r="G486" s="19">
        <v>366.94540000000001</v>
      </c>
      <c r="H486" s="19">
        <v>4656.0704999999998</v>
      </c>
      <c r="I486" s="19">
        <v>9296.1173999999992</v>
      </c>
      <c r="J486" s="75">
        <v>-4746</v>
      </c>
      <c r="K486" s="75">
        <v>5682.9</v>
      </c>
      <c r="L486" s="75">
        <v>5922.96</v>
      </c>
      <c r="M486" s="75">
        <v>26536.16</v>
      </c>
      <c r="N486" s="75">
        <v>8694.15</v>
      </c>
      <c r="O486" s="75">
        <v>1418.8999999999999</v>
      </c>
      <c r="P486" s="75">
        <v>26530.949999999997</v>
      </c>
      <c r="Q486" s="75">
        <v>177657.96</v>
      </c>
      <c r="R486" s="75">
        <v>247697.97999999998</v>
      </c>
    </row>
    <row r="487" spans="1:18" x14ac:dyDescent="0.3">
      <c r="A487">
        <v>470</v>
      </c>
      <c r="B487" s="19">
        <v>49.323900000000002</v>
      </c>
      <c r="C487" s="19">
        <v>32.481499999999997</v>
      </c>
      <c r="D487" s="19">
        <v>12.068199999999999</v>
      </c>
      <c r="E487" s="19">
        <v>273.54329999999999</v>
      </c>
      <c r="F487" s="19">
        <v>15.7296</v>
      </c>
      <c r="G487" s="19">
        <v>359.4477</v>
      </c>
      <c r="H487" s="19">
        <v>4501.3023999999996</v>
      </c>
      <c r="I487" s="19">
        <v>8556.7248</v>
      </c>
      <c r="J487" s="75">
        <v>-5122</v>
      </c>
      <c r="K487" s="75">
        <v>-9077.25</v>
      </c>
      <c r="L487" s="75">
        <v>34472.159999999996</v>
      </c>
      <c r="M487" s="75">
        <v>27904.54</v>
      </c>
      <c r="N487" s="75">
        <v>4452.12</v>
      </c>
      <c r="O487" s="75">
        <v>-24823.05</v>
      </c>
      <c r="P487" s="75">
        <v>-19899.48</v>
      </c>
      <c r="Q487" s="75">
        <v>29779.439999999999</v>
      </c>
      <c r="R487" s="75">
        <v>37686.479999999996</v>
      </c>
    </row>
    <row r="488" spans="1:18" x14ac:dyDescent="0.3">
      <c r="A488">
        <v>471</v>
      </c>
      <c r="B488" s="19">
        <v>49.927199999999999</v>
      </c>
      <c r="C488" s="19">
        <v>32.087699999999998</v>
      </c>
      <c r="D488" s="19">
        <v>11.374599999999999</v>
      </c>
      <c r="E488" s="19">
        <v>277.90069999999997</v>
      </c>
      <c r="F488" s="19">
        <v>15.6967</v>
      </c>
      <c r="G488" s="19">
        <v>370.69779999999997</v>
      </c>
      <c r="H488" s="19">
        <v>4683.7768999999998</v>
      </c>
      <c r="I488" s="19">
        <v>8160.6954999999998</v>
      </c>
      <c r="J488" s="75">
        <v>6944</v>
      </c>
      <c r="K488" s="75">
        <v>-20300.550000000003</v>
      </c>
      <c r="L488" s="75">
        <v>-27119.52</v>
      </c>
      <c r="M488" s="75">
        <v>44462.659999999996</v>
      </c>
      <c r="N488" s="75">
        <v>2981.49</v>
      </c>
      <c r="O488" s="75">
        <v>14552.3</v>
      </c>
      <c r="P488" s="75">
        <v>34842.870000000003</v>
      </c>
      <c r="Q488" s="75">
        <v>-49426.42</v>
      </c>
      <c r="R488" s="75">
        <v>6936.8299999999945</v>
      </c>
    </row>
    <row r="489" spans="1:18" x14ac:dyDescent="0.3">
      <c r="A489">
        <v>472</v>
      </c>
      <c r="B489" s="19">
        <v>49.341099999999997</v>
      </c>
      <c r="C489" s="19">
        <v>32.568199999999997</v>
      </c>
      <c r="D489" s="19">
        <v>11.764099999999999</v>
      </c>
      <c r="E489" s="19">
        <v>267.96460000000002</v>
      </c>
      <c r="F489" s="19">
        <v>15.583299999999999</v>
      </c>
      <c r="G489" s="19">
        <v>377.358</v>
      </c>
      <c r="H489" s="19">
        <v>4667.2257</v>
      </c>
      <c r="I489" s="19">
        <v>8243.6169000000009</v>
      </c>
      <c r="J489" s="75">
        <v>-4778</v>
      </c>
      <c r="K489" s="75">
        <v>-6606.3</v>
      </c>
      <c r="L489" s="75">
        <v>7468.08</v>
      </c>
      <c r="M489" s="75">
        <v>6705.48</v>
      </c>
      <c r="N489" s="75">
        <v>-2087.4899999999998</v>
      </c>
      <c r="O489" s="75">
        <v>37863</v>
      </c>
      <c r="P489" s="75">
        <v>29877.510000000002</v>
      </c>
      <c r="Q489" s="75">
        <v>-32842.14</v>
      </c>
      <c r="R489" s="75">
        <v>35600.14</v>
      </c>
    </row>
    <row r="490" spans="1:18" x14ac:dyDescent="0.3">
      <c r="A490">
        <v>473</v>
      </c>
      <c r="B490" s="19">
        <v>49.418399999999998</v>
      </c>
      <c r="C490" s="19">
        <v>32.427599999999998</v>
      </c>
      <c r="D490" s="19">
        <v>11.82</v>
      </c>
      <c r="E490" s="19">
        <v>262.0883</v>
      </c>
      <c r="F490" s="19">
        <v>15.6744</v>
      </c>
      <c r="G490" s="19">
        <v>371.25110000000001</v>
      </c>
      <c r="H490" s="19">
        <v>4525.1432000000004</v>
      </c>
      <c r="I490" s="19">
        <v>7949.5369000000001</v>
      </c>
      <c r="J490" s="75">
        <v>-3232</v>
      </c>
      <c r="K490" s="75">
        <v>-10613.4</v>
      </c>
      <c r="L490" s="75">
        <v>12432.000000000002</v>
      </c>
      <c r="M490" s="75">
        <v>-15624.46</v>
      </c>
      <c r="N490" s="75">
        <v>1984.68</v>
      </c>
      <c r="O490" s="75">
        <v>16488.849999999999</v>
      </c>
      <c r="P490" s="75">
        <v>-12747.24</v>
      </c>
      <c r="Q490" s="75">
        <v>-91658.14</v>
      </c>
      <c r="R490" s="75">
        <v>-102969.70999999999</v>
      </c>
    </row>
    <row r="491" spans="1:18" x14ac:dyDescent="0.3">
      <c r="A491">
        <v>474</v>
      </c>
      <c r="B491" s="19">
        <v>49.4467</v>
      </c>
      <c r="C491" s="19">
        <v>32.693399999999997</v>
      </c>
      <c r="D491" s="19">
        <v>11.514099999999999</v>
      </c>
      <c r="E491" s="19">
        <v>279.25630000000001</v>
      </c>
      <c r="F491" s="19">
        <v>15.421200000000001</v>
      </c>
      <c r="G491" s="19">
        <v>373.06729999999999</v>
      </c>
      <c r="H491" s="19">
        <v>4498.2029000000002</v>
      </c>
      <c r="I491" s="19">
        <v>8553.3767000000007</v>
      </c>
      <c r="J491" s="75">
        <v>-2666</v>
      </c>
      <c r="K491" s="75">
        <v>-3038.1</v>
      </c>
      <c r="L491" s="75">
        <v>-14731.92</v>
      </c>
      <c r="M491" s="75">
        <v>49613.94</v>
      </c>
      <c r="N491" s="75">
        <v>-9333.36</v>
      </c>
      <c r="O491" s="75">
        <v>22845.550000000003</v>
      </c>
      <c r="P491" s="75">
        <v>-20829.330000000002</v>
      </c>
      <c r="Q491" s="75">
        <v>29109.820000000003</v>
      </c>
      <c r="R491" s="75">
        <v>50970.600000000006</v>
      </c>
    </row>
    <row r="492" spans="1:18" x14ac:dyDescent="0.3">
      <c r="A492">
        <v>475</v>
      </c>
      <c r="B492" s="19">
        <v>49.982900000000001</v>
      </c>
      <c r="C492" s="19">
        <v>32.556100000000001</v>
      </c>
      <c r="D492" s="19">
        <v>11.727600000000001</v>
      </c>
      <c r="E492" s="19">
        <v>272.35640000000001</v>
      </c>
      <c r="F492" s="19">
        <v>15.476699999999999</v>
      </c>
      <c r="G492" s="19">
        <v>363.99380000000002</v>
      </c>
      <c r="H492" s="19">
        <v>4541.1673000000001</v>
      </c>
      <c r="I492" s="19">
        <v>8456.9313999999995</v>
      </c>
      <c r="J492" s="75">
        <v>8058</v>
      </c>
      <c r="K492" s="75">
        <v>-6951.1500000000005</v>
      </c>
      <c r="L492" s="75">
        <v>4226.88</v>
      </c>
      <c r="M492" s="75">
        <v>23394.32</v>
      </c>
      <c r="N492" s="75">
        <v>-6852.5099999999993</v>
      </c>
      <c r="O492" s="75">
        <v>-8911.6999999999989</v>
      </c>
      <c r="P492" s="75">
        <v>-7940.01</v>
      </c>
      <c r="Q492" s="75">
        <v>9820.76</v>
      </c>
      <c r="R492" s="75">
        <v>14844.590000000002</v>
      </c>
    </row>
    <row r="493" spans="1:18" x14ac:dyDescent="0.3">
      <c r="A493">
        <v>476</v>
      </c>
      <c r="B493" s="19">
        <v>49.456099999999999</v>
      </c>
      <c r="C493" s="19">
        <v>32.945799999999998</v>
      </c>
      <c r="D493" s="19">
        <v>11.5778</v>
      </c>
      <c r="E493" s="19">
        <v>267.21249999999998</v>
      </c>
      <c r="F493" s="19">
        <v>15.626799999999999</v>
      </c>
      <c r="G493" s="19">
        <v>360.3768</v>
      </c>
      <c r="H493" s="19">
        <v>4608.8806999999997</v>
      </c>
      <c r="I493" s="19">
        <v>8820.9295999999995</v>
      </c>
      <c r="J493" s="75">
        <v>-2478</v>
      </c>
      <c r="K493" s="75">
        <v>4155.3</v>
      </c>
      <c r="L493" s="75">
        <v>-9075.36</v>
      </c>
      <c r="M493" s="75">
        <v>3847.5</v>
      </c>
      <c r="N493" s="75">
        <v>-143.04000000000002</v>
      </c>
      <c r="O493" s="75">
        <v>-21571.200000000001</v>
      </c>
      <c r="P493" s="75">
        <v>12374.009999999998</v>
      </c>
      <c r="Q493" s="75">
        <v>82620.399999999994</v>
      </c>
      <c r="R493" s="75">
        <v>69729.609999999986</v>
      </c>
    </row>
    <row r="494" spans="1:18" x14ac:dyDescent="0.3">
      <c r="A494">
        <v>477</v>
      </c>
      <c r="B494" s="19">
        <v>49.809800000000003</v>
      </c>
      <c r="C494" s="19">
        <v>32.6828</v>
      </c>
      <c r="D494" s="19">
        <v>11.6432</v>
      </c>
      <c r="E494" s="19">
        <v>257.54649999999998</v>
      </c>
      <c r="F494" s="19">
        <v>15.491899999999999</v>
      </c>
      <c r="G494" s="19">
        <v>367.89389999999997</v>
      </c>
      <c r="H494" s="19">
        <v>4740.9721</v>
      </c>
      <c r="I494" s="19">
        <v>8424.1592000000001</v>
      </c>
      <c r="J494" s="75">
        <v>4596</v>
      </c>
      <c r="K494" s="75">
        <v>-3340.2</v>
      </c>
      <c r="L494" s="75">
        <v>-3267.84</v>
      </c>
      <c r="M494" s="75">
        <v>-32883.299999999996</v>
      </c>
      <c r="N494" s="75">
        <v>-6173.07</v>
      </c>
      <c r="O494" s="75">
        <v>4738.6500000000005</v>
      </c>
      <c r="P494" s="75">
        <v>52001.43</v>
      </c>
      <c r="Q494" s="75">
        <v>3266.32</v>
      </c>
      <c r="R494" s="75">
        <v>18937.990000000005</v>
      </c>
    </row>
    <row r="495" spans="1:18" x14ac:dyDescent="0.3">
      <c r="A495">
        <v>478</v>
      </c>
      <c r="B495" s="19">
        <v>49.729500000000002</v>
      </c>
      <c r="C495" s="19">
        <v>33.256399999999999</v>
      </c>
      <c r="D495" s="19">
        <v>12.182399999999999</v>
      </c>
      <c r="E495" s="19">
        <v>265.55380000000002</v>
      </c>
      <c r="F495" s="19">
        <v>15.6136</v>
      </c>
      <c r="G495" s="19">
        <v>367.74590000000001</v>
      </c>
      <c r="H495" s="19">
        <v>4442.3901999999998</v>
      </c>
      <c r="I495" s="19">
        <v>8589.5787999999993</v>
      </c>
      <c r="J495" s="75">
        <v>2990</v>
      </c>
      <c r="K495" s="75">
        <v>13007.4</v>
      </c>
      <c r="L495" s="75">
        <v>44613.119999999995</v>
      </c>
      <c r="M495" s="75">
        <v>-2455.56</v>
      </c>
      <c r="N495" s="75">
        <v>-733.08</v>
      </c>
      <c r="O495" s="75">
        <v>4220.6499999999996</v>
      </c>
      <c r="P495" s="75">
        <v>-37573.14</v>
      </c>
      <c r="Q495" s="75">
        <v>36350.240000000005</v>
      </c>
      <c r="R495" s="75">
        <v>60419.630000000005</v>
      </c>
    </row>
    <row r="496" spans="1:18" x14ac:dyDescent="0.3">
      <c r="A496">
        <v>479</v>
      </c>
      <c r="B496" s="19">
        <v>49.452599999999997</v>
      </c>
      <c r="C496" s="19">
        <v>32.727499999999999</v>
      </c>
      <c r="D496" s="19">
        <v>12.129200000000001</v>
      </c>
      <c r="E496" s="19">
        <v>262.18680000000001</v>
      </c>
      <c r="F496" s="19">
        <v>15.5411</v>
      </c>
      <c r="G496" s="19">
        <v>357.10489999999999</v>
      </c>
      <c r="H496" s="19">
        <v>4649.4852000000001</v>
      </c>
      <c r="I496" s="19">
        <v>7839.0788000000002</v>
      </c>
      <c r="J496" s="75">
        <v>-2548.0000000000005</v>
      </c>
      <c r="K496" s="75">
        <v>-2066.25</v>
      </c>
      <c r="L496" s="75">
        <v>39888.959999999999</v>
      </c>
      <c r="M496" s="75">
        <v>-15250.160000000002</v>
      </c>
      <c r="N496" s="75">
        <v>-3973.8300000000004</v>
      </c>
      <c r="O496" s="75">
        <v>-33022.85</v>
      </c>
      <c r="P496" s="75">
        <v>24555.360000000001</v>
      </c>
      <c r="Q496" s="75">
        <v>-113749.75999999999</v>
      </c>
      <c r="R496" s="75">
        <v>-106166.53</v>
      </c>
    </row>
    <row r="497" spans="1:18" x14ac:dyDescent="0.3">
      <c r="A497">
        <v>480</v>
      </c>
      <c r="B497" s="19">
        <v>50.260599999999997</v>
      </c>
      <c r="C497" s="19">
        <v>32.706200000000003</v>
      </c>
      <c r="D497" s="19">
        <v>11.746499999999999</v>
      </c>
      <c r="E497" s="19">
        <v>274.0489</v>
      </c>
      <c r="F497" s="19">
        <v>15.9313</v>
      </c>
      <c r="G497" s="19">
        <v>367.60570000000001</v>
      </c>
      <c r="H497" s="19">
        <v>4439.7385000000004</v>
      </c>
      <c r="I497" s="19">
        <v>8496.6322</v>
      </c>
      <c r="J497" s="75">
        <v>13612</v>
      </c>
      <c r="K497" s="75">
        <v>-2673.2999999999997</v>
      </c>
      <c r="L497" s="75">
        <v>5905.2000000000007</v>
      </c>
      <c r="M497" s="75">
        <v>29825.820000000003</v>
      </c>
      <c r="N497" s="75">
        <v>13468.11</v>
      </c>
      <c r="O497" s="75">
        <v>3729.9500000000003</v>
      </c>
      <c r="P497" s="75">
        <v>-38368.65</v>
      </c>
      <c r="Q497" s="75">
        <v>17760.919999999998</v>
      </c>
      <c r="R497" s="75">
        <v>43260.049999999996</v>
      </c>
    </row>
    <row r="498" spans="1:18" x14ac:dyDescent="0.3">
      <c r="A498">
        <v>481</v>
      </c>
      <c r="B498" s="19">
        <v>49.714199999999998</v>
      </c>
      <c r="C498" s="19">
        <v>32.921199999999999</v>
      </c>
      <c r="D498" s="19">
        <v>11.6983</v>
      </c>
      <c r="E498" s="19">
        <v>273.58300000000003</v>
      </c>
      <c r="F498" s="19">
        <v>15.620200000000001</v>
      </c>
      <c r="G498" s="19">
        <v>371.41120000000001</v>
      </c>
      <c r="H498" s="19">
        <v>4575.2188999999998</v>
      </c>
      <c r="I498" s="19">
        <v>8553.1605999999992</v>
      </c>
      <c r="J498" s="75">
        <v>2684.0000000000005</v>
      </c>
      <c r="K498" s="75">
        <v>3454.2000000000003</v>
      </c>
      <c r="L498" s="75">
        <v>1625.04</v>
      </c>
      <c r="M498" s="75">
        <v>28055.4</v>
      </c>
      <c r="N498" s="75">
        <v>-438.06</v>
      </c>
      <c r="O498" s="75">
        <v>17049.2</v>
      </c>
      <c r="P498" s="75">
        <v>2275.4700000000003</v>
      </c>
      <c r="Q498" s="75">
        <v>29066.6</v>
      </c>
      <c r="R498" s="75">
        <v>83771.850000000006</v>
      </c>
    </row>
    <row r="499" spans="1:18" x14ac:dyDescent="0.3">
      <c r="A499">
        <v>482</v>
      </c>
      <c r="B499" s="19">
        <v>49.571399999999997</v>
      </c>
      <c r="C499" s="19">
        <v>32.985500000000002</v>
      </c>
      <c r="D499" s="19">
        <v>11.4352</v>
      </c>
      <c r="E499" s="19">
        <v>259.79919999999998</v>
      </c>
      <c r="F499" s="19">
        <v>15.405200000000001</v>
      </c>
      <c r="G499" s="19">
        <v>349.84480000000002</v>
      </c>
      <c r="H499" s="19">
        <v>4606.1136999999999</v>
      </c>
      <c r="I499" s="19">
        <v>8578.8397000000004</v>
      </c>
      <c r="J499" s="75">
        <v>-172</v>
      </c>
      <c r="K499" s="75">
        <v>5286.75</v>
      </c>
      <c r="L499" s="75">
        <v>-21738.239999999998</v>
      </c>
      <c r="M499" s="75">
        <v>-24323.040000000001</v>
      </c>
      <c r="N499" s="75">
        <v>-10048.56</v>
      </c>
      <c r="O499" s="75">
        <v>-58433.2</v>
      </c>
      <c r="P499" s="75">
        <v>11543.91</v>
      </c>
      <c r="Q499" s="75">
        <v>34202.42</v>
      </c>
      <c r="R499" s="75">
        <v>-63681.959999999992</v>
      </c>
    </row>
    <row r="500" spans="1:18" x14ac:dyDescent="0.3">
      <c r="A500">
        <v>483</v>
      </c>
      <c r="B500" s="19">
        <v>49.227899999999998</v>
      </c>
      <c r="C500" s="19">
        <v>34.137799999999999</v>
      </c>
      <c r="D500" s="19">
        <v>11.600099999999999</v>
      </c>
      <c r="E500" s="19">
        <v>254.7379</v>
      </c>
      <c r="F500" s="19">
        <v>15.711499999999999</v>
      </c>
      <c r="G500" s="19">
        <v>371.11759999999998</v>
      </c>
      <c r="H500" s="19">
        <v>4795.7662</v>
      </c>
      <c r="I500" s="19">
        <v>8056.8599000000004</v>
      </c>
      <c r="J500" s="75">
        <v>-7042.0000000000009</v>
      </c>
      <c r="K500" s="75">
        <v>38127.300000000003</v>
      </c>
      <c r="L500" s="75">
        <v>-7095.12</v>
      </c>
      <c r="M500" s="75">
        <v>-43555.979999999996</v>
      </c>
      <c r="N500" s="75">
        <v>3643.05</v>
      </c>
      <c r="O500" s="75">
        <v>16021.6</v>
      </c>
      <c r="P500" s="75">
        <v>68439.66</v>
      </c>
      <c r="Q500" s="75">
        <v>-70193.539999999994</v>
      </c>
      <c r="R500" s="75">
        <v>-1655.0299999999843</v>
      </c>
    </row>
    <row r="501" spans="1:18" x14ac:dyDescent="0.3">
      <c r="A501">
        <v>484</v>
      </c>
      <c r="B501" s="19">
        <v>49.643700000000003</v>
      </c>
      <c r="C501" s="19">
        <v>31.9055</v>
      </c>
      <c r="D501" s="19">
        <v>12.0717</v>
      </c>
      <c r="E501" s="19">
        <v>269.322</v>
      </c>
      <c r="F501" s="19">
        <v>15.2951</v>
      </c>
      <c r="G501" s="19">
        <v>367.82659999999998</v>
      </c>
      <c r="H501" s="19">
        <v>4692.4692999999997</v>
      </c>
      <c r="I501" s="19">
        <v>8246.5519999999997</v>
      </c>
      <c r="J501" s="75">
        <v>1274.0000000000002</v>
      </c>
      <c r="K501" s="75">
        <v>-25493.25</v>
      </c>
      <c r="L501" s="75">
        <v>34782.959999999999</v>
      </c>
      <c r="M501" s="75">
        <v>11863.6</v>
      </c>
      <c r="N501" s="75">
        <v>-14970.029999999999</v>
      </c>
      <c r="O501" s="75">
        <v>4503.0999999999995</v>
      </c>
      <c r="P501" s="75">
        <v>37450.590000000004</v>
      </c>
      <c r="Q501" s="75">
        <v>-32255.119999999999</v>
      </c>
      <c r="R501" s="75">
        <v>17155.850000000002</v>
      </c>
    </row>
    <row r="502" spans="1:18" x14ac:dyDescent="0.3">
      <c r="A502">
        <v>485</v>
      </c>
      <c r="B502" s="19">
        <v>49.841299999999997</v>
      </c>
      <c r="C502" s="19">
        <v>32.829900000000002</v>
      </c>
      <c r="D502" s="19">
        <v>11.4528</v>
      </c>
      <c r="E502" s="19">
        <v>259.08969999999999</v>
      </c>
      <c r="F502" s="19">
        <v>15.2624</v>
      </c>
      <c r="G502" s="19">
        <v>370.1789</v>
      </c>
      <c r="H502" s="19">
        <v>4645.8505999999998</v>
      </c>
      <c r="I502" s="19">
        <v>8444.6381000000001</v>
      </c>
      <c r="J502" s="75">
        <v>5225.9999999999991</v>
      </c>
      <c r="K502" s="75">
        <v>852.15</v>
      </c>
      <c r="L502" s="75">
        <v>-20175.36</v>
      </c>
      <c r="M502" s="75">
        <v>-27019.14</v>
      </c>
      <c r="N502" s="75">
        <v>-16431.719999999998</v>
      </c>
      <c r="O502" s="75">
        <v>12736.15</v>
      </c>
      <c r="P502" s="75">
        <v>23464.98</v>
      </c>
      <c r="Q502" s="75">
        <v>7362.0999999999995</v>
      </c>
      <c r="R502" s="75">
        <v>-13984.840000000007</v>
      </c>
    </row>
    <row r="503" spans="1:18" x14ac:dyDescent="0.3">
      <c r="A503">
        <v>486</v>
      </c>
      <c r="B503" s="19">
        <v>49.507199999999997</v>
      </c>
      <c r="C503" s="19">
        <v>31.987300000000001</v>
      </c>
      <c r="D503" s="19">
        <v>11.7239</v>
      </c>
      <c r="E503" s="19">
        <v>273.42860000000002</v>
      </c>
      <c r="F503" s="19">
        <v>15.8598</v>
      </c>
      <c r="G503" s="19">
        <v>367.27460000000002</v>
      </c>
      <c r="H503" s="19">
        <v>4505.1170000000002</v>
      </c>
      <c r="I503" s="19">
        <v>8886.6211000000003</v>
      </c>
      <c r="J503" s="75">
        <v>-1456</v>
      </c>
      <c r="K503" s="75">
        <v>-23161.95</v>
      </c>
      <c r="L503" s="75">
        <v>3898.32</v>
      </c>
      <c r="M503" s="75">
        <v>27468.68</v>
      </c>
      <c r="N503" s="75">
        <v>10272.06</v>
      </c>
      <c r="O503" s="75">
        <v>2571.1</v>
      </c>
      <c r="P503" s="75">
        <v>-18755.100000000002</v>
      </c>
      <c r="Q503" s="75">
        <v>95758.7</v>
      </c>
      <c r="R503" s="75">
        <v>96595.81</v>
      </c>
    </row>
    <row r="504" spans="1:18" x14ac:dyDescent="0.3">
      <c r="A504">
        <v>487</v>
      </c>
      <c r="B504" s="19">
        <v>50.1143</v>
      </c>
      <c r="C504" s="19">
        <v>32.9056</v>
      </c>
      <c r="D504" s="19">
        <v>11.589700000000001</v>
      </c>
      <c r="E504" s="19">
        <v>263.17149999999998</v>
      </c>
      <c r="F504" s="19">
        <v>15.8683</v>
      </c>
      <c r="G504" s="19">
        <v>366.83010000000002</v>
      </c>
      <c r="H504" s="19">
        <v>4485.6916000000001</v>
      </c>
      <c r="I504" s="19">
        <v>7376.2013999999999</v>
      </c>
      <c r="J504" s="75">
        <v>10686</v>
      </c>
      <c r="K504" s="75">
        <v>3009.6</v>
      </c>
      <c r="L504" s="75">
        <v>-8018.64</v>
      </c>
      <c r="M504" s="75">
        <v>-11508.300000000001</v>
      </c>
      <c r="N504" s="75">
        <v>10652.01</v>
      </c>
      <c r="O504" s="75">
        <v>1015.3500000000001</v>
      </c>
      <c r="P504" s="75">
        <v>-24582.720000000001</v>
      </c>
      <c r="Q504" s="75">
        <v>-206325.24</v>
      </c>
      <c r="R504" s="75">
        <v>-225071.94</v>
      </c>
    </row>
    <row r="505" spans="1:18" x14ac:dyDescent="0.3">
      <c r="A505">
        <v>488</v>
      </c>
      <c r="B505" s="19">
        <v>49.308100000000003</v>
      </c>
      <c r="C505" s="19">
        <v>32.304099999999998</v>
      </c>
      <c r="D505" s="19">
        <v>11.6469</v>
      </c>
      <c r="E505" s="19">
        <v>244.3674</v>
      </c>
      <c r="F505" s="19">
        <v>15.740500000000001</v>
      </c>
      <c r="G505" s="19">
        <v>370.28050000000002</v>
      </c>
      <c r="H505" s="19">
        <v>4551.0653000000002</v>
      </c>
      <c r="I505" s="19">
        <v>8289.5496999999996</v>
      </c>
      <c r="J505" s="75">
        <v>-5437.9999999999991</v>
      </c>
      <c r="K505" s="75">
        <v>-14133.15</v>
      </c>
      <c r="L505" s="75">
        <v>-2939.2799999999997</v>
      </c>
      <c r="M505" s="75">
        <v>-82963.88</v>
      </c>
      <c r="N505" s="75">
        <v>4939.3500000000004</v>
      </c>
      <c r="O505" s="75">
        <v>13091.75</v>
      </c>
      <c r="P505" s="75">
        <v>-4970.6099999999997</v>
      </c>
      <c r="Q505" s="75">
        <v>-23655.58</v>
      </c>
      <c r="R505" s="75">
        <v>-116069.4</v>
      </c>
    </row>
    <row r="506" spans="1:18" x14ac:dyDescent="0.3">
      <c r="A506">
        <v>489</v>
      </c>
      <c r="B506" s="19">
        <v>49.739800000000002</v>
      </c>
      <c r="C506" s="19">
        <v>32.762999999999998</v>
      </c>
      <c r="D506" s="19">
        <v>11.73</v>
      </c>
      <c r="E506" s="19">
        <v>274.1361</v>
      </c>
      <c r="F506" s="19">
        <v>15.4117</v>
      </c>
      <c r="G506" s="19">
        <v>364.97269999999997</v>
      </c>
      <c r="H506" s="19">
        <v>4485.1909999999998</v>
      </c>
      <c r="I506" s="19">
        <v>8912.1285000000007</v>
      </c>
      <c r="J506" s="75">
        <v>3196</v>
      </c>
      <c r="K506" s="75">
        <v>-1054.5</v>
      </c>
      <c r="L506" s="75">
        <v>4440</v>
      </c>
      <c r="M506" s="75">
        <v>30157.18</v>
      </c>
      <c r="N506" s="75">
        <v>-9758.01</v>
      </c>
      <c r="O506" s="75">
        <v>-5485.5499999999993</v>
      </c>
      <c r="P506" s="75">
        <v>-24732.899999999998</v>
      </c>
      <c r="Q506" s="75">
        <v>100860.18000000001</v>
      </c>
      <c r="R506" s="75">
        <v>97622.400000000009</v>
      </c>
    </row>
    <row r="507" spans="1:18" x14ac:dyDescent="0.3">
      <c r="A507">
        <v>490</v>
      </c>
      <c r="B507" s="19">
        <v>50.080199999999998</v>
      </c>
      <c r="C507" s="19">
        <v>32.705500000000001</v>
      </c>
      <c r="D507" s="19">
        <v>11.909000000000001</v>
      </c>
      <c r="E507" s="19">
        <v>281.15960000000001</v>
      </c>
      <c r="F507" s="19">
        <v>15.4861</v>
      </c>
      <c r="G507" s="19">
        <v>365.04129999999998</v>
      </c>
      <c r="H507" s="19">
        <v>4548.0734000000002</v>
      </c>
      <c r="I507" s="19">
        <v>8373.2126000000007</v>
      </c>
      <c r="J507" s="75">
        <v>10004</v>
      </c>
      <c r="K507" s="75">
        <v>-2693.25</v>
      </c>
      <c r="L507" s="75">
        <v>20335.2</v>
      </c>
      <c r="M507" s="75">
        <v>56846.48</v>
      </c>
      <c r="N507" s="75">
        <v>-6432.33</v>
      </c>
      <c r="O507" s="75">
        <v>-5245.45</v>
      </c>
      <c r="P507" s="75">
        <v>-5868.18</v>
      </c>
      <c r="Q507" s="75">
        <v>-6923</v>
      </c>
      <c r="R507" s="75">
        <v>60023.47</v>
      </c>
    </row>
    <row r="508" spans="1:18" x14ac:dyDescent="0.3">
      <c r="A508">
        <v>491</v>
      </c>
      <c r="B508" s="19">
        <v>49.305999999999997</v>
      </c>
      <c r="C508" s="19">
        <v>33.892600000000002</v>
      </c>
      <c r="D508" s="19">
        <v>11.5351</v>
      </c>
      <c r="E508" s="19">
        <v>279.7047</v>
      </c>
      <c r="F508" s="19">
        <v>15.2546</v>
      </c>
      <c r="G508" s="19">
        <v>367.0985</v>
      </c>
      <c r="H508" s="19">
        <v>4546.1198000000004</v>
      </c>
      <c r="I508" s="19">
        <v>8402.1438999999991</v>
      </c>
      <c r="J508" s="75">
        <v>-5480</v>
      </c>
      <c r="K508" s="75">
        <v>31139.100000000002</v>
      </c>
      <c r="L508" s="75">
        <v>-12867.12</v>
      </c>
      <c r="M508" s="75">
        <v>51317.86</v>
      </c>
      <c r="N508" s="75">
        <v>-16780.38</v>
      </c>
      <c r="O508" s="75">
        <v>1954.75</v>
      </c>
      <c r="P508" s="75">
        <v>-6454.2599999999993</v>
      </c>
      <c r="Q508" s="75">
        <v>-1136.74</v>
      </c>
      <c r="R508" s="75">
        <v>41693.210000000006</v>
      </c>
    </row>
    <row r="509" spans="1:18" x14ac:dyDescent="0.3">
      <c r="A509">
        <v>492</v>
      </c>
      <c r="B509" s="19">
        <v>49.409700000000001</v>
      </c>
      <c r="C509" s="19">
        <v>32.892099999999999</v>
      </c>
      <c r="D509" s="19">
        <v>11.936999999999999</v>
      </c>
      <c r="E509" s="19">
        <v>260.53800000000001</v>
      </c>
      <c r="F509" s="19">
        <v>14.874499999999999</v>
      </c>
      <c r="G509" s="19">
        <v>359.84769999999997</v>
      </c>
      <c r="H509" s="19">
        <v>4645.9861000000001</v>
      </c>
      <c r="I509" s="19">
        <v>8903.1591000000008</v>
      </c>
      <c r="J509" s="75">
        <v>-3406</v>
      </c>
      <c r="K509" s="75">
        <v>2624.85</v>
      </c>
      <c r="L509" s="75">
        <v>22821.600000000002</v>
      </c>
      <c r="M509" s="75">
        <v>-21515.599999999999</v>
      </c>
      <c r="N509" s="75">
        <v>-33770.85</v>
      </c>
      <c r="O509" s="75">
        <v>-23423.050000000003</v>
      </c>
      <c r="P509" s="75">
        <v>23505.629999999997</v>
      </c>
      <c r="Q509" s="75">
        <v>99066.3</v>
      </c>
      <c r="R509" s="75">
        <v>65902.880000000005</v>
      </c>
    </row>
    <row r="510" spans="1:18" x14ac:dyDescent="0.3">
      <c r="A510">
        <v>493</v>
      </c>
      <c r="B510" s="19">
        <v>48.614899999999999</v>
      </c>
      <c r="C510" s="19">
        <v>33.100099999999998</v>
      </c>
      <c r="D510" s="19">
        <v>11.3544</v>
      </c>
      <c r="E510" s="19">
        <v>261.9316</v>
      </c>
      <c r="F510" s="19">
        <v>15.2217</v>
      </c>
      <c r="G510" s="19">
        <v>376.37909999999999</v>
      </c>
      <c r="H510" s="19">
        <v>4674.5888999999997</v>
      </c>
      <c r="I510" s="19">
        <v>8669.9439999999995</v>
      </c>
      <c r="J510" s="75">
        <v>-19302</v>
      </c>
      <c r="K510" s="75">
        <v>8552.8499999999985</v>
      </c>
      <c r="L510" s="75">
        <v>-28913.279999999999</v>
      </c>
      <c r="M510" s="75">
        <v>-16219.919999999998</v>
      </c>
      <c r="N510" s="75">
        <v>-18251.009999999998</v>
      </c>
      <c r="O510" s="75">
        <v>34436.85</v>
      </c>
      <c r="P510" s="75">
        <v>32086.469999999998</v>
      </c>
      <c r="Q510" s="75">
        <v>52423.28</v>
      </c>
      <c r="R510" s="75">
        <v>44813.239999999991</v>
      </c>
    </row>
    <row r="511" spans="1:18" x14ac:dyDescent="0.3">
      <c r="A511">
        <v>494</v>
      </c>
      <c r="B511" s="19">
        <v>49.322699999999998</v>
      </c>
      <c r="C511" s="19">
        <v>32.494199999999999</v>
      </c>
      <c r="D511" s="19">
        <v>11.6035</v>
      </c>
      <c r="E511" s="19">
        <v>260.1508</v>
      </c>
      <c r="F511" s="19">
        <v>15.5061</v>
      </c>
      <c r="G511" s="19">
        <v>366.28699999999998</v>
      </c>
      <c r="H511" s="19">
        <v>4531.6817000000001</v>
      </c>
      <c r="I511" s="19">
        <v>8714.3125999999993</v>
      </c>
      <c r="J511" s="75">
        <v>-5145.9999999999991</v>
      </c>
      <c r="K511" s="75">
        <v>-8715.3000000000011</v>
      </c>
      <c r="L511" s="75">
        <v>-6793.2</v>
      </c>
      <c r="M511" s="75">
        <v>-22986.959999999999</v>
      </c>
      <c r="N511" s="75">
        <v>-5538.33</v>
      </c>
      <c r="O511" s="75">
        <v>-885.5</v>
      </c>
      <c r="P511" s="75">
        <v>-10785.69</v>
      </c>
      <c r="Q511" s="75">
        <v>61297</v>
      </c>
      <c r="R511" s="75">
        <v>446.0199999999968</v>
      </c>
    </row>
    <row r="512" spans="1:18" x14ac:dyDescent="0.3">
      <c r="A512">
        <v>495</v>
      </c>
      <c r="B512" s="19">
        <v>50.473799999999997</v>
      </c>
      <c r="C512" s="19">
        <v>33.391599999999997</v>
      </c>
      <c r="D512" s="19">
        <v>11.9079</v>
      </c>
      <c r="E512" s="19">
        <v>262.83499999999998</v>
      </c>
      <c r="F512" s="19">
        <v>15.5943</v>
      </c>
      <c r="G512" s="19">
        <v>362.36290000000002</v>
      </c>
      <c r="H512" s="19">
        <v>4528.8296</v>
      </c>
      <c r="I512" s="19">
        <v>8084.2139999999999</v>
      </c>
      <c r="J512" s="75">
        <v>17876</v>
      </c>
      <c r="K512" s="75">
        <v>16860.600000000002</v>
      </c>
      <c r="L512" s="75">
        <v>20237.52</v>
      </c>
      <c r="M512" s="75">
        <v>-12787</v>
      </c>
      <c r="N512" s="75">
        <v>-1595.7900000000002</v>
      </c>
      <c r="O512" s="75">
        <v>-14619.85</v>
      </c>
      <c r="P512" s="75">
        <v>-11641.32</v>
      </c>
      <c r="Q512" s="75">
        <v>-64722.720000000001</v>
      </c>
      <c r="R512" s="75">
        <v>-50392.55999999999</v>
      </c>
    </row>
    <row r="513" spans="1:18" x14ac:dyDescent="0.3">
      <c r="A513">
        <v>496</v>
      </c>
      <c r="B513" s="19">
        <v>49.858600000000003</v>
      </c>
      <c r="C513" s="19">
        <v>33.268000000000001</v>
      </c>
      <c r="D513" s="19">
        <v>11.9511</v>
      </c>
      <c r="E513" s="19">
        <v>272.01130000000001</v>
      </c>
      <c r="F513" s="19">
        <v>15.859500000000001</v>
      </c>
      <c r="G513" s="19">
        <v>364.54849999999999</v>
      </c>
      <c r="H513" s="19">
        <v>4484.1360000000004</v>
      </c>
      <c r="I513" s="19">
        <v>8820.4835000000003</v>
      </c>
      <c r="J513" s="75">
        <v>5572</v>
      </c>
      <c r="K513" s="75">
        <v>13338</v>
      </c>
      <c r="L513" s="75">
        <v>24073.68</v>
      </c>
      <c r="M513" s="75">
        <v>22082.94</v>
      </c>
      <c r="N513" s="75">
        <v>10258.65</v>
      </c>
      <c r="O513" s="75">
        <v>-6970.25</v>
      </c>
      <c r="P513" s="75">
        <v>-25049.4</v>
      </c>
      <c r="Q513" s="75">
        <v>82531.179999999993</v>
      </c>
      <c r="R513" s="75">
        <v>125836.79999999999</v>
      </c>
    </row>
    <row r="514" spans="1:18" x14ac:dyDescent="0.3">
      <c r="A514">
        <v>497</v>
      </c>
      <c r="B514" s="19">
        <v>49.641599999999997</v>
      </c>
      <c r="C514" s="19">
        <v>32.548999999999999</v>
      </c>
      <c r="D514" s="19">
        <v>11.465400000000001</v>
      </c>
      <c r="E514" s="19">
        <v>283.59300000000002</v>
      </c>
      <c r="F514" s="19">
        <v>15.384</v>
      </c>
      <c r="G514" s="19">
        <v>364.84879999999998</v>
      </c>
      <c r="H514" s="19">
        <v>4647.9174000000003</v>
      </c>
      <c r="I514" s="19">
        <v>8843.0131999999994</v>
      </c>
      <c r="J514" s="75">
        <v>1232</v>
      </c>
      <c r="K514" s="75">
        <v>-7153.5</v>
      </c>
      <c r="L514" s="75">
        <v>-19056.48</v>
      </c>
      <c r="M514" s="75">
        <v>66093.400000000009</v>
      </c>
      <c r="N514" s="75">
        <v>-10996.2</v>
      </c>
      <c r="O514" s="75">
        <v>-5919.2</v>
      </c>
      <c r="P514" s="75">
        <v>24085.02</v>
      </c>
      <c r="Q514" s="75">
        <v>87037.12000000001</v>
      </c>
      <c r="R514" s="75">
        <v>135322.16000000003</v>
      </c>
    </row>
    <row r="515" spans="1:18" x14ac:dyDescent="0.3">
      <c r="A515">
        <v>498</v>
      </c>
      <c r="B515" s="19">
        <v>49.668999999999997</v>
      </c>
      <c r="C515" s="19">
        <v>33.305900000000001</v>
      </c>
      <c r="D515" s="19">
        <v>12.0052</v>
      </c>
      <c r="E515" s="19">
        <v>273.60480000000001</v>
      </c>
      <c r="F515" s="19">
        <v>15.728</v>
      </c>
      <c r="G515" s="19">
        <v>359.73129999999998</v>
      </c>
      <c r="H515" s="19">
        <v>4397.5144</v>
      </c>
      <c r="I515" s="19">
        <v>8603.6036999999997</v>
      </c>
      <c r="J515" s="75">
        <v>1780</v>
      </c>
      <c r="K515" s="75">
        <v>14418.15</v>
      </c>
      <c r="L515" s="75">
        <v>28877.759999999998</v>
      </c>
      <c r="M515" s="75">
        <v>28138.239999999998</v>
      </c>
      <c r="N515" s="75">
        <v>4380.6000000000004</v>
      </c>
      <c r="O515" s="75">
        <v>-23830.45</v>
      </c>
      <c r="P515" s="75">
        <v>-51035.88</v>
      </c>
      <c r="Q515" s="75">
        <v>39155.22</v>
      </c>
      <c r="R515" s="75">
        <v>41883.640000000007</v>
      </c>
    </row>
    <row r="516" spans="1:18" x14ac:dyDescent="0.3">
      <c r="A516">
        <v>499</v>
      </c>
      <c r="B516" s="19">
        <v>49.288899999999998</v>
      </c>
      <c r="C516" s="19">
        <v>32.784100000000002</v>
      </c>
      <c r="D516" s="19">
        <v>12.059200000000001</v>
      </c>
      <c r="E516" s="19">
        <v>281.46899999999999</v>
      </c>
      <c r="F516" s="19">
        <v>15.7799</v>
      </c>
      <c r="G516" s="19">
        <v>368.75319999999999</v>
      </c>
      <c r="H516" s="19">
        <v>4662.9591</v>
      </c>
      <c r="I516" s="19">
        <v>8854.2167000000009</v>
      </c>
      <c r="J516" s="75">
        <v>-5822.0000000000009</v>
      </c>
      <c r="K516" s="75">
        <v>-453.15000000000003</v>
      </c>
      <c r="L516" s="75">
        <v>33672.959999999999</v>
      </c>
      <c r="M516" s="75">
        <v>58022.2</v>
      </c>
      <c r="N516" s="75">
        <v>6700.5300000000007</v>
      </c>
      <c r="O516" s="75">
        <v>7746.2</v>
      </c>
      <c r="P516" s="75">
        <v>28597.530000000002</v>
      </c>
      <c r="Q516" s="75">
        <v>89277.819999999992</v>
      </c>
      <c r="R516" s="75">
        <v>217742.08999999997</v>
      </c>
    </row>
    <row r="517" spans="1:18" x14ac:dyDescent="0.3">
      <c r="A517">
        <v>500</v>
      </c>
      <c r="B517" s="19">
        <v>49.562899999999999</v>
      </c>
      <c r="C517" s="19">
        <v>32.376899999999999</v>
      </c>
      <c r="D517" s="19">
        <v>11.7356</v>
      </c>
      <c r="E517" s="19">
        <v>248.71430000000001</v>
      </c>
      <c r="F517" s="19">
        <v>15.6334</v>
      </c>
      <c r="G517" s="19">
        <v>363.74239999999998</v>
      </c>
      <c r="H517" s="19">
        <v>4549.1009000000004</v>
      </c>
      <c r="I517" s="19">
        <v>8796.5571</v>
      </c>
      <c r="J517" s="75">
        <v>-342</v>
      </c>
      <c r="K517" s="75">
        <v>-12058.349999999999</v>
      </c>
      <c r="L517" s="75">
        <v>4937.28</v>
      </c>
      <c r="M517" s="75">
        <v>-66445.66</v>
      </c>
      <c r="N517" s="75">
        <v>151.97999999999999</v>
      </c>
      <c r="O517" s="75">
        <v>-9791.6</v>
      </c>
      <c r="P517" s="75">
        <v>-5559.93</v>
      </c>
      <c r="Q517" s="75">
        <v>77745.899999999994</v>
      </c>
      <c r="R517" s="75">
        <v>-11362.380000000005</v>
      </c>
    </row>
    <row r="518" spans="1:18" x14ac:dyDescent="0.3">
      <c r="A518">
        <v>501</v>
      </c>
      <c r="B518" s="19">
        <v>49.905200000000001</v>
      </c>
      <c r="C518" s="19">
        <v>33.355899999999998</v>
      </c>
      <c r="D518" s="19">
        <v>11.3956</v>
      </c>
      <c r="E518" s="19">
        <v>281.96960000000001</v>
      </c>
      <c r="F518" s="19">
        <v>15.8729</v>
      </c>
      <c r="G518" s="19">
        <v>365.97449999999998</v>
      </c>
      <c r="H518" s="19">
        <v>4572.8981000000003</v>
      </c>
      <c r="I518" s="19">
        <v>9187.8104000000003</v>
      </c>
      <c r="J518" s="75">
        <v>6504</v>
      </c>
      <c r="K518" s="75">
        <v>15843.149999999998</v>
      </c>
      <c r="L518" s="75">
        <v>-25254.719999999998</v>
      </c>
      <c r="M518" s="75">
        <v>59924.480000000003</v>
      </c>
      <c r="N518" s="75">
        <v>10857.630000000001</v>
      </c>
      <c r="O518" s="75">
        <v>-1979.25</v>
      </c>
      <c r="P518" s="75">
        <v>1579.23</v>
      </c>
      <c r="Q518" s="75">
        <v>155996.56</v>
      </c>
      <c r="R518" s="75">
        <v>223471.08000000002</v>
      </c>
    </row>
    <row r="519" spans="1:18" x14ac:dyDescent="0.3">
      <c r="A519">
        <v>502</v>
      </c>
      <c r="B519" s="19">
        <v>50.0122</v>
      </c>
      <c r="C519" s="19">
        <v>32.753399999999999</v>
      </c>
      <c r="D519" s="19">
        <v>11.366300000000001</v>
      </c>
      <c r="E519" s="19">
        <v>271.30770000000001</v>
      </c>
      <c r="F519" s="19">
        <v>15.807600000000001</v>
      </c>
      <c r="G519" s="19">
        <v>364.9393</v>
      </c>
      <c r="H519" s="19">
        <v>4482.6000999999997</v>
      </c>
      <c r="I519" s="19">
        <v>8299.4923999999992</v>
      </c>
      <c r="J519" s="75">
        <v>8644</v>
      </c>
      <c r="K519" s="75">
        <v>-1328.1000000000001</v>
      </c>
      <c r="L519" s="75">
        <v>-27856.559999999998</v>
      </c>
      <c r="M519" s="75">
        <v>19409.260000000002</v>
      </c>
      <c r="N519" s="75">
        <v>7938.72</v>
      </c>
      <c r="O519" s="75">
        <v>-5602.45</v>
      </c>
      <c r="P519" s="75">
        <v>-25510.170000000002</v>
      </c>
      <c r="Q519" s="75">
        <v>-21667.040000000001</v>
      </c>
      <c r="R519" s="75">
        <v>-45972.34</v>
      </c>
    </row>
    <row r="520" spans="1:18" x14ac:dyDescent="0.3">
      <c r="A520">
        <v>503</v>
      </c>
      <c r="B520" s="19">
        <v>48.9876</v>
      </c>
      <c r="C520" s="19">
        <v>33.816699999999997</v>
      </c>
      <c r="D520" s="19">
        <v>11.8512</v>
      </c>
      <c r="E520" s="19">
        <v>274.03449999999998</v>
      </c>
      <c r="F520" s="19">
        <v>15.637600000000001</v>
      </c>
      <c r="G520" s="19">
        <v>370.81880000000001</v>
      </c>
      <c r="H520" s="19">
        <v>4558.0339999999997</v>
      </c>
      <c r="I520" s="19">
        <v>9027.8191999999999</v>
      </c>
      <c r="J520" s="75">
        <v>-11848</v>
      </c>
      <c r="K520" s="75">
        <v>28975.949999999997</v>
      </c>
      <c r="L520" s="75">
        <v>15202.56</v>
      </c>
      <c r="M520" s="75">
        <v>29771.100000000002</v>
      </c>
      <c r="N520" s="75">
        <v>339.72</v>
      </c>
      <c r="O520" s="75">
        <v>14975.800000000001</v>
      </c>
      <c r="P520" s="75">
        <v>-2880</v>
      </c>
      <c r="Q520" s="75">
        <v>123998.31999999999</v>
      </c>
      <c r="R520" s="75">
        <v>198535.45</v>
      </c>
    </row>
    <row r="521" spans="1:18" x14ac:dyDescent="0.3">
      <c r="A521">
        <v>504</v>
      </c>
      <c r="B521" s="19">
        <v>49.599200000000003</v>
      </c>
      <c r="C521" s="19">
        <v>31.847000000000001</v>
      </c>
      <c r="D521" s="19">
        <v>11.5801</v>
      </c>
      <c r="E521" s="19">
        <v>276.52850000000001</v>
      </c>
      <c r="F521" s="19">
        <v>15.139200000000001</v>
      </c>
      <c r="G521" s="19">
        <v>368.29300000000001</v>
      </c>
      <c r="H521" s="19">
        <v>4539.2948999999999</v>
      </c>
      <c r="I521" s="19">
        <v>8388.2685999999994</v>
      </c>
      <c r="J521" s="75">
        <v>383.99999999999994</v>
      </c>
      <c r="K521" s="75">
        <v>-27160.5</v>
      </c>
      <c r="L521" s="75">
        <v>-8871.1200000000008</v>
      </c>
      <c r="M521" s="75">
        <v>39248.300000000003</v>
      </c>
      <c r="N521" s="75">
        <v>-21938.760000000002</v>
      </c>
      <c r="O521" s="75">
        <v>6135.5</v>
      </c>
      <c r="P521" s="75">
        <v>-8501.73</v>
      </c>
      <c r="Q521" s="75">
        <v>-3911.8</v>
      </c>
      <c r="R521" s="75">
        <v>-24616.11</v>
      </c>
    </row>
    <row r="522" spans="1:18" x14ac:dyDescent="0.3">
      <c r="A522">
        <v>505</v>
      </c>
      <c r="B522" s="19">
        <v>49.462499999999999</v>
      </c>
      <c r="C522" s="19">
        <v>33.6995</v>
      </c>
      <c r="D522" s="19">
        <v>11.6793</v>
      </c>
      <c r="E522" s="19">
        <v>261.75729999999999</v>
      </c>
      <c r="F522" s="19">
        <v>15.8011</v>
      </c>
      <c r="G522" s="19">
        <v>375.30919999999998</v>
      </c>
      <c r="H522" s="19">
        <v>4809.2537000000002</v>
      </c>
      <c r="I522" s="19">
        <v>8806.875</v>
      </c>
      <c r="J522" s="75">
        <v>-2350</v>
      </c>
      <c r="K522" s="75">
        <v>25635.75</v>
      </c>
      <c r="L522" s="75">
        <v>-62.16</v>
      </c>
      <c r="M522" s="75">
        <v>-16882.260000000002</v>
      </c>
      <c r="N522" s="75">
        <v>7648.17</v>
      </c>
      <c r="O522" s="75">
        <v>30692.199999999997</v>
      </c>
      <c r="P522" s="75">
        <v>72485.91</v>
      </c>
      <c r="Q522" s="75">
        <v>79809.48</v>
      </c>
      <c r="R522" s="75">
        <v>196977.09</v>
      </c>
    </row>
    <row r="523" spans="1:18" x14ac:dyDescent="0.3">
      <c r="A523">
        <v>506</v>
      </c>
      <c r="B523" s="19">
        <v>48.932099999999998</v>
      </c>
      <c r="C523" s="19">
        <v>33.271799999999999</v>
      </c>
      <c r="D523" s="19">
        <v>11.575699999999999</v>
      </c>
      <c r="E523" s="19">
        <v>259.59309999999999</v>
      </c>
      <c r="F523" s="19">
        <v>15.79</v>
      </c>
      <c r="G523" s="19">
        <v>362.25639999999999</v>
      </c>
      <c r="H523" s="19">
        <v>4601.9273000000003</v>
      </c>
      <c r="I523" s="19">
        <v>8882.3788000000004</v>
      </c>
      <c r="J523" s="75">
        <v>-12958</v>
      </c>
      <c r="K523" s="75">
        <v>13446.3</v>
      </c>
      <c r="L523" s="75">
        <v>-9261.84</v>
      </c>
      <c r="M523" s="75">
        <v>-25106.22</v>
      </c>
      <c r="N523" s="75">
        <v>7152</v>
      </c>
      <c r="O523" s="75">
        <v>-14992.6</v>
      </c>
      <c r="P523" s="75">
        <v>10287.99</v>
      </c>
      <c r="Q523" s="75">
        <v>94910.24</v>
      </c>
      <c r="R523" s="75">
        <v>63477.87</v>
      </c>
    </row>
    <row r="524" spans="1:18" x14ac:dyDescent="0.3">
      <c r="A524">
        <v>507</v>
      </c>
      <c r="B524" s="19">
        <v>49.5017</v>
      </c>
      <c r="C524" s="19">
        <v>32.495199999999997</v>
      </c>
      <c r="D524" s="19">
        <v>11.330399999999999</v>
      </c>
      <c r="E524" s="19">
        <v>261.22390000000001</v>
      </c>
      <c r="F524" s="19">
        <v>15.7064</v>
      </c>
      <c r="G524" s="19">
        <v>368.49189999999999</v>
      </c>
      <c r="H524" s="19">
        <v>4757.3225000000002</v>
      </c>
      <c r="I524" s="19">
        <v>8245.0889000000006</v>
      </c>
      <c r="J524" s="75">
        <v>-1566</v>
      </c>
      <c r="K524" s="75">
        <v>-8686.8000000000011</v>
      </c>
      <c r="L524" s="75">
        <v>-31044.480000000003</v>
      </c>
      <c r="M524" s="75">
        <v>-18909.18</v>
      </c>
      <c r="N524" s="75">
        <v>3415.08</v>
      </c>
      <c r="O524" s="75">
        <v>6831.65</v>
      </c>
      <c r="P524" s="75">
        <v>56906.55</v>
      </c>
      <c r="Q524" s="75">
        <v>-32547.739999999998</v>
      </c>
      <c r="R524" s="75">
        <v>-25600.92</v>
      </c>
    </row>
    <row r="525" spans="1:18" x14ac:dyDescent="0.3">
      <c r="A525">
        <v>508</v>
      </c>
      <c r="B525" s="19">
        <v>49.777500000000003</v>
      </c>
      <c r="C525" s="19">
        <v>32.369100000000003</v>
      </c>
      <c r="D525" s="19">
        <v>11.7547</v>
      </c>
      <c r="E525" s="19">
        <v>254.6738</v>
      </c>
      <c r="F525" s="19">
        <v>15.916399999999999</v>
      </c>
      <c r="G525" s="19">
        <v>379.82040000000001</v>
      </c>
      <c r="H525" s="19">
        <v>4611.6162000000004</v>
      </c>
      <c r="I525" s="19">
        <v>8754.9725999999991</v>
      </c>
      <c r="J525" s="75">
        <v>3950</v>
      </c>
      <c r="K525" s="75">
        <v>-12280.65</v>
      </c>
      <c r="L525" s="75">
        <v>6633.3600000000006</v>
      </c>
      <c r="M525" s="75">
        <v>-43799.56</v>
      </c>
      <c r="N525" s="75">
        <v>12802.08</v>
      </c>
      <c r="O525" s="75">
        <v>46481.4</v>
      </c>
      <c r="P525" s="75">
        <v>13194.66</v>
      </c>
      <c r="Q525" s="75">
        <v>69429</v>
      </c>
      <c r="R525" s="75">
        <v>96410.290000000008</v>
      </c>
    </row>
    <row r="526" spans="1:18" x14ac:dyDescent="0.3">
      <c r="A526">
        <v>509</v>
      </c>
      <c r="B526" s="19">
        <v>49.5533</v>
      </c>
      <c r="C526" s="19">
        <v>32.699800000000003</v>
      </c>
      <c r="D526" s="19">
        <v>11.574</v>
      </c>
      <c r="E526" s="19">
        <v>263.24380000000002</v>
      </c>
      <c r="F526" s="19">
        <v>15.2744</v>
      </c>
      <c r="G526" s="19">
        <v>348.5385</v>
      </c>
      <c r="H526" s="19">
        <v>4719.3716000000004</v>
      </c>
      <c r="I526" s="19">
        <v>8636.7996999999996</v>
      </c>
      <c r="J526" s="75">
        <v>-534</v>
      </c>
      <c r="K526" s="75">
        <v>-2855.7</v>
      </c>
      <c r="L526" s="75">
        <v>-9412.7999999999993</v>
      </c>
      <c r="M526" s="75">
        <v>-11233.56</v>
      </c>
      <c r="N526" s="75">
        <v>-15895.320000000002</v>
      </c>
      <c r="O526" s="75">
        <v>-63005.25</v>
      </c>
      <c r="P526" s="75">
        <v>45521.279999999999</v>
      </c>
      <c r="Q526" s="75">
        <v>45794.420000000006</v>
      </c>
      <c r="R526" s="75">
        <v>-11620.93</v>
      </c>
    </row>
    <row r="527" spans="1:18" x14ac:dyDescent="0.3">
      <c r="A527">
        <v>510</v>
      </c>
      <c r="B527" s="19">
        <v>49.453200000000002</v>
      </c>
      <c r="C527" s="19">
        <v>33.003799999999998</v>
      </c>
      <c r="D527" s="19">
        <v>11.1882</v>
      </c>
      <c r="E527" s="19">
        <v>263.03280000000001</v>
      </c>
      <c r="F527" s="19">
        <v>15.582700000000001</v>
      </c>
      <c r="G527" s="19">
        <v>364.68799999999999</v>
      </c>
      <c r="H527" s="19">
        <v>4446.5744999999997</v>
      </c>
      <c r="I527" s="19">
        <v>8714.8430000000008</v>
      </c>
      <c r="J527" s="75">
        <v>-2536</v>
      </c>
      <c r="K527" s="75">
        <v>5808.3</v>
      </c>
      <c r="L527" s="75">
        <v>-43671.840000000004</v>
      </c>
      <c r="M527" s="75">
        <v>-12035.359999999999</v>
      </c>
      <c r="N527" s="75">
        <v>-2114.31</v>
      </c>
      <c r="O527" s="75">
        <v>-6482</v>
      </c>
      <c r="P527" s="75">
        <v>-36317.85</v>
      </c>
      <c r="Q527" s="75">
        <v>61403.08</v>
      </c>
      <c r="R527" s="75">
        <v>-35945.979999999996</v>
      </c>
    </row>
    <row r="528" spans="1:18" x14ac:dyDescent="0.3">
      <c r="A528">
        <v>511</v>
      </c>
      <c r="B528" s="19">
        <v>50.2395</v>
      </c>
      <c r="C528" s="19">
        <v>32.487400000000001</v>
      </c>
      <c r="D528" s="19">
        <v>11.8558</v>
      </c>
      <c r="E528" s="19">
        <v>256.88720000000001</v>
      </c>
      <c r="F528" s="19">
        <v>15.6568</v>
      </c>
      <c r="G528" s="19">
        <v>362.43009999999998</v>
      </c>
      <c r="H528" s="19">
        <v>4711.9592000000002</v>
      </c>
      <c r="I528" s="19">
        <v>8379.7900000000009</v>
      </c>
      <c r="J528" s="75">
        <v>13190</v>
      </c>
      <c r="K528" s="75">
        <v>-8909.1</v>
      </c>
      <c r="L528" s="75">
        <v>15611.04</v>
      </c>
      <c r="M528" s="75">
        <v>-35388.639999999999</v>
      </c>
      <c r="N528" s="75">
        <v>1197.96</v>
      </c>
      <c r="O528" s="75">
        <v>-14384.65</v>
      </c>
      <c r="P528" s="75">
        <v>43297.56</v>
      </c>
      <c r="Q528" s="75">
        <v>-5607.52</v>
      </c>
      <c r="R528" s="75">
        <v>9006.6499999999978</v>
      </c>
    </row>
    <row r="529" spans="1:18" x14ac:dyDescent="0.3">
      <c r="A529">
        <v>512</v>
      </c>
      <c r="B529" s="19">
        <v>50.480400000000003</v>
      </c>
      <c r="C529" s="19">
        <v>33.652200000000001</v>
      </c>
      <c r="D529" s="19">
        <v>11.663399999999999</v>
      </c>
      <c r="E529" s="19">
        <v>280.05160000000001</v>
      </c>
      <c r="F529" s="19">
        <v>15.4581</v>
      </c>
      <c r="G529" s="19">
        <v>362.3032</v>
      </c>
      <c r="H529" s="19">
        <v>4491.5119000000004</v>
      </c>
      <c r="I529" s="19">
        <v>8183.1606000000002</v>
      </c>
      <c r="J529" s="75">
        <v>18008</v>
      </c>
      <c r="K529" s="75">
        <v>24287.699999999997</v>
      </c>
      <c r="L529" s="75">
        <v>-1474.08</v>
      </c>
      <c r="M529" s="75">
        <v>52636.079999999994</v>
      </c>
      <c r="N529" s="75">
        <v>-7683.93</v>
      </c>
      <c r="O529" s="75">
        <v>-14828.8</v>
      </c>
      <c r="P529" s="75">
        <v>-22836.63</v>
      </c>
      <c r="Q529" s="75">
        <v>-44933.4</v>
      </c>
      <c r="R529" s="75">
        <v>3174.9399999999805</v>
      </c>
    </row>
    <row r="530" spans="1:18" x14ac:dyDescent="0.3">
      <c r="A530">
        <v>513</v>
      </c>
      <c r="B530" s="19">
        <v>49.653199999999998</v>
      </c>
      <c r="C530" s="19">
        <v>32.330300000000001</v>
      </c>
      <c r="D530" s="19">
        <v>11.411300000000001</v>
      </c>
      <c r="E530" s="19">
        <v>269.76389999999998</v>
      </c>
      <c r="F530" s="19">
        <v>15.722300000000001</v>
      </c>
      <c r="G530" s="19">
        <v>357.78769999999997</v>
      </c>
      <c r="H530" s="19">
        <v>4601.5967000000001</v>
      </c>
      <c r="I530" s="19">
        <v>7804.0460000000003</v>
      </c>
      <c r="J530" s="75">
        <v>1464</v>
      </c>
      <c r="K530" s="75">
        <v>-13386.45</v>
      </c>
      <c r="L530" s="75">
        <v>-23860.560000000001</v>
      </c>
      <c r="M530" s="75">
        <v>13542.82</v>
      </c>
      <c r="N530" s="75">
        <v>4125.8099999999995</v>
      </c>
      <c r="O530" s="75">
        <v>-30633.05</v>
      </c>
      <c r="P530" s="75">
        <v>10188.81</v>
      </c>
      <c r="Q530" s="75">
        <v>-120756.32</v>
      </c>
      <c r="R530" s="75">
        <v>-159314.94</v>
      </c>
    </row>
    <row r="531" spans="1:18" x14ac:dyDescent="0.3">
      <c r="A531">
        <v>514</v>
      </c>
      <c r="B531" s="19">
        <v>49.588500000000003</v>
      </c>
      <c r="C531" s="19">
        <v>32.963200000000001</v>
      </c>
      <c r="D531" s="19">
        <v>11.9246</v>
      </c>
      <c r="E531" s="19">
        <v>280.24889999999999</v>
      </c>
      <c r="F531" s="19">
        <v>15.895300000000001</v>
      </c>
      <c r="G531" s="19">
        <v>341.1465</v>
      </c>
      <c r="H531" s="19">
        <v>4747.5945000000002</v>
      </c>
      <c r="I531" s="19">
        <v>8948.1602999999996</v>
      </c>
      <c r="J531" s="75">
        <v>170</v>
      </c>
      <c r="K531" s="75">
        <v>4651.2000000000007</v>
      </c>
      <c r="L531" s="75">
        <v>21720.48</v>
      </c>
      <c r="M531" s="75">
        <v>53385.82</v>
      </c>
      <c r="N531" s="75">
        <v>11858.91</v>
      </c>
      <c r="O531" s="75">
        <v>-88877.25</v>
      </c>
      <c r="P531" s="75">
        <v>53988.15</v>
      </c>
      <c r="Q531" s="75">
        <v>108066.54000000001</v>
      </c>
      <c r="R531" s="75">
        <v>164963.85</v>
      </c>
    </row>
    <row r="532" spans="1:18" x14ac:dyDescent="0.3">
      <c r="A532">
        <v>515</v>
      </c>
      <c r="B532" s="19">
        <v>49.679499999999997</v>
      </c>
      <c r="C532" s="19">
        <v>31.9678</v>
      </c>
      <c r="D532" s="19">
        <v>11.9002</v>
      </c>
      <c r="E532" s="19">
        <v>295.23759999999999</v>
      </c>
      <c r="F532" s="19">
        <v>15.5427</v>
      </c>
      <c r="G532" s="19">
        <v>352.14710000000002</v>
      </c>
      <c r="H532" s="19">
        <v>4637.4438</v>
      </c>
      <c r="I532" s="19">
        <v>8674.1895999999997</v>
      </c>
      <c r="J532" s="75">
        <v>1990</v>
      </c>
      <c r="K532" s="75">
        <v>-23717.7</v>
      </c>
      <c r="L532" s="75">
        <v>19553.760000000002</v>
      </c>
      <c r="M532" s="75">
        <v>110342.88</v>
      </c>
      <c r="N532" s="75">
        <v>-3902.31</v>
      </c>
      <c r="O532" s="75">
        <v>-50375.149999999994</v>
      </c>
      <c r="P532" s="75">
        <v>20942.939999999999</v>
      </c>
      <c r="Q532" s="75">
        <v>53272.4</v>
      </c>
      <c r="R532" s="75">
        <v>128106.82</v>
      </c>
    </row>
    <row r="533" spans="1:18" x14ac:dyDescent="0.3">
      <c r="A533">
        <v>516</v>
      </c>
      <c r="B533" s="19">
        <v>48.977200000000003</v>
      </c>
      <c r="C533" s="19">
        <v>33.330100000000002</v>
      </c>
      <c r="D533" s="19">
        <v>11.9643</v>
      </c>
      <c r="E533" s="19">
        <v>266.43669999999997</v>
      </c>
      <c r="F533" s="19">
        <v>15.840999999999999</v>
      </c>
      <c r="G533" s="19">
        <v>353.86810000000003</v>
      </c>
      <c r="H533" s="19">
        <v>4501.2048000000004</v>
      </c>
      <c r="I533" s="19">
        <v>8377.5773000000008</v>
      </c>
      <c r="J533" s="75">
        <v>-12056</v>
      </c>
      <c r="K533" s="75">
        <v>15107.85</v>
      </c>
      <c r="L533" s="75">
        <v>25245.84</v>
      </c>
      <c r="M533" s="75">
        <v>899.45999999999992</v>
      </c>
      <c r="N533" s="75">
        <v>9431.6999999999989</v>
      </c>
      <c r="O533" s="75">
        <v>-44351.65</v>
      </c>
      <c r="P533" s="75">
        <v>-19928.759999999998</v>
      </c>
      <c r="Q533" s="75">
        <v>-6050.0599999999995</v>
      </c>
      <c r="R533" s="75">
        <v>-31701.620000000003</v>
      </c>
    </row>
    <row r="534" spans="1:18" x14ac:dyDescent="0.3">
      <c r="A534">
        <v>517</v>
      </c>
      <c r="B534" s="19">
        <v>49.168900000000001</v>
      </c>
      <c r="C534" s="19">
        <v>31.989799999999999</v>
      </c>
      <c r="D534" s="19">
        <v>11.641999999999999</v>
      </c>
      <c r="E534" s="19">
        <v>271.71969999999999</v>
      </c>
      <c r="F534" s="19">
        <v>15.434100000000001</v>
      </c>
      <c r="G534" s="19">
        <v>368.1746</v>
      </c>
      <c r="H534" s="19">
        <v>4547.5222999999996</v>
      </c>
      <c r="I534" s="19">
        <v>8444.6759000000002</v>
      </c>
      <c r="J534" s="75">
        <v>-8222</v>
      </c>
      <c r="K534" s="75">
        <v>-23090.7</v>
      </c>
      <c r="L534" s="75">
        <v>-3374.4</v>
      </c>
      <c r="M534" s="75">
        <v>20974.86</v>
      </c>
      <c r="N534" s="75">
        <v>-8756.73</v>
      </c>
      <c r="O534" s="75">
        <v>5721.1</v>
      </c>
      <c r="P534" s="75">
        <v>-6033.5099999999993</v>
      </c>
      <c r="Q534" s="75">
        <v>7369.6600000000008</v>
      </c>
      <c r="R534" s="75">
        <v>-15411.719999999994</v>
      </c>
    </row>
    <row r="535" spans="1:18" x14ac:dyDescent="0.3">
      <c r="A535">
        <v>518</v>
      </c>
      <c r="B535" s="19">
        <v>49.308799999999998</v>
      </c>
      <c r="C535" s="19">
        <v>32.752400000000002</v>
      </c>
      <c r="D535" s="19">
        <v>11.6914</v>
      </c>
      <c r="E535" s="19">
        <v>271.49689999999998</v>
      </c>
      <c r="F535" s="19">
        <v>15.812099999999999</v>
      </c>
      <c r="G535" s="19">
        <v>358.20260000000002</v>
      </c>
      <c r="H535" s="19">
        <v>4582.0007999999998</v>
      </c>
      <c r="I535" s="19">
        <v>8640.8595999999998</v>
      </c>
      <c r="J535" s="75">
        <v>-5424</v>
      </c>
      <c r="K535" s="75">
        <v>-1356.6000000000001</v>
      </c>
      <c r="L535" s="75">
        <v>1012.32</v>
      </c>
      <c r="M535" s="75">
        <v>20128.22</v>
      </c>
      <c r="N535" s="75">
        <v>8139.8700000000008</v>
      </c>
      <c r="O535" s="75">
        <v>-29180.9</v>
      </c>
      <c r="P535" s="75">
        <v>4310.04</v>
      </c>
      <c r="Q535" s="75">
        <v>46606.400000000001</v>
      </c>
      <c r="R535" s="75">
        <v>44235.35</v>
      </c>
    </row>
    <row r="536" spans="1:18" x14ac:dyDescent="0.3">
      <c r="A536">
        <v>519</v>
      </c>
      <c r="B536" s="19">
        <v>48.6629</v>
      </c>
      <c r="C536" s="19">
        <v>32.735300000000002</v>
      </c>
      <c r="D536" s="19">
        <v>11.510999999999999</v>
      </c>
      <c r="E536" s="19">
        <v>274.8784</v>
      </c>
      <c r="F536" s="19">
        <v>15.874599999999999</v>
      </c>
      <c r="G536" s="19">
        <v>362.20670000000001</v>
      </c>
      <c r="H536" s="19">
        <v>4477.2191000000003</v>
      </c>
      <c r="I536" s="19">
        <v>7879.0388999999996</v>
      </c>
      <c r="J536" s="75">
        <v>-18342</v>
      </c>
      <c r="K536" s="75">
        <v>-1843.9499999999998</v>
      </c>
      <c r="L536" s="75">
        <v>-15007.2</v>
      </c>
      <c r="M536" s="75">
        <v>32977.919999999998</v>
      </c>
      <c r="N536" s="75">
        <v>10933.62</v>
      </c>
      <c r="O536" s="75">
        <v>-15166.550000000001</v>
      </c>
      <c r="P536" s="75">
        <v>-27124.47</v>
      </c>
      <c r="Q536" s="75">
        <v>-105757.73999999999</v>
      </c>
      <c r="R536" s="75">
        <v>-139330.37</v>
      </c>
    </row>
    <row r="537" spans="1:18" x14ac:dyDescent="0.3">
      <c r="A537">
        <v>520</v>
      </c>
      <c r="B537" s="19">
        <v>49.114600000000003</v>
      </c>
      <c r="C537" s="19">
        <v>32.171199999999999</v>
      </c>
      <c r="D537" s="19">
        <v>11.757</v>
      </c>
      <c r="E537" s="19">
        <v>270.01889999999997</v>
      </c>
      <c r="F537" s="19">
        <v>15.3009</v>
      </c>
      <c r="G537" s="19">
        <v>363.50580000000002</v>
      </c>
      <c r="H537" s="19">
        <v>4582.3693000000003</v>
      </c>
      <c r="I537" s="19">
        <v>8482.1348999999991</v>
      </c>
      <c r="J537" s="75">
        <v>-9308</v>
      </c>
      <c r="K537" s="75">
        <v>-17920.8</v>
      </c>
      <c r="L537" s="75">
        <v>6837.6</v>
      </c>
      <c r="M537" s="75">
        <v>14511.820000000002</v>
      </c>
      <c r="N537" s="75">
        <v>-14710.77</v>
      </c>
      <c r="O537" s="75">
        <v>-10619.699999999999</v>
      </c>
      <c r="P537" s="75">
        <v>4420.59</v>
      </c>
      <c r="Q537" s="75">
        <v>14861.46</v>
      </c>
      <c r="R537" s="75">
        <v>-11927.799999999992</v>
      </c>
    </row>
    <row r="538" spans="1:18" x14ac:dyDescent="0.3">
      <c r="A538">
        <v>521</v>
      </c>
      <c r="B538" s="19">
        <v>49.467700000000001</v>
      </c>
      <c r="C538" s="19">
        <v>32.142299999999999</v>
      </c>
      <c r="D538" s="19">
        <v>11.6906</v>
      </c>
      <c r="E538" s="19">
        <v>263.7921</v>
      </c>
      <c r="F538" s="19">
        <v>15.619</v>
      </c>
      <c r="G538" s="19">
        <v>363.59820000000002</v>
      </c>
      <c r="H538" s="19">
        <v>4561.3355000000001</v>
      </c>
      <c r="I538" s="19">
        <v>7943.9223000000002</v>
      </c>
      <c r="J538" s="75">
        <v>-2246</v>
      </c>
      <c r="K538" s="75">
        <v>-18744.449999999997</v>
      </c>
      <c r="L538" s="75">
        <v>941.28</v>
      </c>
      <c r="M538" s="75">
        <v>-9150.02</v>
      </c>
      <c r="N538" s="75">
        <v>-491.7</v>
      </c>
      <c r="O538" s="75">
        <v>-10296.300000000001</v>
      </c>
      <c r="P538" s="75">
        <v>-1889.55</v>
      </c>
      <c r="Q538" s="75">
        <v>-92781.06</v>
      </c>
      <c r="R538" s="75">
        <v>-134657.79999999999</v>
      </c>
    </row>
    <row r="539" spans="1:18" x14ac:dyDescent="0.3">
      <c r="A539">
        <v>522</v>
      </c>
      <c r="B539" s="19">
        <v>49.606299999999997</v>
      </c>
      <c r="C539" s="19">
        <v>32.6008</v>
      </c>
      <c r="D539" s="19">
        <v>11.7227</v>
      </c>
      <c r="E539" s="19">
        <v>269.61160000000001</v>
      </c>
      <c r="F539" s="19">
        <v>15.711</v>
      </c>
      <c r="G539" s="19">
        <v>368.49970000000002</v>
      </c>
      <c r="H539" s="19">
        <v>4530.7737999999999</v>
      </c>
      <c r="I539" s="19">
        <v>8380.7093000000004</v>
      </c>
      <c r="J539" s="75">
        <v>526</v>
      </c>
      <c r="K539" s="75">
        <v>-5677.2</v>
      </c>
      <c r="L539" s="75">
        <v>3791.76</v>
      </c>
      <c r="M539" s="75">
        <v>12964.08</v>
      </c>
      <c r="N539" s="75">
        <v>3620.7000000000003</v>
      </c>
      <c r="O539" s="75">
        <v>6858.95</v>
      </c>
      <c r="P539" s="75">
        <v>-11058.06</v>
      </c>
      <c r="Q539" s="75">
        <v>-5423.66</v>
      </c>
      <c r="R539" s="75">
        <v>5602.5700000000015</v>
      </c>
    </row>
    <row r="540" spans="1:18" x14ac:dyDescent="0.3">
      <c r="A540">
        <v>523</v>
      </c>
      <c r="B540" s="19">
        <v>49.617100000000001</v>
      </c>
      <c r="C540" s="19">
        <v>31.987200000000001</v>
      </c>
      <c r="D540" s="19">
        <v>11.6363</v>
      </c>
      <c r="E540" s="19">
        <v>273.90640000000002</v>
      </c>
      <c r="F540" s="19">
        <v>15.693300000000001</v>
      </c>
      <c r="G540" s="19">
        <v>375.41539999999998</v>
      </c>
      <c r="H540" s="19">
        <v>4508.6361999999999</v>
      </c>
      <c r="I540" s="19">
        <v>8560.9611000000004</v>
      </c>
      <c r="J540" s="75">
        <v>742</v>
      </c>
      <c r="K540" s="75">
        <v>-23164.799999999999</v>
      </c>
      <c r="L540" s="75">
        <v>-3880.5600000000004</v>
      </c>
      <c r="M540" s="75">
        <v>29284.32</v>
      </c>
      <c r="N540" s="75">
        <v>2829.5099999999998</v>
      </c>
      <c r="O540" s="75">
        <v>31063.9</v>
      </c>
      <c r="P540" s="75">
        <v>-17699.34</v>
      </c>
      <c r="Q540" s="75">
        <v>30626.7</v>
      </c>
      <c r="R540" s="75">
        <v>49801.73</v>
      </c>
    </row>
    <row r="541" spans="1:18" x14ac:dyDescent="0.3">
      <c r="A541">
        <v>524</v>
      </c>
      <c r="B541" s="19">
        <v>49.886600000000001</v>
      </c>
      <c r="C541" s="19">
        <v>33.637500000000003</v>
      </c>
      <c r="D541" s="19">
        <v>11.5251</v>
      </c>
      <c r="E541" s="19">
        <v>273.66129999999998</v>
      </c>
      <c r="F541" s="19">
        <v>16.055800000000001</v>
      </c>
      <c r="G541" s="19">
        <v>370.49869999999999</v>
      </c>
      <c r="H541" s="19">
        <v>4548.9224000000004</v>
      </c>
      <c r="I541" s="19">
        <v>8790.3747000000003</v>
      </c>
      <c r="J541" s="75">
        <v>6132</v>
      </c>
      <c r="K541" s="75">
        <v>23868.75</v>
      </c>
      <c r="L541" s="75">
        <v>-13755.12</v>
      </c>
      <c r="M541" s="75">
        <v>28352.94</v>
      </c>
      <c r="N541" s="75">
        <v>19033.260000000002</v>
      </c>
      <c r="O541" s="75">
        <v>13855.449999999999</v>
      </c>
      <c r="P541" s="75">
        <v>-5613.4800000000005</v>
      </c>
      <c r="Q541" s="75">
        <v>76509.42</v>
      </c>
      <c r="R541" s="75">
        <v>148383.22</v>
      </c>
    </row>
    <row r="542" spans="1:18" x14ac:dyDescent="0.3">
      <c r="A542">
        <v>525</v>
      </c>
      <c r="B542" s="19">
        <v>48.817900000000002</v>
      </c>
      <c r="C542" s="19">
        <v>33.944600000000001</v>
      </c>
      <c r="D542" s="19">
        <v>11.5511</v>
      </c>
      <c r="E542" s="19">
        <v>252.88489999999999</v>
      </c>
      <c r="F542" s="19">
        <v>15.8042</v>
      </c>
      <c r="G542" s="19">
        <v>371.06880000000001</v>
      </c>
      <c r="H542" s="19">
        <v>4655.1643000000004</v>
      </c>
      <c r="I542" s="19">
        <v>8567.3048999999992</v>
      </c>
      <c r="J542" s="75">
        <v>-15242</v>
      </c>
      <c r="K542" s="75">
        <v>32621.100000000002</v>
      </c>
      <c r="L542" s="75">
        <v>-11446.32</v>
      </c>
      <c r="M542" s="75">
        <v>-50597.38</v>
      </c>
      <c r="N542" s="75">
        <v>7786.74</v>
      </c>
      <c r="O542" s="75">
        <v>15850.800000000001</v>
      </c>
      <c r="P542" s="75">
        <v>26259.09</v>
      </c>
      <c r="Q542" s="75">
        <v>31895.460000000003</v>
      </c>
      <c r="R542" s="75">
        <v>37127.490000000013</v>
      </c>
    </row>
    <row r="543" spans="1:18" x14ac:dyDescent="0.3">
      <c r="A543">
        <v>526</v>
      </c>
      <c r="B543" s="19">
        <v>49.451900000000002</v>
      </c>
      <c r="C543" s="19">
        <v>32.860399999999998</v>
      </c>
      <c r="D543" s="19">
        <v>11.714499999999999</v>
      </c>
      <c r="E543" s="19">
        <v>268.3931</v>
      </c>
      <c r="F543" s="19">
        <v>15.7782</v>
      </c>
      <c r="G543" s="19">
        <v>363.46210000000002</v>
      </c>
      <c r="H543" s="19">
        <v>4582.6989999999996</v>
      </c>
      <c r="I543" s="19">
        <v>9034.9562000000005</v>
      </c>
      <c r="J543" s="75">
        <v>-2562</v>
      </c>
      <c r="K543" s="75">
        <v>1721.4</v>
      </c>
      <c r="L543" s="75">
        <v>3063.6000000000004</v>
      </c>
      <c r="M543" s="75">
        <v>8333.7799999999988</v>
      </c>
      <c r="N543" s="75">
        <v>6624.54</v>
      </c>
      <c r="O543" s="75">
        <v>-10772.65</v>
      </c>
      <c r="P543" s="75">
        <v>4519.5</v>
      </c>
      <c r="Q543" s="75">
        <v>125425.72</v>
      </c>
      <c r="R543" s="75">
        <v>136353.89000000001</v>
      </c>
    </row>
    <row r="544" spans="1:18" x14ac:dyDescent="0.3">
      <c r="A544">
        <v>527</v>
      </c>
      <c r="B544" s="19">
        <v>48.884</v>
      </c>
      <c r="C544" s="19">
        <v>31.518599999999999</v>
      </c>
      <c r="D544" s="19">
        <v>11.8841</v>
      </c>
      <c r="E544" s="19">
        <v>262.67070000000001</v>
      </c>
      <c r="F544" s="19">
        <v>15.998200000000001</v>
      </c>
      <c r="G544" s="19">
        <v>377.82799999999997</v>
      </c>
      <c r="H544" s="19">
        <v>4546.7739000000001</v>
      </c>
      <c r="I544" s="19">
        <v>9456.4411999999993</v>
      </c>
      <c r="J544" s="75">
        <v>-13919.999999999998</v>
      </c>
      <c r="K544" s="75">
        <v>-36519.9</v>
      </c>
      <c r="L544" s="75">
        <v>18124.080000000002</v>
      </c>
      <c r="M544" s="75">
        <v>-13411.34</v>
      </c>
      <c r="N544" s="75">
        <v>16458.54</v>
      </c>
      <c r="O544" s="75">
        <v>39508</v>
      </c>
      <c r="P544" s="75">
        <v>-6258.03</v>
      </c>
      <c r="Q544" s="75">
        <v>209722.71999999997</v>
      </c>
      <c r="R544" s="75">
        <v>213704.06999999998</v>
      </c>
    </row>
    <row r="545" spans="1:18" x14ac:dyDescent="0.3">
      <c r="A545">
        <v>528</v>
      </c>
      <c r="B545" s="19">
        <v>49.343800000000002</v>
      </c>
      <c r="C545" s="19">
        <v>32.916200000000003</v>
      </c>
      <c r="D545" s="19">
        <v>11.590299999999999</v>
      </c>
      <c r="E545" s="19">
        <v>266.05169999999998</v>
      </c>
      <c r="F545" s="19">
        <v>15.570600000000001</v>
      </c>
      <c r="G545" s="19">
        <v>366.82560000000001</v>
      </c>
      <c r="H545" s="19">
        <v>4588.0610999999999</v>
      </c>
      <c r="I545" s="19">
        <v>8283.8734000000004</v>
      </c>
      <c r="J545" s="75">
        <v>-4724</v>
      </c>
      <c r="K545" s="75">
        <v>3311.7</v>
      </c>
      <c r="L545" s="75">
        <v>-7965.3600000000006</v>
      </c>
      <c r="M545" s="75">
        <v>-563.54</v>
      </c>
      <c r="N545" s="75">
        <v>-2655.18</v>
      </c>
      <c r="O545" s="75">
        <v>999.6</v>
      </c>
      <c r="P545" s="75">
        <v>6128.13</v>
      </c>
      <c r="Q545" s="75">
        <v>-24790.84</v>
      </c>
      <c r="R545" s="75">
        <v>-30259.49</v>
      </c>
    </row>
    <row r="546" spans="1:18" x14ac:dyDescent="0.3">
      <c r="A546">
        <v>529</v>
      </c>
      <c r="B546" s="19">
        <v>49.6661</v>
      </c>
      <c r="C546" s="19">
        <v>33.094000000000001</v>
      </c>
      <c r="D546" s="19">
        <v>11.704599999999999</v>
      </c>
      <c r="E546" s="19">
        <v>269.33760000000001</v>
      </c>
      <c r="F546" s="19">
        <v>15.4879</v>
      </c>
      <c r="G546" s="19">
        <v>375.8546</v>
      </c>
      <c r="H546" s="19">
        <v>4597.0870000000004</v>
      </c>
      <c r="I546" s="19">
        <v>8420.0077999999994</v>
      </c>
      <c r="J546" s="75">
        <v>1722</v>
      </c>
      <c r="K546" s="75">
        <v>8379</v>
      </c>
      <c r="L546" s="75">
        <v>2184.48</v>
      </c>
      <c r="M546" s="75">
        <v>11922.88</v>
      </c>
      <c r="N546" s="75">
        <v>-6351.87</v>
      </c>
      <c r="O546" s="75">
        <v>32601.100000000002</v>
      </c>
      <c r="P546" s="75">
        <v>8835.9</v>
      </c>
      <c r="Q546" s="75">
        <v>2436.04</v>
      </c>
      <c r="R546" s="75">
        <v>61729.530000000006</v>
      </c>
    </row>
    <row r="547" spans="1:18" x14ac:dyDescent="0.3">
      <c r="A547">
        <v>530</v>
      </c>
      <c r="B547" s="19">
        <v>49.573099999999997</v>
      </c>
      <c r="C547" s="19">
        <v>32.631999999999998</v>
      </c>
      <c r="D547" s="19">
        <v>11.635899999999999</v>
      </c>
      <c r="E547" s="19">
        <v>260.68709999999999</v>
      </c>
      <c r="F547" s="19">
        <v>15.641</v>
      </c>
      <c r="G547" s="19">
        <v>366.77749999999997</v>
      </c>
      <c r="H547" s="19">
        <v>4578.9560000000001</v>
      </c>
      <c r="I547" s="19">
        <v>8408.3179</v>
      </c>
      <c r="J547" s="75">
        <v>-138</v>
      </c>
      <c r="K547" s="75">
        <v>-4788</v>
      </c>
      <c r="L547" s="75">
        <v>-3916.08</v>
      </c>
      <c r="M547" s="75">
        <v>-20949.02</v>
      </c>
      <c r="N547" s="75">
        <v>491.7</v>
      </c>
      <c r="O547" s="75">
        <v>831.25</v>
      </c>
      <c r="P547" s="75">
        <v>3396.6</v>
      </c>
      <c r="Q547" s="75">
        <v>98.06</v>
      </c>
      <c r="R547" s="75">
        <v>-24973.489999999998</v>
      </c>
    </row>
    <row r="548" spans="1:18" x14ac:dyDescent="0.3">
      <c r="A548">
        <v>531</v>
      </c>
      <c r="B548" s="19">
        <v>49.658799999999999</v>
      </c>
      <c r="C548" s="19">
        <v>32.851900000000001</v>
      </c>
      <c r="D548" s="19">
        <v>11.7354</v>
      </c>
      <c r="E548" s="19">
        <v>264.12079999999997</v>
      </c>
      <c r="F548" s="19">
        <v>15.5745</v>
      </c>
      <c r="G548" s="19">
        <v>365.27679999999998</v>
      </c>
      <c r="H548" s="19">
        <v>4655.2129999999997</v>
      </c>
      <c r="I548" s="19">
        <v>8410.5588000000007</v>
      </c>
      <c r="J548" s="75">
        <v>1576</v>
      </c>
      <c r="K548" s="75">
        <v>1479.15</v>
      </c>
      <c r="L548" s="75">
        <v>4919.5199999999995</v>
      </c>
      <c r="M548" s="75">
        <v>-7900.9600000000009</v>
      </c>
      <c r="N548" s="75">
        <v>-2480.85</v>
      </c>
      <c r="O548" s="75">
        <v>-4421.2000000000007</v>
      </c>
      <c r="P548" s="75">
        <v>26273.699999999997</v>
      </c>
      <c r="Q548" s="75">
        <v>546.24</v>
      </c>
      <c r="R548" s="75">
        <v>19991.599999999995</v>
      </c>
    </row>
    <row r="549" spans="1:18" x14ac:dyDescent="0.3">
      <c r="A549">
        <v>532</v>
      </c>
      <c r="B549" s="19">
        <v>49.365099999999998</v>
      </c>
      <c r="C549" s="19">
        <v>32.292000000000002</v>
      </c>
      <c r="D549" s="19">
        <v>11.3428</v>
      </c>
      <c r="E549" s="19">
        <v>265.84039999999999</v>
      </c>
      <c r="F549" s="19">
        <v>15.603300000000001</v>
      </c>
      <c r="G549" s="19">
        <v>364.29489999999998</v>
      </c>
      <c r="H549" s="19">
        <v>4478.2599</v>
      </c>
      <c r="I549" s="19">
        <v>7506.3743999999997</v>
      </c>
      <c r="J549" s="75">
        <v>-4298</v>
      </c>
      <c r="K549" s="75">
        <v>-14478</v>
      </c>
      <c r="L549" s="75">
        <v>-29943.360000000001</v>
      </c>
      <c r="M549" s="75">
        <v>-1366.48</v>
      </c>
      <c r="N549" s="75">
        <v>-1193.49</v>
      </c>
      <c r="O549" s="75">
        <v>-7857.8499999999995</v>
      </c>
      <c r="P549" s="75">
        <v>-26812.23</v>
      </c>
      <c r="Q549" s="75">
        <v>-180290.64</v>
      </c>
      <c r="R549" s="75">
        <v>-266240.05000000005</v>
      </c>
    </row>
    <row r="550" spans="1:18" x14ac:dyDescent="0.3">
      <c r="A550">
        <v>533</v>
      </c>
      <c r="B550" s="19">
        <v>50.127000000000002</v>
      </c>
      <c r="C550" s="19">
        <v>32.981400000000001</v>
      </c>
      <c r="D550" s="19">
        <v>11.609</v>
      </c>
      <c r="E550" s="19">
        <v>263.48270000000002</v>
      </c>
      <c r="F550" s="19">
        <v>15.840999999999999</v>
      </c>
      <c r="G550" s="19">
        <v>362.4615</v>
      </c>
      <c r="H550" s="19">
        <v>4500.9754000000003</v>
      </c>
      <c r="I550" s="19">
        <v>8404.1952999999994</v>
      </c>
      <c r="J550" s="75">
        <v>10940</v>
      </c>
      <c r="K550" s="75">
        <v>5169.9000000000005</v>
      </c>
      <c r="L550" s="75">
        <v>-6304.7999999999993</v>
      </c>
      <c r="M550" s="75">
        <v>-10325.74</v>
      </c>
      <c r="N550" s="75">
        <v>9431.6999999999989</v>
      </c>
      <c r="O550" s="75">
        <v>-14274.75</v>
      </c>
      <c r="P550" s="75">
        <v>-19997.580000000002</v>
      </c>
      <c r="Q550" s="75">
        <v>-726.45999999999992</v>
      </c>
      <c r="R550" s="75">
        <v>-26087.73</v>
      </c>
    </row>
    <row r="551" spans="1:18" x14ac:dyDescent="0.3">
      <c r="A551">
        <v>534</v>
      </c>
      <c r="B551" s="19">
        <v>49.870899999999999</v>
      </c>
      <c r="C551" s="19">
        <v>32.379800000000003</v>
      </c>
      <c r="D551" s="19">
        <v>11.4459</v>
      </c>
      <c r="E551" s="19">
        <v>260.30970000000002</v>
      </c>
      <c r="F551" s="19">
        <v>15.536099999999999</v>
      </c>
      <c r="G551" s="19">
        <v>363.74849999999998</v>
      </c>
      <c r="H551" s="19">
        <v>4495.0057999999999</v>
      </c>
      <c r="I551" s="19">
        <v>8810.4614999999994</v>
      </c>
      <c r="J551" s="75">
        <v>5818</v>
      </c>
      <c r="K551" s="75">
        <v>-11975.7</v>
      </c>
      <c r="L551" s="75">
        <v>-20788.080000000002</v>
      </c>
      <c r="M551" s="75">
        <v>-22383.14</v>
      </c>
      <c r="N551" s="75">
        <v>-4197.33</v>
      </c>
      <c r="O551" s="75">
        <v>-9770.25</v>
      </c>
      <c r="P551" s="75">
        <v>-21788.460000000003</v>
      </c>
      <c r="Q551" s="75">
        <v>80526.78</v>
      </c>
      <c r="R551" s="75">
        <v>-4558.1800000000076</v>
      </c>
    </row>
    <row r="552" spans="1:18" x14ac:dyDescent="0.3">
      <c r="A552">
        <v>535</v>
      </c>
      <c r="B552" s="19">
        <v>49.636099999999999</v>
      </c>
      <c r="C552" s="19">
        <v>32.8842</v>
      </c>
      <c r="D552" s="19">
        <v>11.9879</v>
      </c>
      <c r="E552" s="19">
        <v>259.22489999999999</v>
      </c>
      <c r="F552" s="19">
        <v>15.358000000000001</v>
      </c>
      <c r="G552" s="19">
        <v>379.15789999999998</v>
      </c>
      <c r="H552" s="19">
        <v>4682.9233000000004</v>
      </c>
      <c r="I552" s="19">
        <v>8586.1674999999996</v>
      </c>
      <c r="J552" s="75">
        <v>1122</v>
      </c>
      <c r="K552" s="75">
        <v>2399.6999999999998</v>
      </c>
      <c r="L552" s="75">
        <v>27341.52</v>
      </c>
      <c r="M552" s="75">
        <v>-26505.38</v>
      </c>
      <c r="N552" s="75">
        <v>-12158.400000000001</v>
      </c>
      <c r="O552" s="75">
        <v>44162.65</v>
      </c>
      <c r="P552" s="75">
        <v>34586.79</v>
      </c>
      <c r="Q552" s="75">
        <v>35667.980000000003</v>
      </c>
      <c r="R552" s="75">
        <v>106616.86000000002</v>
      </c>
    </row>
    <row r="553" spans="1:18" x14ac:dyDescent="0.3">
      <c r="A553">
        <v>536</v>
      </c>
      <c r="B553" s="19">
        <v>49.4803</v>
      </c>
      <c r="C553" s="19">
        <v>33.278599999999997</v>
      </c>
      <c r="D553" s="19">
        <v>11.9735</v>
      </c>
      <c r="E553" s="19">
        <v>251.54339999999999</v>
      </c>
      <c r="F553" s="19">
        <v>15.7682</v>
      </c>
      <c r="G553" s="19">
        <v>371.26220000000001</v>
      </c>
      <c r="H553" s="19">
        <v>4434.8783000000003</v>
      </c>
      <c r="I553" s="19">
        <v>8806.3528000000006</v>
      </c>
      <c r="J553" s="75">
        <v>-1994</v>
      </c>
      <c r="K553" s="75">
        <v>13640.1</v>
      </c>
      <c r="L553" s="75">
        <v>26062.799999999999</v>
      </c>
      <c r="M553" s="75">
        <v>-55695.079999999994</v>
      </c>
      <c r="N553" s="75">
        <v>6177.54</v>
      </c>
      <c r="O553" s="75">
        <v>16527.7</v>
      </c>
      <c r="P553" s="75">
        <v>-39826.71</v>
      </c>
      <c r="Q553" s="75">
        <v>79705.039999999994</v>
      </c>
      <c r="R553" s="75">
        <v>44597.39</v>
      </c>
    </row>
    <row r="554" spans="1:18" x14ac:dyDescent="0.3">
      <c r="A554">
        <v>537</v>
      </c>
      <c r="B554" s="19">
        <v>49.820099999999996</v>
      </c>
      <c r="C554" s="19">
        <v>32.831400000000002</v>
      </c>
      <c r="D554" s="19">
        <v>12.0609</v>
      </c>
      <c r="E554" s="19">
        <v>248.2482</v>
      </c>
      <c r="F554" s="19">
        <v>16.145</v>
      </c>
      <c r="G554" s="19">
        <v>370.149</v>
      </c>
      <c r="H554" s="19">
        <v>4505.3383999999996</v>
      </c>
      <c r="I554" s="19">
        <v>7946.6350000000002</v>
      </c>
      <c r="J554" s="75">
        <v>4802</v>
      </c>
      <c r="K554" s="75">
        <v>894.9</v>
      </c>
      <c r="L554" s="75">
        <v>33823.919999999998</v>
      </c>
      <c r="M554" s="75">
        <v>-68216.84</v>
      </c>
      <c r="N554" s="75">
        <v>23020.5</v>
      </c>
      <c r="O554" s="75">
        <v>12631.5</v>
      </c>
      <c r="P554" s="75">
        <v>-18688.68</v>
      </c>
      <c r="Q554" s="75">
        <v>-92238.52</v>
      </c>
      <c r="R554" s="75">
        <v>-103971.22</v>
      </c>
    </row>
    <row r="555" spans="1:18" x14ac:dyDescent="0.3">
      <c r="A555">
        <v>538</v>
      </c>
      <c r="B555" s="19">
        <v>49.133000000000003</v>
      </c>
      <c r="C555" s="19">
        <v>33.661299999999997</v>
      </c>
      <c r="D555" s="19">
        <v>11.779</v>
      </c>
      <c r="E555" s="19">
        <v>266.63310000000001</v>
      </c>
      <c r="F555" s="19">
        <v>15.504300000000001</v>
      </c>
      <c r="G555" s="19">
        <v>378.78899999999999</v>
      </c>
      <c r="H555" s="19">
        <v>4722.7968000000001</v>
      </c>
      <c r="I555" s="19">
        <v>8799.8348000000005</v>
      </c>
      <c r="J555" s="75">
        <v>-8940</v>
      </c>
      <c r="K555" s="75">
        <v>24547.05</v>
      </c>
      <c r="L555" s="75">
        <v>8791.2000000000007</v>
      </c>
      <c r="M555" s="75">
        <v>1645.78</v>
      </c>
      <c r="N555" s="75">
        <v>-5618.79</v>
      </c>
      <c r="O555" s="75">
        <v>42871.5</v>
      </c>
      <c r="P555" s="75">
        <v>46548.840000000004</v>
      </c>
      <c r="Q555" s="75">
        <v>78401.440000000002</v>
      </c>
      <c r="R555" s="75">
        <v>188247.02000000002</v>
      </c>
    </row>
    <row r="556" spans="1:18" x14ac:dyDescent="0.3">
      <c r="A556">
        <v>539</v>
      </c>
      <c r="B556" s="19">
        <v>48.886299999999999</v>
      </c>
      <c r="C556" s="19">
        <v>32.6126</v>
      </c>
      <c r="D556" s="19">
        <v>11.3261</v>
      </c>
      <c r="E556" s="19">
        <v>278.1454</v>
      </c>
      <c r="F556" s="19">
        <v>16.148099999999999</v>
      </c>
      <c r="G556" s="19">
        <v>356.14400000000001</v>
      </c>
      <c r="H556" s="19">
        <v>4506.6298999999999</v>
      </c>
      <c r="I556" s="19">
        <v>8202.9343000000008</v>
      </c>
      <c r="J556" s="75">
        <v>-13874</v>
      </c>
      <c r="K556" s="75">
        <v>-5340.9000000000005</v>
      </c>
      <c r="L556" s="75">
        <v>-31426.32</v>
      </c>
      <c r="M556" s="75">
        <v>45392.52</v>
      </c>
      <c r="N556" s="75">
        <v>23159.07</v>
      </c>
      <c r="O556" s="75">
        <v>-36386</v>
      </c>
      <c r="P556" s="75">
        <v>-18301.23</v>
      </c>
      <c r="Q556" s="75">
        <v>-40978.660000000003</v>
      </c>
      <c r="R556" s="75">
        <v>-77755.520000000004</v>
      </c>
    </row>
    <row r="557" spans="1:18" x14ac:dyDescent="0.3">
      <c r="A557">
        <v>540</v>
      </c>
      <c r="B557" s="19">
        <v>49.255899999999997</v>
      </c>
      <c r="C557" s="19">
        <v>32.925400000000003</v>
      </c>
      <c r="D557" s="19">
        <v>11.755699999999999</v>
      </c>
      <c r="E557" s="19">
        <v>264.91730000000001</v>
      </c>
      <c r="F557" s="19">
        <v>15.557700000000001</v>
      </c>
      <c r="G557" s="19">
        <v>368.24939999999998</v>
      </c>
      <c r="H557" s="19">
        <v>4531.2637000000004</v>
      </c>
      <c r="I557" s="19">
        <v>8410.2209999999995</v>
      </c>
      <c r="J557" s="75">
        <v>-6482</v>
      </c>
      <c r="K557" s="75">
        <v>3573.9000000000005</v>
      </c>
      <c r="L557" s="75">
        <v>6722.16</v>
      </c>
      <c r="M557" s="75">
        <v>-4874.26</v>
      </c>
      <c r="N557" s="75">
        <v>-3231.81</v>
      </c>
      <c r="O557" s="75">
        <v>5982.9000000000005</v>
      </c>
      <c r="P557" s="75">
        <v>-10911.09</v>
      </c>
      <c r="Q557" s="75">
        <v>478.68000000000006</v>
      </c>
      <c r="R557" s="75">
        <v>-8741.52</v>
      </c>
    </row>
    <row r="558" spans="1:18" x14ac:dyDescent="0.3">
      <c r="A558">
        <v>541</v>
      </c>
      <c r="B558" s="19">
        <v>49.854900000000001</v>
      </c>
      <c r="C558" s="19">
        <v>32.236800000000002</v>
      </c>
      <c r="D558" s="19">
        <v>11.5823</v>
      </c>
      <c r="E558" s="19">
        <v>263.892</v>
      </c>
      <c r="F558" s="19">
        <v>15.728</v>
      </c>
      <c r="G558" s="19">
        <v>365.4939</v>
      </c>
      <c r="H558" s="19">
        <v>4545.4748</v>
      </c>
      <c r="I558" s="19">
        <v>7663.2879000000003</v>
      </c>
      <c r="J558" s="75">
        <v>5498</v>
      </c>
      <c r="K558" s="75">
        <v>-16051.2</v>
      </c>
      <c r="L558" s="75">
        <v>-8675.76</v>
      </c>
      <c r="M558" s="75">
        <v>-8770.4</v>
      </c>
      <c r="N558" s="75">
        <v>4380.6000000000004</v>
      </c>
      <c r="O558" s="75">
        <v>-3661.35</v>
      </c>
      <c r="P558" s="75">
        <v>-6647.7599999999993</v>
      </c>
      <c r="Q558" s="75">
        <v>-148907.94</v>
      </c>
      <c r="R558" s="75">
        <v>-182835.81</v>
      </c>
    </row>
    <row r="559" spans="1:18" x14ac:dyDescent="0.3">
      <c r="A559">
        <v>542</v>
      </c>
      <c r="B559" s="19">
        <v>50.264400000000002</v>
      </c>
      <c r="C559" s="19">
        <v>33.080399999999997</v>
      </c>
      <c r="D559" s="19">
        <v>12.0184</v>
      </c>
      <c r="E559" s="19">
        <v>248.56960000000001</v>
      </c>
      <c r="F559" s="19">
        <v>15.5174</v>
      </c>
      <c r="G559" s="19">
        <v>367.42770000000002</v>
      </c>
      <c r="H559" s="19">
        <v>4468.3837999999996</v>
      </c>
      <c r="I559" s="19">
        <v>8791.3528999999999</v>
      </c>
      <c r="J559" s="75">
        <v>13688</v>
      </c>
      <c r="K559" s="75">
        <v>7991.4</v>
      </c>
      <c r="L559" s="75">
        <v>30049.919999999998</v>
      </c>
      <c r="M559" s="75">
        <v>-66995.520000000004</v>
      </c>
      <c r="N559" s="75">
        <v>-5033.22</v>
      </c>
      <c r="O559" s="75">
        <v>3106.9500000000003</v>
      </c>
      <c r="P559" s="75">
        <v>-29775.06</v>
      </c>
      <c r="Q559" s="75">
        <v>76705.06</v>
      </c>
      <c r="R559" s="75">
        <v>29737.529999999992</v>
      </c>
    </row>
    <row r="560" spans="1:18" x14ac:dyDescent="0.3">
      <c r="A560">
        <v>543</v>
      </c>
      <c r="B560" s="19">
        <v>49.383499999999998</v>
      </c>
      <c r="C560" s="19">
        <v>33.046999999999997</v>
      </c>
      <c r="D560" s="19">
        <v>11.486800000000001</v>
      </c>
      <c r="E560" s="19">
        <v>274.42939999999999</v>
      </c>
      <c r="F560" s="19">
        <v>15.2997</v>
      </c>
      <c r="G560" s="19">
        <v>367.88440000000003</v>
      </c>
      <c r="H560" s="19">
        <v>4522.5770000000002</v>
      </c>
      <c r="I560" s="19">
        <v>8170.5078000000003</v>
      </c>
      <c r="J560" s="75">
        <v>-3930</v>
      </c>
      <c r="K560" s="75">
        <v>7039.5</v>
      </c>
      <c r="L560" s="75">
        <v>-17156.16</v>
      </c>
      <c r="M560" s="75">
        <v>31271.72</v>
      </c>
      <c r="N560" s="75">
        <v>-14764.41</v>
      </c>
      <c r="O560" s="75">
        <v>4705.4000000000005</v>
      </c>
      <c r="P560" s="75">
        <v>-13517.1</v>
      </c>
      <c r="Q560" s="75">
        <v>-47463.96</v>
      </c>
      <c r="R560" s="75">
        <v>-53815.009999999995</v>
      </c>
    </row>
    <row r="561" spans="1:18" x14ac:dyDescent="0.3">
      <c r="A561">
        <v>544</v>
      </c>
      <c r="B561" s="19">
        <v>49.759700000000002</v>
      </c>
      <c r="C561" s="19">
        <v>33.326300000000003</v>
      </c>
      <c r="D561" s="19">
        <v>11.804399999999999</v>
      </c>
      <c r="E561" s="19">
        <v>270.1046</v>
      </c>
      <c r="F561" s="19">
        <v>15.776199999999999</v>
      </c>
      <c r="G561" s="19">
        <v>370.38</v>
      </c>
      <c r="H561" s="19">
        <v>4407.2861999999996</v>
      </c>
      <c r="I561" s="19">
        <v>9017.3562000000002</v>
      </c>
      <c r="J561" s="75">
        <v>3594</v>
      </c>
      <c r="K561" s="75">
        <v>14999.55</v>
      </c>
      <c r="L561" s="75">
        <v>11046.72</v>
      </c>
      <c r="M561" s="75">
        <v>14837.48</v>
      </c>
      <c r="N561" s="75">
        <v>6535.1399999999994</v>
      </c>
      <c r="O561" s="75">
        <v>13440</v>
      </c>
      <c r="P561" s="75">
        <v>-48104.340000000004</v>
      </c>
      <c r="Q561" s="75">
        <v>121905.72</v>
      </c>
      <c r="R561" s="75">
        <v>138254.26999999999</v>
      </c>
    </row>
    <row r="562" spans="1:18" x14ac:dyDescent="0.3">
      <c r="A562">
        <v>545</v>
      </c>
      <c r="B562" s="19">
        <v>49.902000000000001</v>
      </c>
      <c r="C562" s="19">
        <v>33.212600000000002</v>
      </c>
      <c r="D562" s="19">
        <v>11.9368</v>
      </c>
      <c r="E562" s="19">
        <v>282.64600000000002</v>
      </c>
      <c r="F562" s="19">
        <v>15.8749</v>
      </c>
      <c r="G562" s="19">
        <v>362.4203</v>
      </c>
      <c r="H562" s="19">
        <v>4613.1026000000002</v>
      </c>
      <c r="I562" s="19">
        <v>8653.7777999999998</v>
      </c>
      <c r="J562" s="75">
        <v>6440</v>
      </c>
      <c r="K562" s="75">
        <v>11759.1</v>
      </c>
      <c r="L562" s="75">
        <v>22803.839999999997</v>
      </c>
      <c r="M562" s="75">
        <v>62494.8</v>
      </c>
      <c r="N562" s="75">
        <v>10947.03</v>
      </c>
      <c r="O562" s="75">
        <v>-14418.949999999999</v>
      </c>
      <c r="P562" s="75">
        <v>13640.58</v>
      </c>
      <c r="Q562" s="75">
        <v>49190.04</v>
      </c>
      <c r="R562" s="75">
        <v>162856.44</v>
      </c>
    </row>
    <row r="563" spans="1:18" x14ac:dyDescent="0.3">
      <c r="A563">
        <v>546</v>
      </c>
      <c r="B563" s="19">
        <v>48.779899999999998</v>
      </c>
      <c r="C563" s="19">
        <v>32.976300000000002</v>
      </c>
      <c r="D563" s="19">
        <v>11.600099999999999</v>
      </c>
      <c r="E563" s="19">
        <v>267.2704</v>
      </c>
      <c r="F563" s="19">
        <v>15.720800000000001</v>
      </c>
      <c r="G563" s="19">
        <v>369.8775</v>
      </c>
      <c r="H563" s="19">
        <v>4648.2653</v>
      </c>
      <c r="I563" s="19">
        <v>8623.1344000000008</v>
      </c>
      <c r="J563" s="75">
        <v>-16002</v>
      </c>
      <c r="K563" s="75">
        <v>5024.55</v>
      </c>
      <c r="L563" s="75">
        <v>-7095.12</v>
      </c>
      <c r="M563" s="75">
        <v>4067.52</v>
      </c>
      <c r="N563" s="75">
        <v>4058.76</v>
      </c>
      <c r="O563" s="75">
        <v>11681.25</v>
      </c>
      <c r="P563" s="75">
        <v>24189.39</v>
      </c>
      <c r="Q563" s="75">
        <v>43061.36</v>
      </c>
      <c r="R563" s="75">
        <v>68985.709999999992</v>
      </c>
    </row>
    <row r="564" spans="1:18" x14ac:dyDescent="0.3">
      <c r="A564">
        <v>547</v>
      </c>
      <c r="B564" s="19">
        <v>49.905999999999999</v>
      </c>
      <c r="C564" s="19">
        <v>32.474299999999999</v>
      </c>
      <c r="D564" s="19">
        <v>11.361000000000001</v>
      </c>
      <c r="E564" s="19">
        <v>268.56470000000002</v>
      </c>
      <c r="F564" s="19">
        <v>16.029299999999999</v>
      </c>
      <c r="G564" s="19">
        <v>366.51519999999999</v>
      </c>
      <c r="H564" s="19">
        <v>4549.8737000000001</v>
      </c>
      <c r="I564" s="19">
        <v>7741.0657000000001</v>
      </c>
      <c r="J564" s="75">
        <v>6520</v>
      </c>
      <c r="K564" s="75">
        <v>-9282.4499999999989</v>
      </c>
      <c r="L564" s="75">
        <v>-28327.200000000001</v>
      </c>
      <c r="M564" s="75">
        <v>8985.86</v>
      </c>
      <c r="N564" s="75">
        <v>17848.71</v>
      </c>
      <c r="O564" s="75">
        <v>-86.8</v>
      </c>
      <c r="P564" s="75">
        <v>-5328.09</v>
      </c>
      <c r="Q564" s="75">
        <v>-133352.38</v>
      </c>
      <c r="R564" s="75">
        <v>-143022.35</v>
      </c>
    </row>
    <row r="565" spans="1:18" x14ac:dyDescent="0.3">
      <c r="A565">
        <v>548</v>
      </c>
      <c r="B565" s="19">
        <v>49.5364</v>
      </c>
      <c r="C565" s="19">
        <v>32.711199999999998</v>
      </c>
      <c r="D565" s="19">
        <v>11.777699999999999</v>
      </c>
      <c r="E565" s="19">
        <v>267.64679999999998</v>
      </c>
      <c r="F565" s="19">
        <v>15.468299999999999</v>
      </c>
      <c r="G565" s="19">
        <v>359.86970000000002</v>
      </c>
      <c r="H565" s="19">
        <v>4502.5045</v>
      </c>
      <c r="I565" s="19">
        <v>8599.5036999999993</v>
      </c>
      <c r="J565" s="75">
        <v>-872</v>
      </c>
      <c r="K565" s="75">
        <v>-2530.8000000000002</v>
      </c>
      <c r="L565" s="75">
        <v>8675.76</v>
      </c>
      <c r="M565" s="75">
        <v>5497.84</v>
      </c>
      <c r="N565" s="75">
        <v>-7227.9900000000007</v>
      </c>
      <c r="O565" s="75">
        <v>-23346.05</v>
      </c>
      <c r="P565" s="75">
        <v>-19538.849999999999</v>
      </c>
      <c r="Q565" s="75">
        <v>38335.22</v>
      </c>
      <c r="R565" s="75">
        <v>-1006.8699999999953</v>
      </c>
    </row>
    <row r="566" spans="1:18" x14ac:dyDescent="0.3">
      <c r="A566">
        <v>549</v>
      </c>
      <c r="B566" s="19">
        <v>49.203200000000002</v>
      </c>
      <c r="C566" s="19">
        <v>32.881399999999999</v>
      </c>
      <c r="D566" s="19">
        <v>11.6409</v>
      </c>
      <c r="E566" s="19">
        <v>280.8777</v>
      </c>
      <c r="F566" s="19">
        <v>15.4457</v>
      </c>
      <c r="G566" s="19">
        <v>371.52879999999999</v>
      </c>
      <c r="H566" s="19">
        <v>4694.5842000000002</v>
      </c>
      <c r="I566" s="19">
        <v>8400.6576000000005</v>
      </c>
      <c r="J566" s="75">
        <v>-7536.0000000000009</v>
      </c>
      <c r="K566" s="75">
        <v>2319.9</v>
      </c>
      <c r="L566" s="75">
        <v>-3472.0800000000004</v>
      </c>
      <c r="M566" s="75">
        <v>55775.26</v>
      </c>
      <c r="N566" s="75">
        <v>-8238.2099999999991</v>
      </c>
      <c r="O566" s="75">
        <v>17460.800000000003</v>
      </c>
      <c r="P566" s="75">
        <v>38085.06</v>
      </c>
      <c r="Q566" s="75">
        <v>-1434</v>
      </c>
      <c r="R566" s="75">
        <v>92960.73000000001</v>
      </c>
    </row>
    <row r="567" spans="1:18" x14ac:dyDescent="0.3">
      <c r="A567">
        <v>550</v>
      </c>
      <c r="B567" s="19">
        <v>49.664999999999999</v>
      </c>
      <c r="C567" s="19">
        <v>32.064599999999999</v>
      </c>
      <c r="D567" s="19">
        <v>11.700200000000001</v>
      </c>
      <c r="E567" s="19">
        <v>276.75959999999998</v>
      </c>
      <c r="F567" s="19">
        <v>15.528600000000001</v>
      </c>
      <c r="G567" s="19">
        <v>377.1429</v>
      </c>
      <c r="H567" s="19">
        <v>4458.6460999999999</v>
      </c>
      <c r="I567" s="19">
        <v>8961.0053000000007</v>
      </c>
      <c r="J567" s="75">
        <v>1700.0000000000002</v>
      </c>
      <c r="K567" s="75">
        <v>-20958.900000000001</v>
      </c>
      <c r="L567" s="75">
        <v>1793.76</v>
      </c>
      <c r="M567" s="75">
        <v>40126.479999999996</v>
      </c>
      <c r="N567" s="75">
        <v>-4532.58</v>
      </c>
      <c r="O567" s="75">
        <v>37110.15</v>
      </c>
      <c r="P567" s="75">
        <v>-32696.37</v>
      </c>
      <c r="Q567" s="75">
        <v>110635.54</v>
      </c>
      <c r="R567" s="75">
        <v>133178.07999999999</v>
      </c>
    </row>
    <row r="568" spans="1:18" x14ac:dyDescent="0.3">
      <c r="A568">
        <v>551</v>
      </c>
      <c r="B568" s="19">
        <v>50.125900000000001</v>
      </c>
      <c r="C568" s="19">
        <v>32.191200000000002</v>
      </c>
      <c r="D568" s="19">
        <v>11.4491</v>
      </c>
      <c r="E568" s="19">
        <v>276.61970000000002</v>
      </c>
      <c r="F568" s="19">
        <v>15.3416</v>
      </c>
      <c r="G568" s="19">
        <v>363.09739999999999</v>
      </c>
      <c r="H568" s="19">
        <v>4612.8257999999996</v>
      </c>
      <c r="I568" s="19">
        <v>8141.4305000000004</v>
      </c>
      <c r="J568" s="75">
        <v>10918.000000000002</v>
      </c>
      <c r="K568" s="75">
        <v>-17350.8</v>
      </c>
      <c r="L568" s="75">
        <v>-20503.919999999998</v>
      </c>
      <c r="M568" s="75">
        <v>39594.86</v>
      </c>
      <c r="N568" s="75">
        <v>-12891.48</v>
      </c>
      <c r="O568" s="75">
        <v>-12049.1</v>
      </c>
      <c r="P568" s="75">
        <v>13557.54</v>
      </c>
      <c r="Q568" s="75">
        <v>-53279.420000000006</v>
      </c>
      <c r="R568" s="75">
        <v>-52004.32</v>
      </c>
    </row>
    <row r="569" spans="1:18" x14ac:dyDescent="0.3">
      <c r="A569">
        <v>552</v>
      </c>
      <c r="B569" s="19">
        <v>50.240299999999998</v>
      </c>
      <c r="C569" s="19">
        <v>33.5655</v>
      </c>
      <c r="D569" s="19">
        <v>12.052</v>
      </c>
      <c r="E569" s="19">
        <v>279.10079999999999</v>
      </c>
      <c r="F569" s="19">
        <v>15.938000000000001</v>
      </c>
      <c r="G569" s="19">
        <v>361.2645</v>
      </c>
      <c r="H569" s="19">
        <v>4509.2936</v>
      </c>
      <c r="I569" s="19">
        <v>8699.1010000000006</v>
      </c>
      <c r="J569" s="75">
        <v>13206</v>
      </c>
      <c r="K569" s="75">
        <v>21816.75</v>
      </c>
      <c r="L569" s="75">
        <v>33033.599999999999</v>
      </c>
      <c r="M569" s="75">
        <v>49023.040000000001</v>
      </c>
      <c r="N569" s="75">
        <v>13767.6</v>
      </c>
      <c r="O569" s="75">
        <v>-18464.25</v>
      </c>
      <c r="P569" s="75">
        <v>-17502.12</v>
      </c>
      <c r="Q569" s="75">
        <v>58254.679999999993</v>
      </c>
      <c r="R569" s="75">
        <v>153135.30000000002</v>
      </c>
    </row>
    <row r="570" spans="1:18" x14ac:dyDescent="0.3">
      <c r="A570">
        <v>553</v>
      </c>
      <c r="B570" s="19">
        <v>49.723199999999999</v>
      </c>
      <c r="C570" s="19">
        <v>32.446800000000003</v>
      </c>
      <c r="D570" s="19">
        <v>11.572699999999999</v>
      </c>
      <c r="E570" s="19">
        <v>263.7131</v>
      </c>
      <c r="F570" s="19">
        <v>15.101100000000001</v>
      </c>
      <c r="G570" s="19">
        <v>367.67349999999999</v>
      </c>
      <c r="H570" s="19">
        <v>4548.6743999999999</v>
      </c>
      <c r="I570" s="19">
        <v>8452.5709999999999</v>
      </c>
      <c r="J570" s="75">
        <v>2864</v>
      </c>
      <c r="K570" s="75">
        <v>-10066.200000000001</v>
      </c>
      <c r="L570" s="75">
        <v>-9528.24</v>
      </c>
      <c r="M570" s="75">
        <v>-9450.2199999999993</v>
      </c>
      <c r="N570" s="75">
        <v>-23641.83</v>
      </c>
      <c r="O570" s="75">
        <v>3967.25</v>
      </c>
      <c r="P570" s="75">
        <v>-5687.8799999999992</v>
      </c>
      <c r="Q570" s="75">
        <v>8948.68</v>
      </c>
      <c r="R570" s="75">
        <v>-42594.44</v>
      </c>
    </row>
    <row r="571" spans="1:18" x14ac:dyDescent="0.3">
      <c r="A571">
        <v>554</v>
      </c>
      <c r="B571" s="19">
        <v>48.619100000000003</v>
      </c>
      <c r="C571" s="19">
        <v>33.336399999999998</v>
      </c>
      <c r="D571" s="19">
        <v>12.0726</v>
      </c>
      <c r="E571" s="19">
        <v>261.13830000000002</v>
      </c>
      <c r="F571" s="19">
        <v>15.5725</v>
      </c>
      <c r="G571" s="19">
        <v>357.82119999999998</v>
      </c>
      <c r="H571" s="19">
        <v>4578.2195000000002</v>
      </c>
      <c r="I571" s="19">
        <v>7728.0223999999998</v>
      </c>
      <c r="J571" s="75">
        <v>-19218</v>
      </c>
      <c r="K571" s="75">
        <v>15287.4</v>
      </c>
      <c r="L571" s="75">
        <v>34862.879999999997</v>
      </c>
      <c r="M571" s="75">
        <v>-19234.46</v>
      </c>
      <c r="N571" s="75">
        <v>-2570.25</v>
      </c>
      <c r="O571" s="75">
        <v>-30515.8</v>
      </c>
      <c r="P571" s="75">
        <v>3175.65</v>
      </c>
      <c r="Q571" s="75">
        <v>-135961.04</v>
      </c>
      <c r="R571" s="75">
        <v>-154173.62</v>
      </c>
    </row>
    <row r="572" spans="1:18" x14ac:dyDescent="0.3">
      <c r="A572">
        <v>555</v>
      </c>
      <c r="B572" s="19">
        <v>49.733199999999997</v>
      </c>
      <c r="C572" s="19">
        <v>32.864699999999999</v>
      </c>
      <c r="D572" s="19">
        <v>12.028700000000001</v>
      </c>
      <c r="E572" s="19">
        <v>258.18119999999999</v>
      </c>
      <c r="F572" s="19">
        <v>16.1145</v>
      </c>
      <c r="G572" s="19">
        <v>372.40359999999998</v>
      </c>
      <c r="H572" s="19">
        <v>4562.4441999999999</v>
      </c>
      <c r="I572" s="19">
        <v>8240.7556000000004</v>
      </c>
      <c r="J572" s="75">
        <v>3064</v>
      </c>
      <c r="K572" s="75">
        <v>1843.9499999999998</v>
      </c>
      <c r="L572" s="75">
        <v>30964.560000000001</v>
      </c>
      <c r="M572" s="75">
        <v>-30471.440000000002</v>
      </c>
      <c r="N572" s="75">
        <v>21657.149999999998</v>
      </c>
      <c r="O572" s="75">
        <v>20522.599999999999</v>
      </c>
      <c r="P572" s="75">
        <v>-1556.94</v>
      </c>
      <c r="Q572" s="75">
        <v>-33414.400000000001</v>
      </c>
      <c r="R572" s="75">
        <v>12609.479999999989</v>
      </c>
    </row>
    <row r="573" spans="1:18" x14ac:dyDescent="0.3">
      <c r="A573">
        <v>556</v>
      </c>
      <c r="B573" s="19">
        <v>50.3292</v>
      </c>
      <c r="C573" s="19">
        <v>32.356900000000003</v>
      </c>
      <c r="D573" s="19">
        <v>11.949299999999999</v>
      </c>
      <c r="E573" s="19">
        <v>259.36610000000002</v>
      </c>
      <c r="F573" s="19">
        <v>15.6767</v>
      </c>
      <c r="G573" s="19">
        <v>358.41609999999997</v>
      </c>
      <c r="H573" s="19">
        <v>4446.9251000000004</v>
      </c>
      <c r="I573" s="19">
        <v>8429.0686999999998</v>
      </c>
      <c r="J573" s="75">
        <v>14984</v>
      </c>
      <c r="K573" s="75">
        <v>-12628.35</v>
      </c>
      <c r="L573" s="75">
        <v>23913.84</v>
      </c>
      <c r="M573" s="75">
        <v>-25968.82</v>
      </c>
      <c r="N573" s="75">
        <v>2087.4899999999998</v>
      </c>
      <c r="O573" s="75">
        <v>-28433.65</v>
      </c>
      <c r="P573" s="75">
        <v>-36212.67</v>
      </c>
      <c r="Q573" s="75">
        <v>4248.22</v>
      </c>
      <c r="R573" s="75">
        <v>-58009.94</v>
      </c>
    </row>
    <row r="574" spans="1:18" x14ac:dyDescent="0.3">
      <c r="A574">
        <v>557</v>
      </c>
      <c r="B574" s="19">
        <v>48.5473</v>
      </c>
      <c r="C574" s="19">
        <v>33.307499999999997</v>
      </c>
      <c r="D574" s="19">
        <v>11.357799999999999</v>
      </c>
      <c r="E574" s="19">
        <v>268.11040000000003</v>
      </c>
      <c r="F574" s="19">
        <v>15.7311</v>
      </c>
      <c r="G574" s="19">
        <v>366.50729999999999</v>
      </c>
      <c r="H574" s="19">
        <v>4605.7299999999996</v>
      </c>
      <c r="I574" s="19">
        <v>8526.2775999999994</v>
      </c>
      <c r="J574" s="75">
        <v>-20654</v>
      </c>
      <c r="K574" s="75">
        <v>14463.749999999998</v>
      </c>
      <c r="L574" s="75">
        <v>-28611.360000000001</v>
      </c>
      <c r="M574" s="75">
        <v>7259.52</v>
      </c>
      <c r="N574" s="75">
        <v>4519.17</v>
      </c>
      <c r="O574" s="75">
        <v>-114.45</v>
      </c>
      <c r="P574" s="75">
        <v>11428.8</v>
      </c>
      <c r="Q574" s="75">
        <v>23690</v>
      </c>
      <c r="R574" s="75">
        <v>11981.43</v>
      </c>
    </row>
    <row r="575" spans="1:18" x14ac:dyDescent="0.3">
      <c r="A575">
        <v>558</v>
      </c>
      <c r="B575" s="19">
        <v>50.2746</v>
      </c>
      <c r="C575" s="19">
        <v>32.382800000000003</v>
      </c>
      <c r="D575" s="19">
        <v>11.529500000000001</v>
      </c>
      <c r="E575" s="19">
        <v>276.70890000000003</v>
      </c>
      <c r="F575" s="19">
        <v>15.768700000000001</v>
      </c>
      <c r="G575" s="19">
        <v>368.90390000000002</v>
      </c>
      <c r="H575" s="19">
        <v>4563.3418000000001</v>
      </c>
      <c r="I575" s="19">
        <v>8124.9458999999997</v>
      </c>
      <c r="J575" s="75">
        <v>13892</v>
      </c>
      <c r="K575" s="75">
        <v>-11890.2</v>
      </c>
      <c r="L575" s="75">
        <v>-13364.4</v>
      </c>
      <c r="M575" s="75">
        <v>39933.82</v>
      </c>
      <c r="N575" s="75">
        <v>6199.8899999999994</v>
      </c>
      <c r="O575" s="75">
        <v>8273.65</v>
      </c>
      <c r="P575" s="75">
        <v>-1287.6600000000001</v>
      </c>
      <c r="Q575" s="75">
        <v>-56576.340000000004</v>
      </c>
      <c r="R575" s="75">
        <v>-14819.240000000005</v>
      </c>
    </row>
    <row r="576" spans="1:18" x14ac:dyDescent="0.3">
      <c r="A576">
        <v>559</v>
      </c>
      <c r="B576" s="19">
        <v>48.932899999999997</v>
      </c>
      <c r="C576" s="19">
        <v>32.525399999999998</v>
      </c>
      <c r="D576" s="19">
        <v>11.670999999999999</v>
      </c>
      <c r="E576" s="19">
        <v>272.9511</v>
      </c>
      <c r="F576" s="19">
        <v>15.920400000000001</v>
      </c>
      <c r="G576" s="19">
        <v>365.7346</v>
      </c>
      <c r="H576" s="19">
        <v>4613.1948000000002</v>
      </c>
      <c r="I576" s="19">
        <v>8771.8062000000009</v>
      </c>
      <c r="J576" s="75">
        <v>-12942</v>
      </c>
      <c r="K576" s="75">
        <v>-7826.1</v>
      </c>
      <c r="L576" s="75">
        <v>-799.19999999999993</v>
      </c>
      <c r="M576" s="75">
        <v>25654.18</v>
      </c>
      <c r="N576" s="75">
        <v>12980.88</v>
      </c>
      <c r="O576" s="75">
        <v>-2818.9</v>
      </c>
      <c r="P576" s="75">
        <v>13668.24</v>
      </c>
      <c r="Q576" s="75">
        <v>72795.72</v>
      </c>
      <c r="R576" s="75">
        <v>100712.82</v>
      </c>
    </row>
    <row r="577" spans="1:18" x14ac:dyDescent="0.3">
      <c r="A577">
        <v>560</v>
      </c>
      <c r="B577" s="19">
        <v>49.320999999999998</v>
      </c>
      <c r="C577" s="19">
        <v>31.956399999999999</v>
      </c>
      <c r="D577" s="19">
        <v>12.1181</v>
      </c>
      <c r="E577" s="19">
        <v>254.62129999999999</v>
      </c>
      <c r="F577" s="19">
        <v>15.901</v>
      </c>
      <c r="G577" s="19">
        <v>370.16719999999998</v>
      </c>
      <c r="H577" s="19">
        <v>4579.8585000000003</v>
      </c>
      <c r="I577" s="19">
        <v>7965.7119000000002</v>
      </c>
      <c r="J577" s="75">
        <v>-5180</v>
      </c>
      <c r="K577" s="75">
        <v>-24042.600000000002</v>
      </c>
      <c r="L577" s="75">
        <v>38903.279999999999</v>
      </c>
      <c r="M577" s="75">
        <v>-43999.06</v>
      </c>
      <c r="N577" s="75">
        <v>12113.7</v>
      </c>
      <c r="O577" s="75">
        <v>12695.2</v>
      </c>
      <c r="P577" s="75">
        <v>3667.3500000000004</v>
      </c>
      <c r="Q577" s="75">
        <v>-88423.14</v>
      </c>
      <c r="R577" s="75">
        <v>-94265.27</v>
      </c>
    </row>
    <row r="578" spans="1:18" x14ac:dyDescent="0.3">
      <c r="A578">
        <v>561</v>
      </c>
      <c r="B578" s="19">
        <v>49.6434</v>
      </c>
      <c r="C578" s="19">
        <v>32.705300000000001</v>
      </c>
      <c r="D578" s="19">
        <v>11.841900000000001</v>
      </c>
      <c r="E578" s="19">
        <v>281.5324</v>
      </c>
      <c r="F578" s="19">
        <v>15.359</v>
      </c>
      <c r="G578" s="19">
        <v>367.61849999999998</v>
      </c>
      <c r="H578" s="19">
        <v>4373.7109</v>
      </c>
      <c r="I578" s="19">
        <v>8488.0220000000008</v>
      </c>
      <c r="J578" s="75">
        <v>1268</v>
      </c>
      <c r="K578" s="75">
        <v>-2698.9500000000003</v>
      </c>
      <c r="L578" s="75">
        <v>14376.72</v>
      </c>
      <c r="M578" s="75">
        <v>58263.12</v>
      </c>
      <c r="N578" s="75">
        <v>-12113.7</v>
      </c>
      <c r="O578" s="75">
        <v>3774.75</v>
      </c>
      <c r="P578" s="75">
        <v>-58176.93</v>
      </c>
      <c r="Q578" s="75">
        <v>16038.880000000001</v>
      </c>
      <c r="R578" s="75">
        <v>20731.890000000003</v>
      </c>
    </row>
    <row r="579" spans="1:18" x14ac:dyDescent="0.3">
      <c r="A579">
        <v>562</v>
      </c>
      <c r="B579" s="19">
        <v>49.927100000000003</v>
      </c>
      <c r="C579" s="19">
        <v>32.555300000000003</v>
      </c>
      <c r="D579" s="19">
        <v>11.767300000000001</v>
      </c>
      <c r="E579" s="19">
        <v>278.96210000000002</v>
      </c>
      <c r="F579" s="19">
        <v>15.5784</v>
      </c>
      <c r="G579" s="19">
        <v>375.96710000000002</v>
      </c>
      <c r="H579" s="19">
        <v>4547.2902999999997</v>
      </c>
      <c r="I579" s="19">
        <v>8077.7784000000001</v>
      </c>
      <c r="J579" s="75">
        <v>6942</v>
      </c>
      <c r="K579" s="75">
        <v>-6973.95</v>
      </c>
      <c r="L579" s="75">
        <v>7752.24</v>
      </c>
      <c r="M579" s="75">
        <v>48495.98</v>
      </c>
      <c r="N579" s="75">
        <v>-2306.52</v>
      </c>
      <c r="O579" s="75">
        <v>32994.85</v>
      </c>
      <c r="P579" s="75">
        <v>-6103.11</v>
      </c>
      <c r="Q579" s="75">
        <v>-66009.84</v>
      </c>
      <c r="R579" s="75">
        <v>14791.650000000009</v>
      </c>
    </row>
    <row r="580" spans="1:18" x14ac:dyDescent="0.3">
      <c r="A580">
        <v>563</v>
      </c>
      <c r="B580" s="19">
        <v>48.805199999999999</v>
      </c>
      <c r="C580" s="19">
        <v>32.919199999999996</v>
      </c>
      <c r="D580" s="19">
        <v>11.605600000000001</v>
      </c>
      <c r="E580" s="19">
        <v>262.84989999999999</v>
      </c>
      <c r="F580" s="19">
        <v>15.4635</v>
      </c>
      <c r="G580" s="19">
        <v>361.77359999999999</v>
      </c>
      <c r="H580" s="19">
        <v>4725.6143000000002</v>
      </c>
      <c r="I580" s="19">
        <v>8555.0555000000004</v>
      </c>
      <c r="J580" s="75">
        <v>-15496</v>
      </c>
      <c r="K580" s="75">
        <v>3397.2</v>
      </c>
      <c r="L580" s="75">
        <v>-6606.7199999999993</v>
      </c>
      <c r="M580" s="75">
        <v>-12730.38</v>
      </c>
      <c r="N580" s="75">
        <v>-7442.55</v>
      </c>
      <c r="O580" s="75">
        <v>-16682.400000000001</v>
      </c>
      <c r="P580" s="75">
        <v>47394.09</v>
      </c>
      <c r="Q580" s="75">
        <v>29445.58</v>
      </c>
      <c r="R580" s="75">
        <v>21278.82</v>
      </c>
    </row>
    <row r="581" spans="1:18" x14ac:dyDescent="0.3">
      <c r="A581">
        <v>564</v>
      </c>
      <c r="B581" s="19">
        <v>48.867699999999999</v>
      </c>
      <c r="C581" s="19">
        <v>32.610100000000003</v>
      </c>
      <c r="D581" s="19">
        <v>11.6241</v>
      </c>
      <c r="E581" s="19">
        <v>269.36950000000002</v>
      </c>
      <c r="F581" s="19">
        <v>15.4297</v>
      </c>
      <c r="G581" s="19">
        <v>367.37670000000003</v>
      </c>
      <c r="H581" s="19">
        <v>4605.0461999999998</v>
      </c>
      <c r="I581" s="19">
        <v>8750.4678999999996</v>
      </c>
      <c r="J581" s="75">
        <v>-14246</v>
      </c>
      <c r="K581" s="75">
        <v>-5412.1500000000005</v>
      </c>
      <c r="L581" s="75">
        <v>-4963.92</v>
      </c>
      <c r="M581" s="75">
        <v>12044.1</v>
      </c>
      <c r="N581" s="75">
        <v>-8953.41</v>
      </c>
      <c r="O581" s="75">
        <v>2928.45</v>
      </c>
      <c r="P581" s="75">
        <v>11223.66</v>
      </c>
      <c r="Q581" s="75">
        <v>68528.06</v>
      </c>
      <c r="R581" s="75">
        <v>61148.79</v>
      </c>
    </row>
    <row r="582" spans="1:18" x14ac:dyDescent="0.3">
      <c r="A582">
        <v>565</v>
      </c>
      <c r="B582" s="19">
        <v>49.6235</v>
      </c>
      <c r="C582" s="19">
        <v>33.508499999999998</v>
      </c>
      <c r="D582" s="19">
        <v>11.5787</v>
      </c>
      <c r="E582" s="19">
        <v>276.40300000000002</v>
      </c>
      <c r="F582" s="19">
        <v>15.6807</v>
      </c>
      <c r="G582" s="19">
        <v>372.11410000000001</v>
      </c>
      <c r="H582" s="19">
        <v>4658.6356999999998</v>
      </c>
      <c r="I582" s="19">
        <v>8302.2890000000007</v>
      </c>
      <c r="J582" s="75">
        <v>869.99999999999989</v>
      </c>
      <c r="K582" s="75">
        <v>20192.25</v>
      </c>
      <c r="L582" s="75">
        <v>-8995.44</v>
      </c>
      <c r="M582" s="75">
        <v>38771.399999999994</v>
      </c>
      <c r="N582" s="75">
        <v>2266.29</v>
      </c>
      <c r="O582" s="75">
        <v>19509.349999999999</v>
      </c>
      <c r="P582" s="75">
        <v>27300.51</v>
      </c>
      <c r="Q582" s="75">
        <v>-21107.72</v>
      </c>
      <c r="R582" s="75">
        <v>78806.639999999985</v>
      </c>
    </row>
    <row r="583" spans="1:18" x14ac:dyDescent="0.3">
      <c r="A583">
        <v>566</v>
      </c>
      <c r="B583" s="19">
        <v>49.3474</v>
      </c>
      <c r="C583" s="19">
        <v>33.071300000000001</v>
      </c>
      <c r="D583" s="19">
        <v>11.642799999999999</v>
      </c>
      <c r="E583" s="19">
        <v>268.90199999999999</v>
      </c>
      <c r="F583" s="19">
        <v>15.8148</v>
      </c>
      <c r="G583" s="19">
        <v>361.38929999999999</v>
      </c>
      <c r="H583" s="19">
        <v>4589.9063999999998</v>
      </c>
      <c r="I583" s="19">
        <v>8293.8171999999995</v>
      </c>
      <c r="J583" s="75">
        <v>-4652</v>
      </c>
      <c r="K583" s="75">
        <v>7732.0499999999993</v>
      </c>
      <c r="L583" s="75">
        <v>-3303.3599999999997</v>
      </c>
      <c r="M583" s="75">
        <v>10267.6</v>
      </c>
      <c r="N583" s="75">
        <v>8260.56</v>
      </c>
      <c r="O583" s="75">
        <v>-18027.449999999997</v>
      </c>
      <c r="P583" s="75">
        <v>6681.72</v>
      </c>
      <c r="Q583" s="75">
        <v>-22802.080000000002</v>
      </c>
      <c r="R583" s="75">
        <v>-15842.96</v>
      </c>
    </row>
    <row r="584" spans="1:18" x14ac:dyDescent="0.3">
      <c r="A584">
        <v>567</v>
      </c>
      <c r="B584" s="19">
        <v>49.459200000000003</v>
      </c>
      <c r="C584" s="19">
        <v>32.028399999999998</v>
      </c>
      <c r="D584" s="19">
        <v>11.774800000000001</v>
      </c>
      <c r="E584" s="19">
        <v>259.29820000000001</v>
      </c>
      <c r="F584" s="19">
        <v>15.7507</v>
      </c>
      <c r="G584" s="19">
        <v>368.72800000000001</v>
      </c>
      <c r="H584" s="19">
        <v>4587.8086000000003</v>
      </c>
      <c r="I584" s="19">
        <v>8460.4907999999996</v>
      </c>
      <c r="J584" s="75">
        <v>-2416</v>
      </c>
      <c r="K584" s="75">
        <v>-21990.6</v>
      </c>
      <c r="L584" s="75">
        <v>8418.24</v>
      </c>
      <c r="M584" s="75">
        <v>-26226.84</v>
      </c>
      <c r="N584" s="75">
        <v>5395.29</v>
      </c>
      <c r="O584" s="75">
        <v>7658.0000000000009</v>
      </c>
      <c r="P584" s="75">
        <v>6052.38</v>
      </c>
      <c r="Q584" s="75">
        <v>10532.640000000001</v>
      </c>
      <c r="R584" s="75">
        <v>-12576.889999999994</v>
      </c>
    </row>
    <row r="585" spans="1:18" x14ac:dyDescent="0.3">
      <c r="A585">
        <v>568</v>
      </c>
      <c r="B585" s="19">
        <v>49.564900000000002</v>
      </c>
      <c r="C585" s="19">
        <v>32.57</v>
      </c>
      <c r="D585" s="19">
        <v>11.9145</v>
      </c>
      <c r="E585" s="19">
        <v>267.5462</v>
      </c>
      <c r="F585" s="19">
        <v>16.0932</v>
      </c>
      <c r="G585" s="19">
        <v>384.92090000000002</v>
      </c>
      <c r="H585" s="19">
        <v>4591.6072999999997</v>
      </c>
      <c r="I585" s="19">
        <v>9727.2129999999997</v>
      </c>
      <c r="J585" s="75">
        <v>-302</v>
      </c>
      <c r="K585" s="75">
        <v>-6555</v>
      </c>
      <c r="L585" s="75">
        <v>20823.599999999999</v>
      </c>
      <c r="M585" s="75">
        <v>5115.5600000000004</v>
      </c>
      <c r="N585" s="75">
        <v>20705.04</v>
      </c>
      <c r="O585" s="75">
        <v>64333.15</v>
      </c>
      <c r="P585" s="75">
        <v>7191.99</v>
      </c>
      <c r="Q585" s="75">
        <v>263877.07999999996</v>
      </c>
      <c r="R585" s="75">
        <v>375189.42</v>
      </c>
    </row>
    <row r="586" spans="1:18" x14ac:dyDescent="0.3">
      <c r="A586">
        <v>569</v>
      </c>
      <c r="B586" s="19">
        <v>49.821399999999997</v>
      </c>
      <c r="C586" s="19">
        <v>32.6252</v>
      </c>
      <c r="D586" s="19">
        <v>11.6569</v>
      </c>
      <c r="E586" s="19">
        <v>276.37189999999998</v>
      </c>
      <c r="F586" s="19">
        <v>15.750299999999999</v>
      </c>
      <c r="G586" s="19">
        <v>367.22550000000001</v>
      </c>
      <c r="H586" s="19">
        <v>4518.2043999999996</v>
      </c>
      <c r="I586" s="19">
        <v>8219.3171999999995</v>
      </c>
      <c r="J586" s="75">
        <v>4828</v>
      </c>
      <c r="K586" s="75">
        <v>-4981.8</v>
      </c>
      <c r="L586" s="75">
        <v>-2051.2799999999997</v>
      </c>
      <c r="M586" s="75">
        <v>38653.22</v>
      </c>
      <c r="N586" s="75">
        <v>5377.41</v>
      </c>
      <c r="O586" s="75">
        <v>2399.25</v>
      </c>
      <c r="P586" s="75">
        <v>-14828.880000000001</v>
      </c>
      <c r="Q586" s="75">
        <v>-37702.080000000002</v>
      </c>
      <c r="R586" s="75">
        <v>-8306.16</v>
      </c>
    </row>
    <row r="587" spans="1:18" x14ac:dyDescent="0.3">
      <c r="A587">
        <v>570</v>
      </c>
      <c r="B587" s="19">
        <v>49.501300000000001</v>
      </c>
      <c r="C587" s="19">
        <v>32.857199999999999</v>
      </c>
      <c r="D587" s="19">
        <v>11.2376</v>
      </c>
      <c r="E587" s="19">
        <v>269.19189999999998</v>
      </c>
      <c r="F587" s="19">
        <v>15.8148</v>
      </c>
      <c r="G587" s="19">
        <v>373.78680000000003</v>
      </c>
      <c r="H587" s="19">
        <v>4775.5627999999997</v>
      </c>
      <c r="I587" s="19">
        <v>8189.2073</v>
      </c>
      <c r="J587" s="75">
        <v>-1574.0000000000002</v>
      </c>
      <c r="K587" s="75">
        <v>1630.2</v>
      </c>
      <c r="L587" s="75">
        <v>-39285.120000000003</v>
      </c>
      <c r="M587" s="75">
        <v>11369.22</v>
      </c>
      <c r="N587" s="75">
        <v>8260.56</v>
      </c>
      <c r="O587" s="75">
        <v>25363.800000000003</v>
      </c>
      <c r="P587" s="75">
        <v>62378.64</v>
      </c>
      <c r="Q587" s="75">
        <v>-43724.06</v>
      </c>
      <c r="R587" s="75">
        <v>24419.239999999991</v>
      </c>
    </row>
    <row r="588" spans="1:18" x14ac:dyDescent="0.3">
      <c r="A588">
        <v>571</v>
      </c>
      <c r="B588" s="19">
        <v>49.356499999999997</v>
      </c>
      <c r="C588" s="19">
        <v>32.438200000000002</v>
      </c>
      <c r="D588" s="19">
        <v>11.5069</v>
      </c>
      <c r="E588" s="19">
        <v>263.73270000000002</v>
      </c>
      <c r="F588" s="19">
        <v>15.1127</v>
      </c>
      <c r="G588" s="19">
        <v>363.77390000000003</v>
      </c>
      <c r="H588" s="19">
        <v>4599.0784000000003</v>
      </c>
      <c r="I588" s="19">
        <v>7861.8689000000004</v>
      </c>
      <c r="J588" s="75">
        <v>-4470</v>
      </c>
      <c r="K588" s="75">
        <v>-10311.300000000001</v>
      </c>
      <c r="L588" s="75">
        <v>-15371.28</v>
      </c>
      <c r="M588" s="75">
        <v>-9375.74</v>
      </c>
      <c r="N588" s="75">
        <v>-23123.309999999998</v>
      </c>
      <c r="O588" s="75">
        <v>-9681.3499999999985</v>
      </c>
      <c r="P588" s="75">
        <v>9433.32</v>
      </c>
      <c r="Q588" s="75">
        <v>-109191.74</v>
      </c>
      <c r="R588" s="75">
        <v>-172091.4</v>
      </c>
    </row>
    <row r="589" spans="1:18" x14ac:dyDescent="0.3">
      <c r="A589">
        <v>572</v>
      </c>
      <c r="B589" s="19">
        <v>48.9343</v>
      </c>
      <c r="C589" s="19">
        <v>33.503100000000003</v>
      </c>
      <c r="D589" s="19">
        <v>11.6005</v>
      </c>
      <c r="E589" s="19">
        <v>268.96910000000003</v>
      </c>
      <c r="F589" s="19">
        <v>15.3103</v>
      </c>
      <c r="G589" s="19">
        <v>379.21589999999998</v>
      </c>
      <c r="H589" s="19">
        <v>4590.0325000000003</v>
      </c>
      <c r="I589" s="19">
        <v>8898.4150000000009</v>
      </c>
      <c r="J589" s="75">
        <v>-12914.000000000002</v>
      </c>
      <c r="K589" s="75">
        <v>20038.349999999999</v>
      </c>
      <c r="L589" s="75">
        <v>-7059.6</v>
      </c>
      <c r="M589" s="75">
        <v>10522.58</v>
      </c>
      <c r="N589" s="75">
        <v>-14290.59</v>
      </c>
      <c r="O589" s="75">
        <v>44365.65</v>
      </c>
      <c r="P589" s="75">
        <v>6719.5499999999993</v>
      </c>
      <c r="Q589" s="75">
        <v>98117.48</v>
      </c>
      <c r="R589" s="75">
        <v>145499.41999999998</v>
      </c>
    </row>
    <row r="590" spans="1:18" x14ac:dyDescent="0.3">
      <c r="A590">
        <v>573</v>
      </c>
      <c r="B590" s="19">
        <v>49.455199999999998</v>
      </c>
      <c r="C590" s="19">
        <v>32.667000000000002</v>
      </c>
      <c r="D590" s="19">
        <v>11.6099</v>
      </c>
      <c r="E590" s="19">
        <v>257.32670000000002</v>
      </c>
      <c r="F590" s="19">
        <v>15.9285</v>
      </c>
      <c r="G590" s="19">
        <v>369.82</v>
      </c>
      <c r="H590" s="19">
        <v>4437.6124</v>
      </c>
      <c r="I590" s="19">
        <v>8287.3403999999991</v>
      </c>
      <c r="J590" s="75">
        <v>-2496</v>
      </c>
      <c r="K590" s="75">
        <v>-3790.5</v>
      </c>
      <c r="L590" s="75">
        <v>-6224.8799999999992</v>
      </c>
      <c r="M590" s="75">
        <v>-33718.54</v>
      </c>
      <c r="N590" s="75">
        <v>13342.949999999999</v>
      </c>
      <c r="O590" s="75">
        <v>11480</v>
      </c>
      <c r="P590" s="75">
        <v>-39006.480000000003</v>
      </c>
      <c r="Q590" s="75">
        <v>-24097.439999999999</v>
      </c>
      <c r="R590" s="75">
        <v>-84510.89</v>
      </c>
    </row>
    <row r="591" spans="1:18" x14ac:dyDescent="0.3">
      <c r="A591">
        <v>574</v>
      </c>
      <c r="B591" s="19">
        <v>49.632899999999999</v>
      </c>
      <c r="C591" s="19">
        <v>32.491199999999999</v>
      </c>
      <c r="D591" s="19">
        <v>12.239699999999999</v>
      </c>
      <c r="E591" s="19">
        <v>272.21429999999998</v>
      </c>
      <c r="F591" s="19">
        <v>15.6129</v>
      </c>
      <c r="G591" s="19">
        <v>364.58420000000001</v>
      </c>
      <c r="H591" s="19">
        <v>4565.7766000000001</v>
      </c>
      <c r="I591" s="19">
        <v>7974.3676999999998</v>
      </c>
      <c r="J591" s="75">
        <v>1058</v>
      </c>
      <c r="K591" s="75">
        <v>-8800.8000000000011</v>
      </c>
      <c r="L591" s="75">
        <v>49701.36</v>
      </c>
      <c r="M591" s="75">
        <v>22854.34</v>
      </c>
      <c r="N591" s="75">
        <v>-764.37</v>
      </c>
      <c r="O591" s="75">
        <v>-6845.3</v>
      </c>
      <c r="P591" s="75">
        <v>-557.22</v>
      </c>
      <c r="Q591" s="75">
        <v>-86691.98</v>
      </c>
      <c r="R591" s="75">
        <v>-30045.970000000008</v>
      </c>
    </row>
    <row r="592" spans="1:18" x14ac:dyDescent="0.3">
      <c r="A592">
        <v>575</v>
      </c>
      <c r="B592" s="19">
        <v>49.861600000000003</v>
      </c>
      <c r="C592" s="19">
        <v>33.4741</v>
      </c>
      <c r="D592" s="19">
        <v>11.632099999999999</v>
      </c>
      <c r="E592" s="19">
        <v>268.0351</v>
      </c>
      <c r="F592" s="19">
        <v>15.4268</v>
      </c>
      <c r="G592" s="19">
        <v>361.57369999999997</v>
      </c>
      <c r="H592" s="19">
        <v>4668.7299000000003</v>
      </c>
      <c r="I592" s="19">
        <v>8543.9465999999993</v>
      </c>
      <c r="J592" s="75">
        <v>5632</v>
      </c>
      <c r="K592" s="75">
        <v>19211.850000000002</v>
      </c>
      <c r="L592" s="75">
        <v>-4253.5199999999995</v>
      </c>
      <c r="M592" s="75">
        <v>6973.38</v>
      </c>
      <c r="N592" s="75">
        <v>-9083.0399999999991</v>
      </c>
      <c r="O592" s="75">
        <v>-17382.050000000003</v>
      </c>
      <c r="P592" s="75">
        <v>30328.77</v>
      </c>
      <c r="Q592" s="75">
        <v>27223.8</v>
      </c>
      <c r="R592" s="75">
        <v>58651.19</v>
      </c>
    </row>
    <row r="593" spans="1:18" x14ac:dyDescent="0.3">
      <c r="A593">
        <v>576</v>
      </c>
      <c r="B593" s="19">
        <v>49.641100000000002</v>
      </c>
      <c r="C593" s="19">
        <v>33.032299999999999</v>
      </c>
      <c r="D593" s="19">
        <v>11.9061</v>
      </c>
      <c r="E593" s="19">
        <v>266.83409999999998</v>
      </c>
      <c r="F593" s="19">
        <v>15.821899999999999</v>
      </c>
      <c r="G593" s="19">
        <v>367.30309999999997</v>
      </c>
      <c r="H593" s="19">
        <v>4508.8991999999998</v>
      </c>
      <c r="I593" s="19">
        <v>8061.3662000000004</v>
      </c>
      <c r="J593" s="75">
        <v>1222</v>
      </c>
      <c r="K593" s="75">
        <v>6620.55</v>
      </c>
      <c r="L593" s="75">
        <v>20077.68</v>
      </c>
      <c r="M593" s="75">
        <v>2409.58</v>
      </c>
      <c r="N593" s="75">
        <v>8577.93</v>
      </c>
      <c r="O593" s="75">
        <v>2670.85</v>
      </c>
      <c r="P593" s="75">
        <v>-17620.439999999999</v>
      </c>
      <c r="Q593" s="75">
        <v>-69292.28</v>
      </c>
      <c r="R593" s="75">
        <v>-45334.130000000005</v>
      </c>
    </row>
    <row r="594" spans="1:18" x14ac:dyDescent="0.3">
      <c r="A594">
        <v>577</v>
      </c>
      <c r="B594" s="19">
        <v>49.721499999999999</v>
      </c>
      <c r="C594" s="19">
        <v>33.505800000000001</v>
      </c>
      <c r="D594" s="19">
        <v>11.436999999999999</v>
      </c>
      <c r="E594" s="19">
        <v>258.15350000000001</v>
      </c>
      <c r="F594" s="19">
        <v>15.599600000000001</v>
      </c>
      <c r="G594" s="19">
        <v>369.4504</v>
      </c>
      <c r="H594" s="19">
        <v>4440.7402000000002</v>
      </c>
      <c r="I594" s="19">
        <v>7785.3726999999999</v>
      </c>
      <c r="J594" s="75">
        <v>2829.9999999999995</v>
      </c>
      <c r="K594" s="75">
        <v>20115.3</v>
      </c>
      <c r="L594" s="75">
        <v>-21578.399999999998</v>
      </c>
      <c r="M594" s="75">
        <v>-30576.7</v>
      </c>
      <c r="N594" s="75">
        <v>-1358.88</v>
      </c>
      <c r="O594" s="75">
        <v>10186.4</v>
      </c>
      <c r="P594" s="75">
        <v>-38068.14</v>
      </c>
      <c r="Q594" s="75">
        <v>-124490.98</v>
      </c>
      <c r="R594" s="75">
        <v>-182941.4</v>
      </c>
    </row>
    <row r="595" spans="1:18" x14ac:dyDescent="0.3">
      <c r="A595">
        <v>578</v>
      </c>
      <c r="B595" s="19">
        <v>49.9268</v>
      </c>
      <c r="C595" s="19">
        <v>32.747900000000001</v>
      </c>
      <c r="D595" s="19">
        <v>11.6692</v>
      </c>
      <c r="E595" s="19">
        <v>272.53559999999999</v>
      </c>
      <c r="F595" s="19">
        <v>15.5291</v>
      </c>
      <c r="G595" s="19">
        <v>372.75080000000003</v>
      </c>
      <c r="H595" s="19">
        <v>4673.5472</v>
      </c>
      <c r="I595" s="19">
        <v>8701.1707999999999</v>
      </c>
      <c r="J595" s="75">
        <v>6936</v>
      </c>
      <c r="K595" s="75">
        <v>-1484.85</v>
      </c>
      <c r="L595" s="75">
        <v>-959.04000000000008</v>
      </c>
      <c r="M595" s="75">
        <v>24075.280000000002</v>
      </c>
      <c r="N595" s="75">
        <v>-4510.2300000000005</v>
      </c>
      <c r="O595" s="75">
        <v>21737.8</v>
      </c>
      <c r="P595" s="75">
        <v>31773.960000000003</v>
      </c>
      <c r="Q595" s="75">
        <v>58668.640000000007</v>
      </c>
      <c r="R595" s="75">
        <v>136237.56000000003</v>
      </c>
    </row>
    <row r="596" spans="1:18" x14ac:dyDescent="0.3">
      <c r="A596">
        <v>579</v>
      </c>
      <c r="B596" s="19">
        <v>49.464100000000002</v>
      </c>
      <c r="C596" s="19">
        <v>32.542999999999999</v>
      </c>
      <c r="D596" s="19">
        <v>11.8813</v>
      </c>
      <c r="E596" s="19">
        <v>267.41030000000001</v>
      </c>
      <c r="F596" s="19">
        <v>16.154399999999999</v>
      </c>
      <c r="G596" s="19">
        <v>371.97149999999999</v>
      </c>
      <c r="H596" s="19">
        <v>4569.2741999999998</v>
      </c>
      <c r="I596" s="19">
        <v>8636.4768999999997</v>
      </c>
      <c r="J596" s="75">
        <v>-2318</v>
      </c>
      <c r="K596" s="75">
        <v>-7324.5</v>
      </c>
      <c r="L596" s="75">
        <v>17875.440000000002</v>
      </c>
      <c r="M596" s="75">
        <v>4599.1399999999994</v>
      </c>
      <c r="N596" s="75">
        <v>23440.68</v>
      </c>
      <c r="O596" s="75">
        <v>19010.25</v>
      </c>
      <c r="P596" s="75">
        <v>492.06000000000006</v>
      </c>
      <c r="Q596" s="75">
        <v>45729.86</v>
      </c>
      <c r="R596" s="75">
        <v>101504.93</v>
      </c>
    </row>
    <row r="597" spans="1:18" x14ac:dyDescent="0.3">
      <c r="A597">
        <v>580</v>
      </c>
      <c r="B597" s="19">
        <v>49.910299999999999</v>
      </c>
      <c r="C597" s="19">
        <v>33.179200000000002</v>
      </c>
      <c r="D597" s="19">
        <v>11.5642</v>
      </c>
      <c r="E597" s="19">
        <v>274.74720000000002</v>
      </c>
      <c r="F597" s="19">
        <v>15.680300000000001</v>
      </c>
      <c r="G597" s="19">
        <v>375.33479999999997</v>
      </c>
      <c r="H597" s="19">
        <v>4722.8544000000002</v>
      </c>
      <c r="I597" s="19">
        <v>7711.5115999999998</v>
      </c>
      <c r="J597" s="75">
        <v>6606</v>
      </c>
      <c r="K597" s="75">
        <v>10807.199999999999</v>
      </c>
      <c r="L597" s="75">
        <v>-10283.040000000001</v>
      </c>
      <c r="M597" s="75">
        <v>32479.360000000001</v>
      </c>
      <c r="N597" s="75">
        <v>2248.41</v>
      </c>
      <c r="O597" s="75">
        <v>30781.800000000003</v>
      </c>
      <c r="P597" s="75">
        <v>46566.12</v>
      </c>
      <c r="Q597" s="75">
        <v>-139263.20000000001</v>
      </c>
      <c r="R597" s="75">
        <v>-20057.350000000006</v>
      </c>
    </row>
    <row r="598" spans="1:18" x14ac:dyDescent="0.3">
      <c r="A598">
        <v>581</v>
      </c>
      <c r="B598" s="19">
        <v>49.805199999999999</v>
      </c>
      <c r="C598" s="19">
        <v>32.034100000000002</v>
      </c>
      <c r="D598" s="19">
        <v>11.3329</v>
      </c>
      <c r="E598" s="19">
        <v>272.18819999999999</v>
      </c>
      <c r="F598" s="19">
        <v>15.125</v>
      </c>
      <c r="G598" s="19">
        <v>361.29640000000001</v>
      </c>
      <c r="H598" s="19">
        <v>4558.3631999999998</v>
      </c>
      <c r="I598" s="19">
        <v>8211.5260999999991</v>
      </c>
      <c r="J598" s="75">
        <v>4504</v>
      </c>
      <c r="K598" s="75">
        <v>-21828.15</v>
      </c>
      <c r="L598" s="75">
        <v>-30822.480000000003</v>
      </c>
      <c r="M598" s="75">
        <v>22755.16</v>
      </c>
      <c r="N598" s="75">
        <v>-22573.5</v>
      </c>
      <c r="O598" s="75">
        <v>-18352.599999999999</v>
      </c>
      <c r="P598" s="75">
        <v>-2781.24</v>
      </c>
      <c r="Q598" s="75">
        <v>-39260.300000000003</v>
      </c>
      <c r="R598" s="75">
        <v>-108359.11000000002</v>
      </c>
    </row>
    <row r="599" spans="1:18" x14ac:dyDescent="0.3">
      <c r="A599">
        <v>582</v>
      </c>
      <c r="B599" s="19">
        <v>49.770699999999998</v>
      </c>
      <c r="C599" s="19">
        <v>32.140700000000002</v>
      </c>
      <c r="D599" s="19">
        <v>11.986499999999999</v>
      </c>
      <c r="E599" s="19">
        <v>267.87</v>
      </c>
      <c r="F599" s="19">
        <v>15.9291</v>
      </c>
      <c r="G599" s="19">
        <v>365.62540000000001</v>
      </c>
      <c r="H599" s="19">
        <v>4488.1309000000001</v>
      </c>
      <c r="I599" s="19">
        <v>8755.4025000000001</v>
      </c>
      <c r="J599" s="75">
        <v>3814</v>
      </c>
      <c r="K599" s="75">
        <v>-18790.05</v>
      </c>
      <c r="L599" s="75">
        <v>27217.200000000001</v>
      </c>
      <c r="M599" s="75">
        <v>6346</v>
      </c>
      <c r="N599" s="75">
        <v>13369.769999999999</v>
      </c>
      <c r="O599" s="75">
        <v>-3201.1</v>
      </c>
      <c r="P599" s="75">
        <v>-23850.93</v>
      </c>
      <c r="Q599" s="75">
        <v>69514.98</v>
      </c>
      <c r="R599" s="75">
        <v>74419.87</v>
      </c>
    </row>
    <row r="600" spans="1:18" x14ac:dyDescent="0.3">
      <c r="A600">
        <v>583</v>
      </c>
      <c r="B600" s="19">
        <v>49.817900000000002</v>
      </c>
      <c r="C600" s="19">
        <v>33.027799999999999</v>
      </c>
      <c r="D600" s="19">
        <v>11.5463</v>
      </c>
      <c r="E600" s="19">
        <v>269.36110000000002</v>
      </c>
      <c r="F600" s="19">
        <v>15.9869</v>
      </c>
      <c r="G600" s="19">
        <v>371.79500000000002</v>
      </c>
      <c r="H600" s="19">
        <v>4707.8910999999998</v>
      </c>
      <c r="I600" s="19">
        <v>8532.1743999999999</v>
      </c>
      <c r="J600" s="75">
        <v>4758</v>
      </c>
      <c r="K600" s="75">
        <v>6492.3</v>
      </c>
      <c r="L600" s="75">
        <v>-11872.560000000001</v>
      </c>
      <c r="M600" s="75">
        <v>12012.179999999998</v>
      </c>
      <c r="N600" s="75">
        <v>15953.43</v>
      </c>
      <c r="O600" s="75">
        <v>18392.5</v>
      </c>
      <c r="P600" s="75">
        <v>42077.130000000005</v>
      </c>
      <c r="Q600" s="75">
        <v>24869.360000000001</v>
      </c>
      <c r="R600" s="75">
        <v>112682.34000000001</v>
      </c>
    </row>
    <row r="601" spans="1:18" x14ac:dyDescent="0.3">
      <c r="A601">
        <v>584</v>
      </c>
      <c r="B601" s="19">
        <v>49.181399999999996</v>
      </c>
      <c r="C601" s="19">
        <v>32.393000000000001</v>
      </c>
      <c r="D601" s="19">
        <v>11.9955</v>
      </c>
      <c r="E601" s="19">
        <v>262.8811</v>
      </c>
      <c r="F601" s="19">
        <v>15.6395</v>
      </c>
      <c r="G601" s="19">
        <v>375.14150000000001</v>
      </c>
      <c r="H601" s="19">
        <v>4710.3267999999998</v>
      </c>
      <c r="I601" s="19">
        <v>8442.8966</v>
      </c>
      <c r="J601" s="75">
        <v>-7972</v>
      </c>
      <c r="K601" s="75">
        <v>-11599.5</v>
      </c>
      <c r="L601" s="75">
        <v>28016.400000000001</v>
      </c>
      <c r="M601" s="75">
        <v>-12611.820000000002</v>
      </c>
      <c r="N601" s="75">
        <v>424.65</v>
      </c>
      <c r="O601" s="75">
        <v>30105.25</v>
      </c>
      <c r="P601" s="75">
        <v>42807.840000000004</v>
      </c>
      <c r="Q601" s="75">
        <v>7013.8</v>
      </c>
      <c r="R601" s="75">
        <v>76184.62000000001</v>
      </c>
    </row>
    <row r="602" spans="1:18" x14ac:dyDescent="0.3">
      <c r="A602">
        <v>585</v>
      </c>
      <c r="B602" s="19">
        <v>49.875999999999998</v>
      </c>
      <c r="C602" s="19">
        <v>32.602699999999999</v>
      </c>
      <c r="D602" s="19">
        <v>11.6242</v>
      </c>
      <c r="E602" s="19">
        <v>259.90780000000001</v>
      </c>
      <c r="F602" s="19">
        <v>15.4383</v>
      </c>
      <c r="G602" s="19">
        <v>367.524</v>
      </c>
      <c r="H602" s="19">
        <v>4548.6764999999996</v>
      </c>
      <c r="I602" s="19">
        <v>8500.6221999999998</v>
      </c>
      <c r="J602" s="75">
        <v>5920</v>
      </c>
      <c r="K602" s="75">
        <v>-5623.05</v>
      </c>
      <c r="L602" s="75">
        <v>-4955.04</v>
      </c>
      <c r="M602" s="75">
        <v>-23910.36</v>
      </c>
      <c r="N602" s="75">
        <v>-8568.99</v>
      </c>
      <c r="O602" s="75">
        <v>3444</v>
      </c>
      <c r="P602" s="75">
        <v>-5687.25</v>
      </c>
      <c r="Q602" s="75">
        <v>18558.920000000002</v>
      </c>
      <c r="R602" s="75">
        <v>-20821.77</v>
      </c>
    </row>
    <row r="603" spans="1:18" x14ac:dyDescent="0.3">
      <c r="A603">
        <v>586</v>
      </c>
      <c r="B603" s="19">
        <v>48.920999999999999</v>
      </c>
      <c r="C603" s="19">
        <v>33.128599999999999</v>
      </c>
      <c r="D603" s="19">
        <v>11.8322</v>
      </c>
      <c r="E603" s="19">
        <v>268.18380000000002</v>
      </c>
      <c r="F603" s="19">
        <v>15.597899999999999</v>
      </c>
      <c r="G603" s="19">
        <v>368.18209999999999</v>
      </c>
      <c r="H603" s="19">
        <v>4644.7154</v>
      </c>
      <c r="I603" s="19">
        <v>9222.3379999999997</v>
      </c>
      <c r="J603" s="75">
        <v>-13180</v>
      </c>
      <c r="K603" s="75">
        <v>9365.1</v>
      </c>
      <c r="L603" s="75">
        <v>13515.36</v>
      </c>
      <c r="M603" s="75">
        <v>7538.44</v>
      </c>
      <c r="N603" s="75">
        <v>-1434.87</v>
      </c>
      <c r="O603" s="75">
        <v>5747.3499999999995</v>
      </c>
      <c r="P603" s="75">
        <v>23124.420000000002</v>
      </c>
      <c r="Q603" s="75">
        <v>162902.07999999999</v>
      </c>
      <c r="R603" s="75">
        <v>207577.88</v>
      </c>
    </row>
    <row r="604" spans="1:18" x14ac:dyDescent="0.3">
      <c r="A604">
        <v>587</v>
      </c>
      <c r="B604" s="19">
        <v>49.2624</v>
      </c>
      <c r="C604" s="19">
        <v>32.388399999999997</v>
      </c>
      <c r="D604" s="19">
        <v>11.635899999999999</v>
      </c>
      <c r="E604" s="19">
        <v>269.38459999999998</v>
      </c>
      <c r="F604" s="19">
        <v>15.91</v>
      </c>
      <c r="G604" s="19">
        <v>373.45690000000002</v>
      </c>
      <c r="H604" s="19">
        <v>4616.2194</v>
      </c>
      <c r="I604" s="19">
        <v>8022.6203999999998</v>
      </c>
      <c r="J604" s="75">
        <v>-6352</v>
      </c>
      <c r="K604" s="75">
        <v>-11730.6</v>
      </c>
      <c r="L604" s="75">
        <v>-3916.08</v>
      </c>
      <c r="M604" s="75">
        <v>12101.48</v>
      </c>
      <c r="N604" s="75">
        <v>12516.000000000002</v>
      </c>
      <c r="O604" s="75">
        <v>24209.15</v>
      </c>
      <c r="P604" s="75">
        <v>14575.62</v>
      </c>
      <c r="Q604" s="75">
        <v>-77041.440000000002</v>
      </c>
      <c r="R604" s="75">
        <v>-35637.869999999995</v>
      </c>
    </row>
    <row r="605" spans="1:18" x14ac:dyDescent="0.3">
      <c r="A605">
        <v>588</v>
      </c>
      <c r="B605" s="19">
        <v>50.260899999999999</v>
      </c>
      <c r="C605" s="19">
        <v>32.565199999999997</v>
      </c>
      <c r="D605" s="19">
        <v>11.8346</v>
      </c>
      <c r="E605" s="19">
        <v>265.30700000000002</v>
      </c>
      <c r="F605" s="19">
        <v>15.965400000000001</v>
      </c>
      <c r="G605" s="19">
        <v>363.02820000000003</v>
      </c>
      <c r="H605" s="19">
        <v>4690.0038000000004</v>
      </c>
      <c r="I605" s="19">
        <v>8966.4132000000009</v>
      </c>
      <c r="J605" s="75">
        <v>13617.999999999998</v>
      </c>
      <c r="K605" s="75">
        <v>-6691.8</v>
      </c>
      <c r="L605" s="75">
        <v>13728.48</v>
      </c>
      <c r="M605" s="75">
        <v>-3393.4</v>
      </c>
      <c r="N605" s="75">
        <v>14992.38</v>
      </c>
      <c r="O605" s="75">
        <v>-12291.3</v>
      </c>
      <c r="P605" s="75">
        <v>36710.94</v>
      </c>
      <c r="Q605" s="75">
        <v>111717.12</v>
      </c>
      <c r="R605" s="75">
        <v>168390.41999999998</v>
      </c>
    </row>
    <row r="606" spans="1:18" x14ac:dyDescent="0.3">
      <c r="A606">
        <v>589</v>
      </c>
      <c r="B606" s="19">
        <v>49.946300000000001</v>
      </c>
      <c r="C606" s="19">
        <v>32.483499999999999</v>
      </c>
      <c r="D606" s="19">
        <v>11.593500000000001</v>
      </c>
      <c r="E606" s="19">
        <v>273.1558</v>
      </c>
      <c r="F606" s="19">
        <v>15.7516</v>
      </c>
      <c r="G606" s="19">
        <v>353.46620000000001</v>
      </c>
      <c r="H606" s="19">
        <v>4509.3707999999997</v>
      </c>
      <c r="I606" s="19">
        <v>8449.5211999999992</v>
      </c>
      <c r="J606" s="75">
        <v>7326</v>
      </c>
      <c r="K606" s="75">
        <v>-9020.25</v>
      </c>
      <c r="L606" s="75">
        <v>-7681.2</v>
      </c>
      <c r="M606" s="75">
        <v>26432.04</v>
      </c>
      <c r="N606" s="75">
        <v>5435.52</v>
      </c>
      <c r="O606" s="75">
        <v>-45758.3</v>
      </c>
      <c r="P606" s="75">
        <v>-17478.96</v>
      </c>
      <c r="Q606" s="75">
        <v>8338.7200000000012</v>
      </c>
      <c r="R606" s="75">
        <v>-32406.43</v>
      </c>
    </row>
    <row r="607" spans="1:18" x14ac:dyDescent="0.3">
      <c r="A607">
        <v>590</v>
      </c>
      <c r="B607" s="19">
        <v>49.222299999999997</v>
      </c>
      <c r="C607" s="19">
        <v>32.750799999999998</v>
      </c>
      <c r="D607" s="19">
        <v>11.844799999999999</v>
      </c>
      <c r="E607" s="19">
        <v>264.23599999999999</v>
      </c>
      <c r="F607" s="19">
        <v>15.671799999999999</v>
      </c>
      <c r="G607" s="19">
        <v>371.10129999999998</v>
      </c>
      <c r="H607" s="19">
        <v>4531.9495999999999</v>
      </c>
      <c r="I607" s="19">
        <v>8795.7782000000007</v>
      </c>
      <c r="J607" s="75">
        <v>-7154</v>
      </c>
      <c r="K607" s="75">
        <v>-1402.2</v>
      </c>
      <c r="L607" s="75">
        <v>14634.24</v>
      </c>
      <c r="M607" s="75">
        <v>-7463.2</v>
      </c>
      <c r="N607" s="75">
        <v>1868.4599999999998</v>
      </c>
      <c r="O607" s="75">
        <v>15964.550000000001</v>
      </c>
      <c r="P607" s="75">
        <v>-10705.32</v>
      </c>
      <c r="Q607" s="75">
        <v>77590.12</v>
      </c>
      <c r="R607" s="75">
        <v>83332.649999999994</v>
      </c>
    </row>
    <row r="608" spans="1:18" x14ac:dyDescent="0.3">
      <c r="A608">
        <v>591</v>
      </c>
      <c r="B608" s="19">
        <v>49.168599999999998</v>
      </c>
      <c r="C608" s="19">
        <v>33.650300000000001</v>
      </c>
      <c r="D608" s="19">
        <v>11.2425</v>
      </c>
      <c r="E608" s="19">
        <v>275.39229999999998</v>
      </c>
      <c r="F608" s="19">
        <v>15.589600000000001</v>
      </c>
      <c r="G608" s="19">
        <v>371.47629999999998</v>
      </c>
      <c r="H608" s="19">
        <v>4551.0734000000002</v>
      </c>
      <c r="I608" s="19">
        <v>8728.0854999999992</v>
      </c>
      <c r="J608" s="75">
        <v>-8228</v>
      </c>
      <c r="K608" s="75">
        <v>24233.55</v>
      </c>
      <c r="L608" s="75">
        <v>-38850</v>
      </c>
      <c r="M608" s="75">
        <v>34930.74</v>
      </c>
      <c r="N608" s="75">
        <v>-1805.8799999999999</v>
      </c>
      <c r="O608" s="75">
        <v>17277.05</v>
      </c>
      <c r="P608" s="75">
        <v>-4968.18</v>
      </c>
      <c r="Q608" s="75">
        <v>64051.58</v>
      </c>
      <c r="R608" s="75">
        <v>86640.86</v>
      </c>
    </row>
    <row r="609" spans="1:18" x14ac:dyDescent="0.3">
      <c r="A609">
        <v>592</v>
      </c>
      <c r="B609" s="19">
        <v>49.247100000000003</v>
      </c>
      <c r="C609" s="19">
        <v>32.976500000000001</v>
      </c>
      <c r="D609" s="19">
        <v>11.516</v>
      </c>
      <c r="E609" s="19">
        <v>253.82320000000001</v>
      </c>
      <c r="F609" s="19">
        <v>15.736000000000001</v>
      </c>
      <c r="G609" s="19">
        <v>366.94560000000001</v>
      </c>
      <c r="H609" s="19">
        <v>4586.4474</v>
      </c>
      <c r="I609" s="19">
        <v>8598.9258000000009</v>
      </c>
      <c r="J609" s="75">
        <v>-6657.9999999999991</v>
      </c>
      <c r="K609" s="75">
        <v>5030.25</v>
      </c>
      <c r="L609" s="75">
        <v>-14563.2</v>
      </c>
      <c r="M609" s="75">
        <v>-47031.839999999997</v>
      </c>
      <c r="N609" s="75">
        <v>4738.2</v>
      </c>
      <c r="O609" s="75">
        <v>1419.6000000000001</v>
      </c>
      <c r="P609" s="75">
        <v>5644.02</v>
      </c>
      <c r="Q609" s="75">
        <v>38219.64</v>
      </c>
      <c r="R609" s="75">
        <v>-13201.330000000002</v>
      </c>
    </row>
    <row r="610" spans="1:18" x14ac:dyDescent="0.3">
      <c r="A610">
        <v>593</v>
      </c>
      <c r="B610" s="19">
        <v>50.172499999999999</v>
      </c>
      <c r="C610" s="19">
        <v>33.236400000000003</v>
      </c>
      <c r="D610" s="19">
        <v>11.4991</v>
      </c>
      <c r="E610" s="19">
        <v>263.52170000000001</v>
      </c>
      <c r="F610" s="19">
        <v>15.361599999999999</v>
      </c>
      <c r="G610" s="19">
        <v>368.92739999999998</v>
      </c>
      <c r="H610" s="19">
        <v>4570.3010000000004</v>
      </c>
      <c r="I610" s="19">
        <v>8419.5645999999997</v>
      </c>
      <c r="J610" s="75">
        <v>11850</v>
      </c>
      <c r="K610" s="75">
        <v>12437.4</v>
      </c>
      <c r="L610" s="75">
        <v>-16063.92</v>
      </c>
      <c r="M610" s="75">
        <v>-10177.540000000001</v>
      </c>
      <c r="N610" s="75">
        <v>-11997.480000000001</v>
      </c>
      <c r="O610" s="75">
        <v>8355.9</v>
      </c>
      <c r="P610" s="75">
        <v>800.09999999999991</v>
      </c>
      <c r="Q610" s="75">
        <v>2347.4</v>
      </c>
      <c r="R610" s="75">
        <v>-2448.1400000000008</v>
      </c>
    </row>
    <row r="611" spans="1:18" x14ac:dyDescent="0.3">
      <c r="A611">
        <v>594</v>
      </c>
      <c r="B611" s="19">
        <v>49.274999999999999</v>
      </c>
      <c r="C611" s="19">
        <v>32.732199999999999</v>
      </c>
      <c r="D611" s="19">
        <v>11.590400000000001</v>
      </c>
      <c r="E611" s="19">
        <v>269.52690000000001</v>
      </c>
      <c r="F611" s="19">
        <v>15.348699999999999</v>
      </c>
      <c r="G611" s="19">
        <v>362.2063</v>
      </c>
      <c r="H611" s="19">
        <v>4545.9390999999996</v>
      </c>
      <c r="I611" s="19">
        <v>8487.2260000000006</v>
      </c>
      <c r="J611" s="75">
        <v>-6100</v>
      </c>
      <c r="K611" s="75">
        <v>-1932.3</v>
      </c>
      <c r="L611" s="75">
        <v>-7956.48</v>
      </c>
      <c r="M611" s="75">
        <v>12642.220000000001</v>
      </c>
      <c r="N611" s="75">
        <v>-12574.11</v>
      </c>
      <c r="O611" s="75">
        <v>-15167.95</v>
      </c>
      <c r="P611" s="75">
        <v>-6508.47</v>
      </c>
      <c r="Q611" s="75">
        <v>15879.679999999998</v>
      </c>
      <c r="R611" s="75">
        <v>-21717.409999999996</v>
      </c>
    </row>
    <row r="612" spans="1:18" x14ac:dyDescent="0.3">
      <c r="A612">
        <v>595</v>
      </c>
      <c r="B612" s="19">
        <v>49.2729</v>
      </c>
      <c r="C612" s="19">
        <v>32.554000000000002</v>
      </c>
      <c r="D612" s="19">
        <v>12.0669</v>
      </c>
      <c r="E612" s="19">
        <v>265.31319999999999</v>
      </c>
      <c r="F612" s="19">
        <v>15.9876</v>
      </c>
      <c r="G612" s="19">
        <v>370.1395</v>
      </c>
      <c r="H612" s="19">
        <v>4694.625</v>
      </c>
      <c r="I612" s="19">
        <v>9179.4159</v>
      </c>
      <c r="J612" s="75">
        <v>-6142</v>
      </c>
      <c r="K612" s="75">
        <v>-7011</v>
      </c>
      <c r="L612" s="75">
        <v>34356.720000000001</v>
      </c>
      <c r="M612" s="75">
        <v>-3369.84</v>
      </c>
      <c r="N612" s="75">
        <v>15984.72</v>
      </c>
      <c r="O612" s="75">
        <v>12598.25</v>
      </c>
      <c r="P612" s="75">
        <v>38097.300000000003</v>
      </c>
      <c r="Q612" s="75">
        <v>154317.66</v>
      </c>
      <c r="R612" s="75">
        <v>238831.81</v>
      </c>
    </row>
    <row r="613" spans="1:18" x14ac:dyDescent="0.3">
      <c r="A613">
        <v>596</v>
      </c>
      <c r="B613" s="19">
        <v>49.796999999999997</v>
      </c>
      <c r="C613" s="19">
        <v>33.309699999999999</v>
      </c>
      <c r="D613" s="19">
        <v>11.757</v>
      </c>
      <c r="E613" s="19">
        <v>267.3236</v>
      </c>
      <c r="F613" s="19">
        <v>15.8795</v>
      </c>
      <c r="G613" s="19">
        <v>375.34039999999999</v>
      </c>
      <c r="H613" s="19">
        <v>4702.8954000000003</v>
      </c>
      <c r="I613" s="19">
        <v>8163.9636</v>
      </c>
      <c r="J613" s="75">
        <v>4340</v>
      </c>
      <c r="K613" s="75">
        <v>14526.45</v>
      </c>
      <c r="L613" s="75">
        <v>6837.6</v>
      </c>
      <c r="M613" s="75">
        <v>4269.6799999999994</v>
      </c>
      <c r="N613" s="75">
        <v>11152.65</v>
      </c>
      <c r="O613" s="75">
        <v>30801.399999999998</v>
      </c>
      <c r="P613" s="75">
        <v>40578.420000000006</v>
      </c>
      <c r="Q613" s="75">
        <v>-48772.800000000003</v>
      </c>
      <c r="R613" s="75">
        <v>63733.400000000009</v>
      </c>
    </row>
    <row r="614" spans="1:18" x14ac:dyDescent="0.3">
      <c r="A614">
        <v>597</v>
      </c>
      <c r="B614" s="19">
        <v>49.736600000000003</v>
      </c>
      <c r="C614" s="19">
        <v>32.884599999999999</v>
      </c>
      <c r="D614" s="19">
        <v>11.948499999999999</v>
      </c>
      <c r="E614" s="19">
        <v>265.05790000000002</v>
      </c>
      <c r="F614" s="19">
        <v>15.2752</v>
      </c>
      <c r="G614" s="19">
        <v>355.47669999999999</v>
      </c>
      <c r="H614" s="19">
        <v>4549.9258</v>
      </c>
      <c r="I614" s="19">
        <v>8501.3796999999995</v>
      </c>
      <c r="J614" s="75">
        <v>3132</v>
      </c>
      <c r="K614" s="75">
        <v>2411.1</v>
      </c>
      <c r="L614" s="75">
        <v>23842.800000000003</v>
      </c>
      <c r="M614" s="75">
        <v>-4339.9799999999996</v>
      </c>
      <c r="N614" s="75">
        <v>-15859.56</v>
      </c>
      <c r="O614" s="75">
        <v>-38721.550000000003</v>
      </c>
      <c r="P614" s="75">
        <v>-5312.46</v>
      </c>
      <c r="Q614" s="75">
        <v>18710.419999999998</v>
      </c>
      <c r="R614" s="75">
        <v>-16137.230000000003</v>
      </c>
    </row>
    <row r="615" spans="1:18" x14ac:dyDescent="0.3">
      <c r="A615">
        <v>598</v>
      </c>
      <c r="B615" s="19">
        <v>49.874899999999997</v>
      </c>
      <c r="C615" s="19">
        <v>32.556399999999996</v>
      </c>
      <c r="D615" s="19">
        <v>11.491</v>
      </c>
      <c r="E615" s="19">
        <v>258.06630000000001</v>
      </c>
      <c r="F615" s="19">
        <v>15.4328</v>
      </c>
      <c r="G615" s="19">
        <v>363.72239999999999</v>
      </c>
      <c r="H615" s="19">
        <v>4599.8642</v>
      </c>
      <c r="I615" s="19">
        <v>8086.7874000000002</v>
      </c>
      <c r="J615" s="75">
        <v>5898</v>
      </c>
      <c r="K615" s="75">
        <v>-6942.6</v>
      </c>
      <c r="L615" s="75">
        <v>-16783.2</v>
      </c>
      <c r="M615" s="75">
        <v>-30908.059999999998</v>
      </c>
      <c r="N615" s="75">
        <v>-8814.84</v>
      </c>
      <c r="O615" s="75">
        <v>-9861.6</v>
      </c>
      <c r="P615" s="75">
        <v>9669.0600000000013</v>
      </c>
      <c r="Q615" s="75">
        <v>-64208.040000000008</v>
      </c>
      <c r="R615" s="75">
        <v>-121951.28000000001</v>
      </c>
    </row>
    <row r="616" spans="1:18" x14ac:dyDescent="0.3">
      <c r="A616">
        <v>599</v>
      </c>
      <c r="B616" s="19">
        <v>49.8553</v>
      </c>
      <c r="C616" s="19">
        <v>32.833300000000001</v>
      </c>
      <c r="D616" s="19">
        <v>11.473000000000001</v>
      </c>
      <c r="E616" s="19">
        <v>284.31900000000002</v>
      </c>
      <c r="F616" s="19">
        <v>15.4465</v>
      </c>
      <c r="G616" s="19">
        <v>372.10829999999999</v>
      </c>
      <c r="H616" s="19">
        <v>4578.2551999999996</v>
      </c>
      <c r="I616" s="19">
        <v>8645.7960999999996</v>
      </c>
      <c r="J616" s="75">
        <v>5506</v>
      </c>
      <c r="K616" s="75">
        <v>949.05000000000007</v>
      </c>
      <c r="L616" s="75">
        <v>-18381.599999999999</v>
      </c>
      <c r="M616" s="75">
        <v>68852.2</v>
      </c>
      <c r="N616" s="75">
        <v>-8202.4500000000007</v>
      </c>
      <c r="O616" s="75">
        <v>19489.05</v>
      </c>
      <c r="P616" s="75">
        <v>3186.36</v>
      </c>
      <c r="Q616" s="75">
        <v>47593.700000000004</v>
      </c>
      <c r="R616" s="75">
        <v>118992.31</v>
      </c>
    </row>
    <row r="617" spans="1:18" x14ac:dyDescent="0.3">
      <c r="A617">
        <v>600</v>
      </c>
      <c r="B617" s="19">
        <v>49.339700000000001</v>
      </c>
      <c r="C617" s="19">
        <v>31.825800000000001</v>
      </c>
      <c r="D617" s="19">
        <v>11.81</v>
      </c>
      <c r="E617" s="19">
        <v>282.54270000000002</v>
      </c>
      <c r="F617" s="19">
        <v>15.529400000000001</v>
      </c>
      <c r="G617" s="19">
        <v>373.23669999999998</v>
      </c>
      <c r="H617" s="19">
        <v>4560.7780000000002</v>
      </c>
      <c r="I617" s="19">
        <v>8407.0804000000007</v>
      </c>
      <c r="J617" s="75">
        <v>-4806</v>
      </c>
      <c r="K617" s="75">
        <v>-27764.699999999997</v>
      </c>
      <c r="L617" s="75">
        <v>11544</v>
      </c>
      <c r="M617" s="75">
        <v>62102.26</v>
      </c>
      <c r="N617" s="75">
        <v>-4496.82</v>
      </c>
      <c r="O617" s="75">
        <v>23438.45</v>
      </c>
      <c r="P617" s="75">
        <v>-2056.8000000000002</v>
      </c>
      <c r="Q617" s="75">
        <v>-149.44</v>
      </c>
      <c r="R617" s="75">
        <v>57810.95</v>
      </c>
    </row>
    <row r="618" spans="1:18" x14ac:dyDescent="0.3">
      <c r="A618">
        <v>601</v>
      </c>
      <c r="B618" s="19">
        <v>49.954000000000001</v>
      </c>
      <c r="C618" s="19">
        <v>33.333300000000001</v>
      </c>
      <c r="D618" s="19">
        <v>11.6562</v>
      </c>
      <c r="E618" s="19">
        <v>262.11829999999998</v>
      </c>
      <c r="F618" s="19">
        <v>15.4498</v>
      </c>
      <c r="G618" s="19">
        <v>371.72140000000002</v>
      </c>
      <c r="H618" s="19">
        <v>4586.5342000000001</v>
      </c>
      <c r="I618" s="19">
        <v>8752.5843999999997</v>
      </c>
      <c r="J618" s="75">
        <v>7480</v>
      </c>
      <c r="K618" s="75">
        <v>15199.05</v>
      </c>
      <c r="L618" s="75">
        <v>-2113.44</v>
      </c>
      <c r="M618" s="75">
        <v>-15510.46</v>
      </c>
      <c r="N618" s="75">
        <v>-8054.94</v>
      </c>
      <c r="O618" s="75">
        <v>18134.900000000001</v>
      </c>
      <c r="P618" s="75">
        <v>5670.06</v>
      </c>
      <c r="Q618" s="75">
        <v>68951.360000000001</v>
      </c>
      <c r="R618" s="75">
        <v>89756.53</v>
      </c>
    </row>
    <row r="619" spans="1:18" x14ac:dyDescent="0.3">
      <c r="A619">
        <v>602</v>
      </c>
      <c r="B619" s="19">
        <v>49.802399999999999</v>
      </c>
      <c r="C619" s="19">
        <v>32.702599999999997</v>
      </c>
      <c r="D619" s="19">
        <v>11.4785</v>
      </c>
      <c r="E619" s="19">
        <v>263.13240000000002</v>
      </c>
      <c r="F619" s="19">
        <v>15.888400000000001</v>
      </c>
      <c r="G619" s="19">
        <v>369.90170000000001</v>
      </c>
      <c r="H619" s="19">
        <v>4576.0379000000003</v>
      </c>
      <c r="I619" s="19">
        <v>8995.8801000000003</v>
      </c>
      <c r="J619" s="75">
        <v>4448</v>
      </c>
      <c r="K619" s="75">
        <v>-2775.9</v>
      </c>
      <c r="L619" s="75">
        <v>-17893.2</v>
      </c>
      <c r="M619" s="75">
        <v>-11656.880000000001</v>
      </c>
      <c r="N619" s="75">
        <v>11550.480000000001</v>
      </c>
      <c r="O619" s="75">
        <v>11765.949999999999</v>
      </c>
      <c r="P619" s="75">
        <v>2521.17</v>
      </c>
      <c r="Q619" s="75">
        <v>117610.5</v>
      </c>
      <c r="R619" s="75">
        <v>115570.12</v>
      </c>
    </row>
    <row r="620" spans="1:18" x14ac:dyDescent="0.3">
      <c r="A620">
        <v>603</v>
      </c>
      <c r="B620" s="19">
        <v>50.093800000000002</v>
      </c>
      <c r="C620" s="19">
        <v>32.850299999999997</v>
      </c>
      <c r="D620" s="19">
        <v>11.5024</v>
      </c>
      <c r="E620" s="19">
        <v>261.75909999999999</v>
      </c>
      <c r="F620" s="19">
        <v>15.5755</v>
      </c>
      <c r="G620" s="19">
        <v>356.11239999999998</v>
      </c>
      <c r="H620" s="19">
        <v>4668.6370999999999</v>
      </c>
      <c r="I620" s="19">
        <v>8291.7857999999997</v>
      </c>
      <c r="J620" s="75">
        <v>10276</v>
      </c>
      <c r="K620" s="75">
        <v>1433.55</v>
      </c>
      <c r="L620" s="75">
        <v>-15770.880000000001</v>
      </c>
      <c r="M620" s="75">
        <v>-16875.420000000002</v>
      </c>
      <c r="N620" s="75">
        <v>-2436.15</v>
      </c>
      <c r="O620" s="75">
        <v>-36496.6</v>
      </c>
      <c r="P620" s="75">
        <v>30300.93</v>
      </c>
      <c r="Q620" s="75">
        <v>-23208.36</v>
      </c>
      <c r="R620" s="75">
        <v>-52776.93</v>
      </c>
    </row>
    <row r="621" spans="1:18" x14ac:dyDescent="0.3">
      <c r="A621">
        <v>604</v>
      </c>
      <c r="B621" s="19">
        <v>49.226799999999997</v>
      </c>
      <c r="C621" s="19">
        <v>32.289099999999998</v>
      </c>
      <c r="D621" s="19">
        <v>11.9588</v>
      </c>
      <c r="E621" s="19">
        <v>270.4117</v>
      </c>
      <c r="F621" s="19">
        <v>15.214700000000001</v>
      </c>
      <c r="G621" s="19">
        <v>361.66950000000003</v>
      </c>
      <c r="H621" s="19">
        <v>4579.5914000000002</v>
      </c>
      <c r="I621" s="19">
        <v>7924.2263000000003</v>
      </c>
      <c r="J621" s="75">
        <v>-7064</v>
      </c>
      <c r="K621" s="75">
        <v>-14560.650000000001</v>
      </c>
      <c r="L621" s="75">
        <v>24757.439999999999</v>
      </c>
      <c r="M621" s="75">
        <v>16004.460000000001</v>
      </c>
      <c r="N621" s="75">
        <v>-18563.91</v>
      </c>
      <c r="O621" s="75">
        <v>-17046.75</v>
      </c>
      <c r="P621" s="75">
        <v>3587.22</v>
      </c>
      <c r="Q621" s="75">
        <v>-96720.26</v>
      </c>
      <c r="R621" s="75">
        <v>-109606.45</v>
      </c>
    </row>
    <row r="622" spans="1:18" x14ac:dyDescent="0.3">
      <c r="A622">
        <v>605</v>
      </c>
      <c r="B622" s="19">
        <v>49.395899999999997</v>
      </c>
      <c r="C622" s="19">
        <v>32.340499999999999</v>
      </c>
      <c r="D622" s="19">
        <v>11.5989</v>
      </c>
      <c r="E622" s="19">
        <v>266.96699999999998</v>
      </c>
      <c r="F622" s="19">
        <v>15.752000000000001</v>
      </c>
      <c r="G622" s="19">
        <v>370.6225</v>
      </c>
      <c r="H622" s="19">
        <v>4724.8903</v>
      </c>
      <c r="I622" s="19">
        <v>8518.24</v>
      </c>
      <c r="J622" s="75">
        <v>-3682.0000000000005</v>
      </c>
      <c r="K622" s="75">
        <v>-13095.75</v>
      </c>
      <c r="L622" s="75">
        <v>-7201.68</v>
      </c>
      <c r="M622" s="75">
        <v>2914.6</v>
      </c>
      <c r="N622" s="75">
        <v>5453.4</v>
      </c>
      <c r="O622" s="75">
        <v>14288.749999999998</v>
      </c>
      <c r="P622" s="75">
        <v>47176.89</v>
      </c>
      <c r="Q622" s="75">
        <v>22082.48</v>
      </c>
      <c r="R622" s="75">
        <v>67936.689999999988</v>
      </c>
    </row>
    <row r="623" spans="1:18" x14ac:dyDescent="0.3">
      <c r="A623">
        <v>606</v>
      </c>
      <c r="B623" s="19">
        <v>49.611600000000003</v>
      </c>
      <c r="C623" s="19">
        <v>32.894599999999997</v>
      </c>
      <c r="D623" s="19">
        <v>11.6717</v>
      </c>
      <c r="E623" s="19">
        <v>275.03579999999999</v>
      </c>
      <c r="F623" s="19">
        <v>15.3301</v>
      </c>
      <c r="G623" s="19">
        <v>359.01229999999998</v>
      </c>
      <c r="H623" s="19">
        <v>4553.1878999999999</v>
      </c>
      <c r="I623" s="19">
        <v>8918.1322999999993</v>
      </c>
      <c r="J623" s="75">
        <v>632.00000000000011</v>
      </c>
      <c r="K623" s="75">
        <v>2696.1</v>
      </c>
      <c r="L623" s="75">
        <v>-737.04</v>
      </c>
      <c r="M623" s="75">
        <v>33576.04</v>
      </c>
      <c r="N623" s="75">
        <v>-13405.53</v>
      </c>
      <c r="O623" s="75">
        <v>-26346.95</v>
      </c>
      <c r="P623" s="75">
        <v>-4333.83</v>
      </c>
      <c r="Q623" s="75">
        <v>102060.94</v>
      </c>
      <c r="R623" s="75">
        <v>94141.73</v>
      </c>
    </row>
    <row r="624" spans="1:18" x14ac:dyDescent="0.3">
      <c r="A624">
        <v>607</v>
      </c>
      <c r="B624" s="19">
        <v>49.395400000000002</v>
      </c>
      <c r="C624" s="19">
        <v>32.045900000000003</v>
      </c>
      <c r="D624" s="19">
        <v>11.724</v>
      </c>
      <c r="E624" s="19">
        <v>266.84559999999999</v>
      </c>
      <c r="F624" s="19">
        <v>15.164999999999999</v>
      </c>
      <c r="G624" s="19">
        <v>363.51609999999999</v>
      </c>
      <c r="H624" s="19">
        <v>4713.4637000000002</v>
      </c>
      <c r="I624" s="19">
        <v>8648.5967000000001</v>
      </c>
      <c r="J624" s="75">
        <v>-3691.9999999999995</v>
      </c>
      <c r="K624" s="75">
        <v>-21491.85</v>
      </c>
      <c r="L624" s="75">
        <v>3907.2</v>
      </c>
      <c r="M624" s="75">
        <v>2453.2799999999997</v>
      </c>
      <c r="N624" s="75">
        <v>-20785.5</v>
      </c>
      <c r="O624" s="75">
        <v>-10583.65</v>
      </c>
      <c r="P624" s="75">
        <v>43748.91</v>
      </c>
      <c r="Q624" s="75">
        <v>48153.82</v>
      </c>
      <c r="R624" s="75">
        <v>41710.210000000006</v>
      </c>
    </row>
    <row r="625" spans="1:18" x14ac:dyDescent="0.3">
      <c r="A625">
        <v>608</v>
      </c>
      <c r="B625" s="19">
        <v>49.1999</v>
      </c>
      <c r="C625" s="19">
        <v>33.9345</v>
      </c>
      <c r="D625" s="19">
        <v>11.614000000000001</v>
      </c>
      <c r="E625" s="19">
        <v>250.54320000000001</v>
      </c>
      <c r="F625" s="19">
        <v>16.079499999999999</v>
      </c>
      <c r="G625" s="19">
        <v>361.62689999999998</v>
      </c>
      <c r="H625" s="19">
        <v>4513.7606999999998</v>
      </c>
      <c r="I625" s="19">
        <v>8383.6211999999996</v>
      </c>
      <c r="J625" s="75">
        <v>-7602</v>
      </c>
      <c r="K625" s="75">
        <v>32333.250000000004</v>
      </c>
      <c r="L625" s="75">
        <v>-5860.8</v>
      </c>
      <c r="M625" s="75">
        <v>-59495.840000000004</v>
      </c>
      <c r="N625" s="75">
        <v>20092.650000000001</v>
      </c>
      <c r="O625" s="75">
        <v>-17195.849999999999</v>
      </c>
      <c r="P625" s="75">
        <v>-16161.99</v>
      </c>
      <c r="Q625" s="75">
        <v>-4841.28</v>
      </c>
      <c r="R625" s="75">
        <v>-58731.859999999993</v>
      </c>
    </row>
    <row r="626" spans="1:18" x14ac:dyDescent="0.3">
      <c r="A626">
        <v>609</v>
      </c>
      <c r="B626" s="19">
        <v>49.639499999999998</v>
      </c>
      <c r="C626" s="19">
        <v>33.517800000000001</v>
      </c>
      <c r="D626" s="19">
        <v>11.616199999999999</v>
      </c>
      <c r="E626" s="19">
        <v>269.09789999999998</v>
      </c>
      <c r="F626" s="19">
        <v>16.017399999999999</v>
      </c>
      <c r="G626" s="19">
        <v>371.10379999999998</v>
      </c>
      <c r="H626" s="19">
        <v>4500.165</v>
      </c>
      <c r="I626" s="19">
        <v>8365.2690999999995</v>
      </c>
      <c r="J626" s="75">
        <v>1190</v>
      </c>
      <c r="K626" s="75">
        <v>20457.3</v>
      </c>
      <c r="L626" s="75">
        <v>-5665.44</v>
      </c>
      <c r="M626" s="75">
        <v>11012.02</v>
      </c>
      <c r="N626" s="75">
        <v>17316.780000000002</v>
      </c>
      <c r="O626" s="75">
        <v>15973.3</v>
      </c>
      <c r="P626" s="75">
        <v>-20240.699999999997</v>
      </c>
      <c r="Q626" s="75">
        <v>-8511.7000000000007</v>
      </c>
      <c r="R626" s="75">
        <v>31531.560000000009</v>
      </c>
    </row>
    <row r="627" spans="1:18" x14ac:dyDescent="0.3">
      <c r="A627">
        <v>610</v>
      </c>
      <c r="B627" s="19">
        <v>49.696300000000001</v>
      </c>
      <c r="C627" s="19">
        <v>33.364199999999997</v>
      </c>
      <c r="D627" s="19">
        <v>12.1676</v>
      </c>
      <c r="E627" s="19">
        <v>264.56139999999999</v>
      </c>
      <c r="F627" s="19">
        <v>15.826599999999999</v>
      </c>
      <c r="G627" s="19">
        <v>362.05860000000001</v>
      </c>
      <c r="H627" s="19">
        <v>4755.7988999999998</v>
      </c>
      <c r="I627" s="19">
        <v>8921.9761999999992</v>
      </c>
      <c r="J627" s="75">
        <v>2326</v>
      </c>
      <c r="K627" s="75">
        <v>16079.7</v>
      </c>
      <c r="L627" s="75">
        <v>43298.879999999997</v>
      </c>
      <c r="M627" s="75">
        <v>-6226.68</v>
      </c>
      <c r="N627" s="75">
        <v>8788.02</v>
      </c>
      <c r="O627" s="75">
        <v>-15684.9</v>
      </c>
      <c r="P627" s="75">
        <v>56449.469999999994</v>
      </c>
      <c r="Q627" s="75">
        <v>102829.72</v>
      </c>
      <c r="R627" s="75">
        <v>207860.21</v>
      </c>
    </row>
    <row r="628" spans="1:18" x14ac:dyDescent="0.3">
      <c r="A628">
        <v>611</v>
      </c>
      <c r="B628" s="19">
        <v>49.0899</v>
      </c>
      <c r="C628" s="19">
        <v>33.278599999999997</v>
      </c>
      <c r="D628" s="19">
        <v>11.7623</v>
      </c>
      <c r="E628" s="19">
        <v>266.2396</v>
      </c>
      <c r="F628" s="19">
        <v>15.3584</v>
      </c>
      <c r="G628" s="19">
        <v>368.92419999999998</v>
      </c>
      <c r="H628" s="19">
        <v>4620.1010999999999</v>
      </c>
      <c r="I628" s="19">
        <v>8342.8053999999993</v>
      </c>
      <c r="J628" s="75">
        <v>-9802</v>
      </c>
      <c r="K628" s="75">
        <v>13640.1</v>
      </c>
      <c r="L628" s="75">
        <v>7308.24</v>
      </c>
      <c r="M628" s="75">
        <v>150.48000000000002</v>
      </c>
      <c r="N628" s="75">
        <v>-12140.52</v>
      </c>
      <c r="O628" s="75">
        <v>8344.6999999999989</v>
      </c>
      <c r="P628" s="75">
        <v>15740.130000000001</v>
      </c>
      <c r="Q628" s="75">
        <v>-13004.439999999999</v>
      </c>
      <c r="R628" s="75">
        <v>10236.689999999999</v>
      </c>
    </row>
    <row r="629" spans="1:18" x14ac:dyDescent="0.3">
      <c r="A629">
        <v>612</v>
      </c>
      <c r="B629" s="19">
        <v>48.891100000000002</v>
      </c>
      <c r="C629" s="19">
        <v>33.569600000000001</v>
      </c>
      <c r="D629" s="19">
        <v>11.9407</v>
      </c>
      <c r="E629" s="19">
        <v>263.79539999999997</v>
      </c>
      <c r="F629" s="19">
        <v>15.797700000000001</v>
      </c>
      <c r="G629" s="19">
        <v>365.48770000000002</v>
      </c>
      <c r="H629" s="19">
        <v>4589.5285999999996</v>
      </c>
      <c r="I629" s="19">
        <v>8482.4809999999998</v>
      </c>
      <c r="J629" s="75">
        <v>-13778</v>
      </c>
      <c r="K629" s="75">
        <v>21933.599999999999</v>
      </c>
      <c r="L629" s="75">
        <v>23150.16</v>
      </c>
      <c r="M629" s="75">
        <v>-9137.48</v>
      </c>
      <c r="N629" s="75">
        <v>7496.19</v>
      </c>
      <c r="O629" s="75">
        <v>-3683.05</v>
      </c>
      <c r="P629" s="75">
        <v>6568.38</v>
      </c>
      <c r="Q629" s="75">
        <v>14930.68</v>
      </c>
      <c r="R629" s="75">
        <v>47480.479999999996</v>
      </c>
    </row>
    <row r="630" spans="1:18" x14ac:dyDescent="0.3">
      <c r="A630">
        <v>613</v>
      </c>
      <c r="B630" s="19">
        <v>49.701099999999997</v>
      </c>
      <c r="C630" s="19">
        <v>32.625399999999999</v>
      </c>
      <c r="D630" s="19">
        <v>11.5121</v>
      </c>
      <c r="E630" s="19">
        <v>251.73679999999999</v>
      </c>
      <c r="F630" s="19">
        <v>15.6279</v>
      </c>
      <c r="G630" s="19">
        <v>370.51600000000002</v>
      </c>
      <c r="H630" s="19">
        <v>4623.0941000000003</v>
      </c>
      <c r="I630" s="19">
        <v>8832.8889999999992</v>
      </c>
      <c r="J630" s="75">
        <v>2422</v>
      </c>
      <c r="K630" s="75">
        <v>-4976.1000000000004</v>
      </c>
      <c r="L630" s="75">
        <v>-14909.519999999999</v>
      </c>
      <c r="M630" s="75">
        <v>-54960.160000000003</v>
      </c>
      <c r="N630" s="75">
        <v>-93.86999999999999</v>
      </c>
      <c r="O630" s="75">
        <v>13916</v>
      </c>
      <c r="P630" s="75">
        <v>16638.03</v>
      </c>
      <c r="Q630" s="75">
        <v>85012.28</v>
      </c>
      <c r="R630" s="75">
        <v>43048.66</v>
      </c>
    </row>
    <row r="631" spans="1:18" x14ac:dyDescent="0.3">
      <c r="A631">
        <v>614</v>
      </c>
      <c r="B631" s="19">
        <v>49.977899999999998</v>
      </c>
      <c r="C631" s="19">
        <v>33.254399999999997</v>
      </c>
      <c r="D631" s="19">
        <v>11.983499999999999</v>
      </c>
      <c r="E631" s="19">
        <v>252.2372</v>
      </c>
      <c r="F631" s="19">
        <v>15.7012</v>
      </c>
      <c r="G631" s="19">
        <v>371.19749999999999</v>
      </c>
      <c r="H631" s="19">
        <v>4762.7828</v>
      </c>
      <c r="I631" s="19">
        <v>8568.6396000000004</v>
      </c>
      <c r="J631" s="75">
        <v>7957.9999999999991</v>
      </c>
      <c r="K631" s="75">
        <v>12950.400000000001</v>
      </c>
      <c r="L631" s="75">
        <v>26950.799999999999</v>
      </c>
      <c r="M631" s="75">
        <v>-53058.64</v>
      </c>
      <c r="N631" s="75">
        <v>3182.64</v>
      </c>
      <c r="O631" s="75">
        <v>16301.25</v>
      </c>
      <c r="P631" s="75">
        <v>58544.639999999999</v>
      </c>
      <c r="Q631" s="75">
        <v>32162.400000000001</v>
      </c>
      <c r="R631" s="75">
        <v>104991.48999999999</v>
      </c>
    </row>
    <row r="632" spans="1:18" x14ac:dyDescent="0.3">
      <c r="A632">
        <v>615</v>
      </c>
      <c r="B632" s="19">
        <v>49.708799999999997</v>
      </c>
      <c r="C632" s="19">
        <v>32.6248</v>
      </c>
      <c r="D632" s="19">
        <v>11.8475</v>
      </c>
      <c r="E632" s="19">
        <v>260.77</v>
      </c>
      <c r="F632" s="19">
        <v>15.4991</v>
      </c>
      <c r="G632" s="19">
        <v>375.87990000000002</v>
      </c>
      <c r="H632" s="19">
        <v>4476.6440000000002</v>
      </c>
      <c r="I632" s="19">
        <v>8318.3307999999997</v>
      </c>
      <c r="J632" s="75">
        <v>2576</v>
      </c>
      <c r="K632" s="75">
        <v>-4993.2</v>
      </c>
      <c r="L632" s="75">
        <v>14874</v>
      </c>
      <c r="M632" s="75">
        <v>-20634</v>
      </c>
      <c r="N632" s="75">
        <v>-5851.23</v>
      </c>
      <c r="O632" s="75">
        <v>32689.65</v>
      </c>
      <c r="P632" s="75">
        <v>-27297</v>
      </c>
      <c r="Q632" s="75">
        <v>-17899.359999999997</v>
      </c>
      <c r="R632" s="75">
        <v>-26535.139999999996</v>
      </c>
    </row>
    <row r="633" spans="1:18" x14ac:dyDescent="0.3">
      <c r="A633">
        <v>616</v>
      </c>
      <c r="B633" s="19">
        <v>49.472999999999999</v>
      </c>
      <c r="C633" s="19">
        <v>32.710999999999999</v>
      </c>
      <c r="D633" s="19">
        <v>11.328900000000001</v>
      </c>
      <c r="E633" s="19">
        <v>264.35840000000002</v>
      </c>
      <c r="F633" s="19">
        <v>15.656499999999999</v>
      </c>
      <c r="G633" s="19">
        <v>349.42380000000003</v>
      </c>
      <c r="H633" s="19">
        <v>4532.0328</v>
      </c>
      <c r="I633" s="19">
        <v>8268.4892</v>
      </c>
      <c r="J633" s="75">
        <v>-2140</v>
      </c>
      <c r="K633" s="75">
        <v>-2536.5</v>
      </c>
      <c r="L633" s="75">
        <v>-31177.68</v>
      </c>
      <c r="M633" s="75">
        <v>-6998.08</v>
      </c>
      <c r="N633" s="75">
        <v>1184.55</v>
      </c>
      <c r="O633" s="75">
        <v>-59906.7</v>
      </c>
      <c r="P633" s="75">
        <v>-10680.359999999999</v>
      </c>
      <c r="Q633" s="75">
        <v>-27867.68</v>
      </c>
      <c r="R633" s="75">
        <v>-140122.45000000001</v>
      </c>
    </row>
    <row r="634" spans="1:18" x14ac:dyDescent="0.3">
      <c r="A634">
        <v>617</v>
      </c>
      <c r="B634" s="19">
        <v>49.173200000000001</v>
      </c>
      <c r="C634" s="19">
        <v>33.256700000000002</v>
      </c>
      <c r="D634" s="19">
        <v>11.4605</v>
      </c>
      <c r="E634" s="19">
        <v>262.41680000000002</v>
      </c>
      <c r="F634" s="19">
        <v>15.6417</v>
      </c>
      <c r="G634" s="19">
        <v>369.7097</v>
      </c>
      <c r="H634" s="19">
        <v>4654.9350999999997</v>
      </c>
      <c r="I634" s="19">
        <v>8585.2266999999993</v>
      </c>
      <c r="J634" s="75">
        <v>-8136</v>
      </c>
      <c r="K634" s="75">
        <v>13015.95</v>
      </c>
      <c r="L634" s="75">
        <v>-19491.599999999999</v>
      </c>
      <c r="M634" s="75">
        <v>-14376.16</v>
      </c>
      <c r="N634" s="75">
        <v>522.99</v>
      </c>
      <c r="O634" s="75">
        <v>11093.95</v>
      </c>
      <c r="P634" s="75">
        <v>26190.33</v>
      </c>
      <c r="Q634" s="75">
        <v>35479.82</v>
      </c>
      <c r="R634" s="75">
        <v>44299.280000000006</v>
      </c>
    </row>
    <row r="635" spans="1:18" x14ac:dyDescent="0.3">
      <c r="A635">
        <v>618</v>
      </c>
      <c r="B635" s="19">
        <v>49.549300000000002</v>
      </c>
      <c r="C635" s="19">
        <v>33.2166</v>
      </c>
      <c r="D635" s="19">
        <v>11.825799999999999</v>
      </c>
      <c r="E635" s="19">
        <v>264.12860000000001</v>
      </c>
      <c r="F635" s="19">
        <v>15.640599999999999</v>
      </c>
      <c r="G635" s="19">
        <v>374.91829999999999</v>
      </c>
      <c r="H635" s="19">
        <v>4703.0312999999996</v>
      </c>
      <c r="I635" s="19">
        <v>7900.3256000000001</v>
      </c>
      <c r="J635" s="75">
        <v>-614</v>
      </c>
      <c r="K635" s="75">
        <v>11873.1</v>
      </c>
      <c r="L635" s="75">
        <v>12947.04</v>
      </c>
      <c r="M635" s="75">
        <v>-7871.3200000000006</v>
      </c>
      <c r="N635" s="75">
        <v>473.82</v>
      </c>
      <c r="O635" s="75">
        <v>29324.05</v>
      </c>
      <c r="P635" s="75">
        <v>40619.19</v>
      </c>
      <c r="Q635" s="75">
        <v>-101500.40000000001</v>
      </c>
      <c r="R635" s="75">
        <v>-14748.520000000004</v>
      </c>
    </row>
    <row r="636" spans="1:18" x14ac:dyDescent="0.3">
      <c r="A636">
        <v>619</v>
      </c>
      <c r="B636" s="19">
        <v>50.381</v>
      </c>
      <c r="C636" s="19">
        <v>32.927900000000001</v>
      </c>
      <c r="D636" s="19">
        <v>11.726800000000001</v>
      </c>
      <c r="E636" s="19">
        <v>277.35820000000001</v>
      </c>
      <c r="F636" s="19">
        <v>15.989800000000001</v>
      </c>
      <c r="G636" s="19">
        <v>370.18900000000002</v>
      </c>
      <c r="H636" s="19">
        <v>4602.8756000000003</v>
      </c>
      <c r="I636" s="19">
        <v>8738.5355999999992</v>
      </c>
      <c r="J636" s="75">
        <v>16020</v>
      </c>
      <c r="K636" s="75">
        <v>3645.1500000000005</v>
      </c>
      <c r="L636" s="75">
        <v>4155.84</v>
      </c>
      <c r="M636" s="75">
        <v>42401.16</v>
      </c>
      <c r="N636" s="75">
        <v>16083.06</v>
      </c>
      <c r="O636" s="75">
        <v>12771.5</v>
      </c>
      <c r="P636" s="75">
        <v>10572.48</v>
      </c>
      <c r="Q636" s="75">
        <v>66141.600000000006</v>
      </c>
      <c r="R636" s="75">
        <v>171790.79</v>
      </c>
    </row>
    <row r="637" spans="1:18" x14ac:dyDescent="0.3">
      <c r="A637">
        <v>620</v>
      </c>
      <c r="B637" s="19">
        <v>49.869900000000001</v>
      </c>
      <c r="C637" s="19">
        <v>32.660299999999999</v>
      </c>
      <c r="D637" s="19">
        <v>11.989699999999999</v>
      </c>
      <c r="E637" s="19">
        <v>268.18029999999999</v>
      </c>
      <c r="F637" s="19">
        <v>16.114799999999999</v>
      </c>
      <c r="G637" s="19">
        <v>363.39179999999999</v>
      </c>
      <c r="H637" s="19">
        <v>4724.4346999999998</v>
      </c>
      <c r="I637" s="19">
        <v>8035.1593000000003</v>
      </c>
      <c r="J637" s="75">
        <v>5798</v>
      </c>
      <c r="K637" s="75">
        <v>-3981.45</v>
      </c>
      <c r="L637" s="75">
        <v>27501.359999999997</v>
      </c>
      <c r="M637" s="75">
        <v>7525.1399999999994</v>
      </c>
      <c r="N637" s="75">
        <v>21670.560000000001</v>
      </c>
      <c r="O637" s="75">
        <v>-11018.7</v>
      </c>
      <c r="P637" s="75">
        <v>47040.21</v>
      </c>
      <c r="Q637" s="75">
        <v>-74533.66</v>
      </c>
      <c r="R637" s="75">
        <v>20001.459999999992</v>
      </c>
    </row>
    <row r="638" spans="1:18" x14ac:dyDescent="0.3">
      <c r="A638">
        <v>621</v>
      </c>
      <c r="B638" s="19">
        <v>49.4238</v>
      </c>
      <c r="C638" s="19">
        <v>32.236699999999999</v>
      </c>
      <c r="D638" s="19">
        <v>11.228999999999999</v>
      </c>
      <c r="E638" s="19">
        <v>268.21409999999997</v>
      </c>
      <c r="F638" s="19">
        <v>15.7974</v>
      </c>
      <c r="G638" s="19">
        <v>363.48169999999999</v>
      </c>
      <c r="H638" s="19">
        <v>4566.8914999999997</v>
      </c>
      <c r="I638" s="19">
        <v>8239.8708999999999</v>
      </c>
      <c r="J638" s="75">
        <v>-3124</v>
      </c>
      <c r="K638" s="75">
        <v>-16054.050000000001</v>
      </c>
      <c r="L638" s="75">
        <v>-40048.800000000003</v>
      </c>
      <c r="M638" s="75">
        <v>7653.58</v>
      </c>
      <c r="N638" s="75">
        <v>7482.78</v>
      </c>
      <c r="O638" s="75">
        <v>-10704.05</v>
      </c>
      <c r="P638" s="75">
        <v>-222.75000000000003</v>
      </c>
      <c r="Q638" s="75">
        <v>-33591.340000000004</v>
      </c>
      <c r="R638" s="75">
        <v>-88608.63</v>
      </c>
    </row>
    <row r="639" spans="1:18" x14ac:dyDescent="0.3">
      <c r="A639">
        <v>622</v>
      </c>
      <c r="B639" s="19">
        <v>49.537599999999998</v>
      </c>
      <c r="C639" s="19">
        <v>32.982599999999998</v>
      </c>
      <c r="D639" s="19">
        <v>11.5783</v>
      </c>
      <c r="E639" s="19">
        <v>264.1977</v>
      </c>
      <c r="F639" s="19">
        <v>15.683400000000001</v>
      </c>
      <c r="G639" s="19">
        <v>376.70389999999998</v>
      </c>
      <c r="H639" s="19">
        <v>4553.0493999999999</v>
      </c>
      <c r="I639" s="19">
        <v>7962.2520000000004</v>
      </c>
      <c r="J639" s="75">
        <v>-848</v>
      </c>
      <c r="K639" s="75">
        <v>5204.1000000000004</v>
      </c>
      <c r="L639" s="75">
        <v>-9030.9599999999991</v>
      </c>
      <c r="M639" s="75">
        <v>-7608.74</v>
      </c>
      <c r="N639" s="75">
        <v>2386.98</v>
      </c>
      <c r="O639" s="75">
        <v>35573.65</v>
      </c>
      <c r="P639" s="75">
        <v>-4375.38</v>
      </c>
      <c r="Q639" s="75">
        <v>-89115.12</v>
      </c>
      <c r="R639" s="75">
        <v>-67813.47</v>
      </c>
    </row>
    <row r="640" spans="1:18" x14ac:dyDescent="0.3">
      <c r="A640">
        <v>623</v>
      </c>
      <c r="B640" s="19">
        <v>49.604700000000001</v>
      </c>
      <c r="C640" s="19">
        <v>32.225200000000001</v>
      </c>
      <c r="D640" s="19">
        <v>11.7301</v>
      </c>
      <c r="E640" s="19">
        <v>271.01780000000002</v>
      </c>
      <c r="F640" s="19">
        <v>15.846299999999999</v>
      </c>
      <c r="G640" s="19">
        <v>360.62790000000001</v>
      </c>
      <c r="H640" s="19">
        <v>4604.6727000000001</v>
      </c>
      <c r="I640" s="19">
        <v>7833.6472999999996</v>
      </c>
      <c r="J640" s="75">
        <v>494</v>
      </c>
      <c r="K640" s="75">
        <v>-16381.8</v>
      </c>
      <c r="L640" s="75">
        <v>4448.88</v>
      </c>
      <c r="M640" s="75">
        <v>18307.64</v>
      </c>
      <c r="N640" s="75">
        <v>9668.6099999999988</v>
      </c>
      <c r="O640" s="75">
        <v>-20692.349999999999</v>
      </c>
      <c r="P640" s="75">
        <v>11111.609999999999</v>
      </c>
      <c r="Q640" s="75">
        <v>-114836.06</v>
      </c>
      <c r="R640" s="75">
        <v>-107879.47</v>
      </c>
    </row>
    <row r="641" spans="1:18" x14ac:dyDescent="0.3">
      <c r="A641">
        <v>624</v>
      </c>
      <c r="B641" s="19">
        <v>49.747399999999999</v>
      </c>
      <c r="C641" s="19">
        <v>31.395399999999999</v>
      </c>
      <c r="D641" s="19">
        <v>11.814299999999999</v>
      </c>
      <c r="E641" s="19">
        <v>282.91120000000001</v>
      </c>
      <c r="F641" s="19">
        <v>15.538</v>
      </c>
      <c r="G641" s="19">
        <v>365.81349999999998</v>
      </c>
      <c r="H641" s="19">
        <v>4500.8815999999997</v>
      </c>
      <c r="I641" s="19">
        <v>8490.9969999999994</v>
      </c>
      <c r="J641" s="75">
        <v>3348</v>
      </c>
      <c r="K641" s="75">
        <v>-40031.1</v>
      </c>
      <c r="L641" s="75">
        <v>11925.84</v>
      </c>
      <c r="M641" s="75">
        <v>63502.560000000005</v>
      </c>
      <c r="N641" s="75">
        <v>-4112.3999999999996</v>
      </c>
      <c r="O641" s="75">
        <v>-2542.75</v>
      </c>
      <c r="P641" s="75">
        <v>-20025.719999999998</v>
      </c>
      <c r="Q641" s="75">
        <v>16633.879999999997</v>
      </c>
      <c r="R641" s="75">
        <v>28698.31</v>
      </c>
    </row>
    <row r="642" spans="1:18" x14ac:dyDescent="0.3">
      <c r="A642">
        <v>625</v>
      </c>
      <c r="B642" s="19">
        <v>48.794499999999999</v>
      </c>
      <c r="C642" s="19">
        <v>32.521599999999999</v>
      </c>
      <c r="D642" s="19">
        <v>11.586600000000001</v>
      </c>
      <c r="E642" s="19">
        <v>260.6918</v>
      </c>
      <c r="F642" s="19">
        <v>15.774100000000001</v>
      </c>
      <c r="G642" s="19">
        <v>368.18279999999999</v>
      </c>
      <c r="H642" s="19">
        <v>4547.9192000000003</v>
      </c>
      <c r="I642" s="19">
        <v>8603.7690000000002</v>
      </c>
      <c r="J642" s="75">
        <v>-15710</v>
      </c>
      <c r="K642" s="75">
        <v>-7934.4</v>
      </c>
      <c r="L642" s="75">
        <v>-8293.92</v>
      </c>
      <c r="M642" s="75">
        <v>-20931.16</v>
      </c>
      <c r="N642" s="75">
        <v>6441.27</v>
      </c>
      <c r="O642" s="75">
        <v>5749.8</v>
      </c>
      <c r="P642" s="75">
        <v>-5914.4400000000005</v>
      </c>
      <c r="Q642" s="75">
        <v>39188.28</v>
      </c>
      <c r="R642" s="75">
        <v>-7404.5699999999924</v>
      </c>
    </row>
    <row r="643" spans="1:18" x14ac:dyDescent="0.3">
      <c r="A643">
        <v>626</v>
      </c>
      <c r="B643" s="19">
        <v>49.716700000000003</v>
      </c>
      <c r="C643" s="19">
        <v>32.878700000000002</v>
      </c>
      <c r="D643" s="19">
        <v>11.5747</v>
      </c>
      <c r="E643" s="19">
        <v>258.34500000000003</v>
      </c>
      <c r="F643" s="19">
        <v>15.604799999999999</v>
      </c>
      <c r="G643" s="19">
        <v>360.5763</v>
      </c>
      <c r="H643" s="19">
        <v>4526.8342000000002</v>
      </c>
      <c r="I643" s="19">
        <v>8341.9596999999994</v>
      </c>
      <c r="J643" s="75">
        <v>2733.9999999999995</v>
      </c>
      <c r="K643" s="75">
        <v>2242.9500000000003</v>
      </c>
      <c r="L643" s="75">
        <v>-9350.6400000000012</v>
      </c>
      <c r="M643" s="75">
        <v>-29849</v>
      </c>
      <c r="N643" s="75">
        <v>-1126.44</v>
      </c>
      <c r="O643" s="75">
        <v>-20872.95</v>
      </c>
      <c r="P643" s="75">
        <v>-12239.939999999999</v>
      </c>
      <c r="Q643" s="75">
        <v>-13173.580000000002</v>
      </c>
      <c r="R643" s="75">
        <v>-81635.600000000006</v>
      </c>
    </row>
    <row r="644" spans="1:18" x14ac:dyDescent="0.3">
      <c r="A644">
        <v>627</v>
      </c>
      <c r="B644" s="19">
        <v>50.102200000000003</v>
      </c>
      <c r="C644" s="19">
        <v>32.579099999999997</v>
      </c>
      <c r="D644" s="19">
        <v>12.102600000000001</v>
      </c>
      <c r="E644" s="19">
        <v>264.01760000000002</v>
      </c>
      <c r="F644" s="19">
        <v>15.099</v>
      </c>
      <c r="G644" s="19">
        <v>367.46820000000002</v>
      </c>
      <c r="H644" s="19">
        <v>4547.6205</v>
      </c>
      <c r="I644" s="19">
        <v>8100.6713</v>
      </c>
      <c r="J644" s="75">
        <v>10444</v>
      </c>
      <c r="K644" s="75">
        <v>-6295.6500000000005</v>
      </c>
      <c r="L644" s="75">
        <v>37526.879999999997</v>
      </c>
      <c r="M644" s="75">
        <v>-8293.119999999999</v>
      </c>
      <c r="N644" s="75">
        <v>-23735.7</v>
      </c>
      <c r="O644" s="75">
        <v>3248.7000000000003</v>
      </c>
      <c r="P644" s="75">
        <v>-6004.05</v>
      </c>
      <c r="Q644" s="75">
        <v>-61431.259999999995</v>
      </c>
      <c r="R644" s="75">
        <v>-54540.2</v>
      </c>
    </row>
    <row r="645" spans="1:18" x14ac:dyDescent="0.3">
      <c r="A645">
        <v>628</v>
      </c>
      <c r="B645" s="19">
        <v>49.377800000000001</v>
      </c>
      <c r="C645" s="19">
        <v>32.995699999999999</v>
      </c>
      <c r="D645" s="19">
        <v>11.854699999999999</v>
      </c>
      <c r="E645" s="19">
        <v>259.9622</v>
      </c>
      <c r="F645" s="19">
        <v>15.4971</v>
      </c>
      <c r="G645" s="19">
        <v>367.30410000000001</v>
      </c>
      <c r="H645" s="19">
        <v>4456.2322000000004</v>
      </c>
      <c r="I645" s="19">
        <v>8289.6514999999999</v>
      </c>
      <c r="J645" s="75">
        <v>-4044</v>
      </c>
      <c r="K645" s="75">
        <v>5577.4500000000007</v>
      </c>
      <c r="L645" s="75">
        <v>15513.359999999999</v>
      </c>
      <c r="M645" s="75">
        <v>-23703.64</v>
      </c>
      <c r="N645" s="75">
        <v>-5940.6299999999992</v>
      </c>
      <c r="O645" s="75">
        <v>2674.35</v>
      </c>
      <c r="P645" s="75">
        <v>-33420.54</v>
      </c>
      <c r="Q645" s="75">
        <v>-23635.22</v>
      </c>
      <c r="R645" s="75">
        <v>-66978.87</v>
      </c>
    </row>
    <row r="646" spans="1:18" x14ac:dyDescent="0.3">
      <c r="A646">
        <v>629</v>
      </c>
      <c r="B646" s="19">
        <v>49.044499999999999</v>
      </c>
      <c r="C646" s="19">
        <v>32.828899999999997</v>
      </c>
      <c r="D646" s="19">
        <v>11.986800000000001</v>
      </c>
      <c r="E646" s="19">
        <v>278.52730000000003</v>
      </c>
      <c r="F646" s="19">
        <v>15.4413</v>
      </c>
      <c r="G646" s="19">
        <v>373.28359999999998</v>
      </c>
      <c r="H646" s="19">
        <v>4614.0439999999999</v>
      </c>
      <c r="I646" s="19">
        <v>9399.1550000000007</v>
      </c>
      <c r="J646" s="75">
        <v>-10710</v>
      </c>
      <c r="K646" s="75">
        <v>823.65</v>
      </c>
      <c r="L646" s="75">
        <v>27243.84</v>
      </c>
      <c r="M646" s="75">
        <v>46843.74</v>
      </c>
      <c r="N646" s="75">
        <v>-8434.89</v>
      </c>
      <c r="O646" s="75">
        <v>23602.6</v>
      </c>
      <c r="P646" s="75">
        <v>13922.999999999998</v>
      </c>
      <c r="Q646" s="75">
        <v>198265.48</v>
      </c>
      <c r="R646" s="75">
        <v>291557.42000000004</v>
      </c>
    </row>
    <row r="647" spans="1:18" x14ac:dyDescent="0.3">
      <c r="A647">
        <v>630</v>
      </c>
      <c r="B647" s="19">
        <v>49.473599999999998</v>
      </c>
      <c r="C647" s="19">
        <v>32.4968</v>
      </c>
      <c r="D647" s="19">
        <v>11.841799999999999</v>
      </c>
      <c r="E647" s="19">
        <v>257.25630000000001</v>
      </c>
      <c r="F647" s="19">
        <v>15.182</v>
      </c>
      <c r="G647" s="19">
        <v>376.15620000000001</v>
      </c>
      <c r="H647" s="19">
        <v>4594.8370000000004</v>
      </c>
      <c r="I647" s="19">
        <v>8525.8435000000009</v>
      </c>
      <c r="J647" s="75">
        <v>-2128</v>
      </c>
      <c r="K647" s="75">
        <v>-8641.2000000000007</v>
      </c>
      <c r="L647" s="75">
        <v>14367.84</v>
      </c>
      <c r="M647" s="75">
        <v>-33986.06</v>
      </c>
      <c r="N647" s="75">
        <v>-20025.600000000002</v>
      </c>
      <c r="O647" s="75">
        <v>33656.699999999997</v>
      </c>
      <c r="P647" s="75">
        <v>8160.9</v>
      </c>
      <c r="Q647" s="75">
        <v>23603.18</v>
      </c>
      <c r="R647" s="75">
        <v>15007.759999999993</v>
      </c>
    </row>
    <row r="648" spans="1:18" x14ac:dyDescent="0.3">
      <c r="A648">
        <v>631</v>
      </c>
      <c r="B648" s="19">
        <v>49.873100000000001</v>
      </c>
      <c r="C648" s="19">
        <v>32.384900000000002</v>
      </c>
      <c r="D648" s="19">
        <v>11.7705</v>
      </c>
      <c r="E648" s="19">
        <v>270.98700000000002</v>
      </c>
      <c r="F648" s="19">
        <v>14.950699999999999</v>
      </c>
      <c r="G648" s="19">
        <v>369.98719999999997</v>
      </c>
      <c r="H648" s="19">
        <v>4691.6031000000003</v>
      </c>
      <c r="I648" s="19">
        <v>8309.0010999999995</v>
      </c>
      <c r="J648" s="75">
        <v>5862.0000000000009</v>
      </c>
      <c r="K648" s="75">
        <v>-11830.35</v>
      </c>
      <c r="L648" s="75">
        <v>8036.4</v>
      </c>
      <c r="M648" s="75">
        <v>18190.599999999999</v>
      </c>
      <c r="N648" s="75">
        <v>-30364.71</v>
      </c>
      <c r="O648" s="75">
        <v>12065.2</v>
      </c>
      <c r="P648" s="75">
        <v>37190.729999999996</v>
      </c>
      <c r="Q648" s="75">
        <v>-19765.3</v>
      </c>
      <c r="R648" s="75">
        <v>19384.569999999996</v>
      </c>
    </row>
    <row r="649" spans="1:18" x14ac:dyDescent="0.3">
      <c r="A649">
        <v>632</v>
      </c>
      <c r="B649" s="19">
        <v>49.398299999999999</v>
      </c>
      <c r="C649" s="19">
        <v>32.694899999999997</v>
      </c>
      <c r="D649" s="19">
        <v>11.2677</v>
      </c>
      <c r="E649" s="19">
        <v>274.0865</v>
      </c>
      <c r="F649" s="19">
        <v>15.561400000000001</v>
      </c>
      <c r="G649" s="19">
        <v>372.73059999999998</v>
      </c>
      <c r="H649" s="19">
        <v>4484.4232000000002</v>
      </c>
      <c r="I649" s="19">
        <v>8720.4647000000004</v>
      </c>
      <c r="J649" s="75">
        <v>-3634</v>
      </c>
      <c r="K649" s="75">
        <v>-2995.35</v>
      </c>
      <c r="L649" s="75">
        <v>-36612.239999999998</v>
      </c>
      <c r="M649" s="75">
        <v>29968.7</v>
      </c>
      <c r="N649" s="75">
        <v>-3066.4199999999996</v>
      </c>
      <c r="O649" s="75">
        <v>21667.1</v>
      </c>
      <c r="P649" s="75">
        <v>-24963.24</v>
      </c>
      <c r="Q649" s="75">
        <v>62527.42</v>
      </c>
      <c r="R649" s="75">
        <v>42891.97</v>
      </c>
    </row>
    <row r="650" spans="1:18" x14ac:dyDescent="0.3">
      <c r="A650">
        <v>633</v>
      </c>
      <c r="B650" s="19">
        <v>49.458799999999997</v>
      </c>
      <c r="C650" s="19">
        <v>32.691800000000001</v>
      </c>
      <c r="D650" s="19">
        <v>11.587</v>
      </c>
      <c r="E650" s="19">
        <v>270.34699999999998</v>
      </c>
      <c r="F650" s="19">
        <v>15.283799999999999</v>
      </c>
      <c r="G650" s="19">
        <v>374.51089999999999</v>
      </c>
      <c r="H650" s="19">
        <v>4581.3612000000003</v>
      </c>
      <c r="I650" s="19">
        <v>7836.0481</v>
      </c>
      <c r="J650" s="75">
        <v>-2424</v>
      </c>
      <c r="K650" s="75">
        <v>-3083.7000000000003</v>
      </c>
      <c r="L650" s="75">
        <v>-8258.4</v>
      </c>
      <c r="M650" s="75">
        <v>15758.6</v>
      </c>
      <c r="N650" s="75">
        <v>-15475.140000000001</v>
      </c>
      <c r="O650" s="75">
        <v>27898.15</v>
      </c>
      <c r="P650" s="75">
        <v>4118.16</v>
      </c>
      <c r="Q650" s="75">
        <v>-114355.9</v>
      </c>
      <c r="R650" s="75">
        <v>-95822.23</v>
      </c>
    </row>
    <row r="651" spans="1:18" x14ac:dyDescent="0.3">
      <c r="A651">
        <v>634</v>
      </c>
      <c r="B651" s="19">
        <v>49.84</v>
      </c>
      <c r="C651" s="19">
        <v>32.606900000000003</v>
      </c>
      <c r="D651" s="19">
        <v>12.083500000000001</v>
      </c>
      <c r="E651" s="19">
        <v>265.19319999999999</v>
      </c>
      <c r="F651" s="19">
        <v>15.5168</v>
      </c>
      <c r="G651" s="19">
        <v>361.87490000000003</v>
      </c>
      <c r="H651" s="19">
        <v>4517.3968999999997</v>
      </c>
      <c r="I651" s="19">
        <v>8573.4063999999998</v>
      </c>
      <c r="J651" s="75">
        <v>5200</v>
      </c>
      <c r="K651" s="75">
        <v>-5503.3499999999995</v>
      </c>
      <c r="L651" s="75">
        <v>35830.800000000003</v>
      </c>
      <c r="M651" s="75">
        <v>-3825.8399999999997</v>
      </c>
      <c r="N651" s="75">
        <v>-5060.04</v>
      </c>
      <c r="O651" s="75">
        <v>-16327.849999999999</v>
      </c>
      <c r="P651" s="75">
        <v>-15071.13</v>
      </c>
      <c r="Q651" s="75">
        <v>33115.760000000002</v>
      </c>
      <c r="R651" s="75">
        <v>28358.350000000006</v>
      </c>
    </row>
    <row r="652" spans="1:18" x14ac:dyDescent="0.3">
      <c r="A652">
        <v>635</v>
      </c>
      <c r="B652" s="19">
        <v>49.485700000000001</v>
      </c>
      <c r="C652" s="19">
        <v>33.8125</v>
      </c>
      <c r="D652" s="19">
        <v>11.803699999999999</v>
      </c>
      <c r="E652" s="19">
        <v>262.46969999999999</v>
      </c>
      <c r="F652" s="19">
        <v>15.857900000000001</v>
      </c>
      <c r="G652" s="19">
        <v>375.21600000000001</v>
      </c>
      <c r="H652" s="19">
        <v>4608.5150000000003</v>
      </c>
      <c r="I652" s="19">
        <v>8731.8112000000001</v>
      </c>
      <c r="J652" s="75">
        <v>-1886</v>
      </c>
      <c r="K652" s="75">
        <v>28856.25</v>
      </c>
      <c r="L652" s="75">
        <v>10984.56</v>
      </c>
      <c r="M652" s="75">
        <v>-14175.140000000001</v>
      </c>
      <c r="N652" s="75">
        <v>10187.129999999999</v>
      </c>
      <c r="O652" s="75">
        <v>30366</v>
      </c>
      <c r="P652" s="75">
        <v>12264.3</v>
      </c>
      <c r="Q652" s="75">
        <v>64796.72</v>
      </c>
      <c r="R652" s="75">
        <v>141393.82</v>
      </c>
    </row>
    <row r="653" spans="1:18" x14ac:dyDescent="0.3">
      <c r="A653">
        <v>636</v>
      </c>
      <c r="B653" s="19">
        <v>49.803699999999999</v>
      </c>
      <c r="C653" s="19">
        <v>32.568399999999997</v>
      </c>
      <c r="D653" s="19">
        <v>11.478</v>
      </c>
      <c r="E653" s="19">
        <v>269.65620000000001</v>
      </c>
      <c r="F653" s="19">
        <v>15.460100000000001</v>
      </c>
      <c r="G653" s="19">
        <v>363.22789999999998</v>
      </c>
      <c r="H653" s="19">
        <v>4497.5924000000005</v>
      </c>
      <c r="I653" s="19">
        <v>7939.3535000000002</v>
      </c>
      <c r="J653" s="75">
        <v>4474</v>
      </c>
      <c r="K653" s="75">
        <v>-6600.6</v>
      </c>
      <c r="L653" s="75">
        <v>-17937.600000000002</v>
      </c>
      <c r="M653" s="75">
        <v>13133.56</v>
      </c>
      <c r="N653" s="75">
        <v>-7594.53</v>
      </c>
      <c r="O653" s="75">
        <v>-11592.35</v>
      </c>
      <c r="P653" s="75">
        <v>-21012.48</v>
      </c>
      <c r="Q653" s="75">
        <v>-93694.82</v>
      </c>
      <c r="R653" s="75">
        <v>-140824.82</v>
      </c>
    </row>
    <row r="654" spans="1:18" x14ac:dyDescent="0.3">
      <c r="A654">
        <v>637</v>
      </c>
      <c r="B654" s="19">
        <v>49.561399999999999</v>
      </c>
      <c r="C654" s="19">
        <v>32.594999999999999</v>
      </c>
      <c r="D654" s="19">
        <v>11.4762</v>
      </c>
      <c r="E654" s="19">
        <v>265.4676</v>
      </c>
      <c r="F654" s="19">
        <v>16.114899999999999</v>
      </c>
      <c r="G654" s="19">
        <v>366.1474</v>
      </c>
      <c r="H654" s="19">
        <v>4373.2260999999999</v>
      </c>
      <c r="I654" s="19">
        <v>8577.9562999999998</v>
      </c>
      <c r="J654" s="75">
        <v>-371.99999999999994</v>
      </c>
      <c r="K654" s="75">
        <v>-5842.5</v>
      </c>
      <c r="L654" s="75">
        <v>-18097.440000000002</v>
      </c>
      <c r="M654" s="75">
        <v>-2783.1200000000003</v>
      </c>
      <c r="N654" s="75">
        <v>21675.03</v>
      </c>
      <c r="O654" s="75">
        <v>-1374.1</v>
      </c>
      <c r="P654" s="75">
        <v>-58322.37</v>
      </c>
      <c r="Q654" s="75">
        <v>34025.740000000005</v>
      </c>
      <c r="R654" s="75">
        <v>-31090.760000000002</v>
      </c>
    </row>
    <row r="655" spans="1:18" x14ac:dyDescent="0.3">
      <c r="A655">
        <v>638</v>
      </c>
      <c r="B655" s="19">
        <v>49.1511</v>
      </c>
      <c r="C655" s="19">
        <v>33.709899999999998</v>
      </c>
      <c r="D655" s="19">
        <v>11.8072</v>
      </c>
      <c r="E655" s="19">
        <v>267.94619999999998</v>
      </c>
      <c r="F655" s="19">
        <v>15.682499999999999</v>
      </c>
      <c r="G655" s="19">
        <v>357.30279999999999</v>
      </c>
      <c r="H655" s="19">
        <v>4507.4345000000003</v>
      </c>
      <c r="I655" s="19">
        <v>8415.7677999999996</v>
      </c>
      <c r="J655" s="75">
        <v>-8578</v>
      </c>
      <c r="K655" s="75">
        <v>25932.15</v>
      </c>
      <c r="L655" s="75">
        <v>11295.36</v>
      </c>
      <c r="M655" s="75">
        <v>6635.5599999999995</v>
      </c>
      <c r="N655" s="75">
        <v>2346.75</v>
      </c>
      <c r="O655" s="75">
        <v>-32330.199999999997</v>
      </c>
      <c r="P655" s="75">
        <v>-18059.849999999999</v>
      </c>
      <c r="Q655" s="75">
        <v>1588.04</v>
      </c>
      <c r="R655" s="75">
        <v>-11170.189999999995</v>
      </c>
    </row>
    <row r="656" spans="1:18" x14ac:dyDescent="0.3">
      <c r="A656">
        <v>639</v>
      </c>
      <c r="B656" s="19">
        <v>49.3018</v>
      </c>
      <c r="C656" s="19">
        <v>32.512700000000002</v>
      </c>
      <c r="D656" s="19">
        <v>11.902200000000001</v>
      </c>
      <c r="E656" s="19">
        <v>274.0136</v>
      </c>
      <c r="F656" s="19">
        <v>15.784800000000001</v>
      </c>
      <c r="G656" s="19">
        <v>350.65390000000002</v>
      </c>
      <c r="H656" s="19">
        <v>4613.1984000000002</v>
      </c>
      <c r="I656" s="19">
        <v>8633.4454000000005</v>
      </c>
      <c r="J656" s="75">
        <v>-5564</v>
      </c>
      <c r="K656" s="75">
        <v>-8188.05</v>
      </c>
      <c r="L656" s="75">
        <v>19731.36</v>
      </c>
      <c r="M656" s="75">
        <v>29691.68</v>
      </c>
      <c r="N656" s="75">
        <v>6919.5599999999995</v>
      </c>
      <c r="O656" s="75">
        <v>-55601.350000000006</v>
      </c>
      <c r="P656" s="75">
        <v>13669.32</v>
      </c>
      <c r="Q656" s="75">
        <v>45123.56</v>
      </c>
      <c r="R656" s="75">
        <v>45782.079999999994</v>
      </c>
    </row>
    <row r="657" spans="1:18" x14ac:dyDescent="0.3">
      <c r="A657">
        <v>640</v>
      </c>
      <c r="B657" s="19">
        <v>48.972099999999998</v>
      </c>
      <c r="C657" s="19">
        <v>32.461300000000001</v>
      </c>
      <c r="D657" s="19">
        <v>12.0024</v>
      </c>
      <c r="E657" s="19">
        <v>271.3519</v>
      </c>
      <c r="F657" s="19">
        <v>15.864100000000001</v>
      </c>
      <c r="G657" s="19">
        <v>362.96890000000002</v>
      </c>
      <c r="H657" s="19">
        <v>4599.6180000000004</v>
      </c>
      <c r="I657" s="19">
        <v>8264.2031999999999</v>
      </c>
      <c r="J657" s="75">
        <v>-12158</v>
      </c>
      <c r="K657" s="75">
        <v>-9652.9500000000007</v>
      </c>
      <c r="L657" s="75">
        <v>28629.120000000003</v>
      </c>
      <c r="M657" s="75">
        <v>19577.22</v>
      </c>
      <c r="N657" s="75">
        <v>10464.27</v>
      </c>
      <c r="O657" s="75">
        <v>-12498.85</v>
      </c>
      <c r="P657" s="75">
        <v>9595.2000000000007</v>
      </c>
      <c r="Q657" s="75">
        <v>-28724.880000000001</v>
      </c>
      <c r="R657" s="75">
        <v>5231.1300000000083</v>
      </c>
    </row>
    <row r="658" spans="1:18" x14ac:dyDescent="0.3">
      <c r="A658">
        <v>641</v>
      </c>
      <c r="B658" s="19">
        <v>50.425199999999997</v>
      </c>
      <c r="C658" s="19">
        <v>32.416600000000003</v>
      </c>
      <c r="D658" s="19">
        <v>11.1112</v>
      </c>
      <c r="E658" s="19">
        <v>272.745</v>
      </c>
      <c r="F658" s="19">
        <v>15.7402</v>
      </c>
      <c r="G658" s="19">
        <v>375.43630000000002</v>
      </c>
      <c r="H658" s="19">
        <v>4565.8464999999997</v>
      </c>
      <c r="I658" s="19">
        <v>8209.0072999999993</v>
      </c>
      <c r="J658" s="75">
        <v>16904</v>
      </c>
      <c r="K658" s="75">
        <v>-10926.9</v>
      </c>
      <c r="L658" s="75">
        <v>-50509.439999999995</v>
      </c>
      <c r="M658" s="75">
        <v>24871</v>
      </c>
      <c r="N658" s="75">
        <v>4925.9400000000005</v>
      </c>
      <c r="O658" s="75">
        <v>31137.05</v>
      </c>
      <c r="P658" s="75">
        <v>-536.25</v>
      </c>
      <c r="Q658" s="75">
        <v>-39764.06</v>
      </c>
      <c r="R658" s="75">
        <v>-23898.659999999996</v>
      </c>
    </row>
    <row r="659" spans="1:18" x14ac:dyDescent="0.3">
      <c r="A659">
        <v>642</v>
      </c>
      <c r="B659" s="19">
        <v>49.308799999999998</v>
      </c>
      <c r="C659" s="19">
        <v>32.9786</v>
      </c>
      <c r="D659" s="19">
        <v>11.7568</v>
      </c>
      <c r="E659" s="19">
        <v>260.92140000000001</v>
      </c>
      <c r="F659" s="19">
        <v>15.754899999999999</v>
      </c>
      <c r="G659" s="19">
        <v>369.03129999999999</v>
      </c>
      <c r="H659" s="19">
        <v>4688.3994000000002</v>
      </c>
      <c r="I659" s="19">
        <v>8916.1589000000004</v>
      </c>
      <c r="J659" s="75">
        <v>-5424</v>
      </c>
      <c r="K659" s="75">
        <v>5090.1000000000004</v>
      </c>
      <c r="L659" s="75">
        <v>6819.8399999999992</v>
      </c>
      <c r="M659" s="75">
        <v>-20058.68</v>
      </c>
      <c r="N659" s="75">
        <v>5583.03</v>
      </c>
      <c r="O659" s="75">
        <v>8719.5499999999993</v>
      </c>
      <c r="P659" s="75">
        <v>36229.620000000003</v>
      </c>
      <c r="Q659" s="75">
        <v>101666.26</v>
      </c>
      <c r="R659" s="75">
        <v>138625.72</v>
      </c>
    </row>
    <row r="660" spans="1:18" x14ac:dyDescent="0.3">
      <c r="A660">
        <v>643</v>
      </c>
      <c r="B660" s="19">
        <v>49.682899999999997</v>
      </c>
      <c r="C660" s="19">
        <v>32.7971</v>
      </c>
      <c r="D660" s="19">
        <v>11.517300000000001</v>
      </c>
      <c r="E660" s="19">
        <v>255.3015</v>
      </c>
      <c r="F660" s="19">
        <v>15.3087</v>
      </c>
      <c r="G660" s="19">
        <v>368.98349999999999</v>
      </c>
      <c r="H660" s="19">
        <v>4630.0321999999996</v>
      </c>
      <c r="I660" s="19">
        <v>8735.7988000000005</v>
      </c>
      <c r="J660" s="75">
        <v>2058</v>
      </c>
      <c r="K660" s="75">
        <v>-82.649999999999991</v>
      </c>
      <c r="L660" s="75">
        <v>-14447.76</v>
      </c>
      <c r="M660" s="75">
        <v>-41414.300000000003</v>
      </c>
      <c r="N660" s="75">
        <v>-14362.109999999999</v>
      </c>
      <c r="O660" s="75">
        <v>8552.25</v>
      </c>
      <c r="P660" s="75">
        <v>18719.46</v>
      </c>
      <c r="Q660" s="75">
        <v>65594.240000000005</v>
      </c>
      <c r="R660" s="75">
        <v>24617.129999999997</v>
      </c>
    </row>
    <row r="661" spans="1:18" x14ac:dyDescent="0.3">
      <c r="A661">
        <v>644</v>
      </c>
      <c r="B661" s="19">
        <v>49.337499999999999</v>
      </c>
      <c r="C661" s="19">
        <v>33.4985</v>
      </c>
      <c r="D661" s="19">
        <v>11.5906</v>
      </c>
      <c r="E661" s="19">
        <v>259.39929999999998</v>
      </c>
      <c r="F661" s="19">
        <v>15.8407</v>
      </c>
      <c r="G661" s="19">
        <v>369.17070000000001</v>
      </c>
      <c r="H661" s="19">
        <v>4759.6889000000001</v>
      </c>
      <c r="I661" s="19">
        <v>8197.0962999999992</v>
      </c>
      <c r="J661" s="75">
        <v>-4850</v>
      </c>
      <c r="K661" s="75">
        <v>19907.25</v>
      </c>
      <c r="L661" s="75">
        <v>-7938.7199999999993</v>
      </c>
      <c r="M661" s="75">
        <v>-25842.66</v>
      </c>
      <c r="N661" s="75">
        <v>9418.2899999999991</v>
      </c>
      <c r="O661" s="75">
        <v>9207.4500000000007</v>
      </c>
      <c r="P661" s="75">
        <v>57616.47</v>
      </c>
      <c r="Q661" s="75">
        <v>-42146.26</v>
      </c>
      <c r="R661" s="75">
        <v>15371.82</v>
      </c>
    </row>
    <row r="662" spans="1:18" x14ac:dyDescent="0.3">
      <c r="A662">
        <v>645</v>
      </c>
      <c r="B662" s="19">
        <v>50.002699999999997</v>
      </c>
      <c r="C662" s="19">
        <v>32.710900000000002</v>
      </c>
      <c r="D662" s="19">
        <v>11.9285</v>
      </c>
      <c r="E662" s="19">
        <v>271.07470000000001</v>
      </c>
      <c r="F662" s="19">
        <v>15.6631</v>
      </c>
      <c r="G662" s="19">
        <v>363.43419999999998</v>
      </c>
      <c r="H662" s="19">
        <v>4630.3180000000002</v>
      </c>
      <c r="I662" s="19">
        <v>7964.2082</v>
      </c>
      <c r="J662" s="75">
        <v>8454</v>
      </c>
      <c r="K662" s="75">
        <v>-2539.35</v>
      </c>
      <c r="L662" s="75">
        <v>22066.799999999999</v>
      </c>
      <c r="M662" s="75">
        <v>18523.86</v>
      </c>
      <c r="N662" s="75">
        <v>1479.57</v>
      </c>
      <c r="O662" s="75">
        <v>-10870.3</v>
      </c>
      <c r="P662" s="75">
        <v>18805.2</v>
      </c>
      <c r="Q662" s="75">
        <v>-88723.87999999999</v>
      </c>
      <c r="R662" s="75">
        <v>-32804.099999999991</v>
      </c>
    </row>
    <row r="663" spans="1:18" x14ac:dyDescent="0.3">
      <c r="A663">
        <v>646</v>
      </c>
      <c r="B663" s="19">
        <v>49.352400000000003</v>
      </c>
      <c r="C663" s="19">
        <v>32.870399999999997</v>
      </c>
      <c r="D663" s="19">
        <v>11.8874</v>
      </c>
      <c r="E663" s="19">
        <v>268.4135</v>
      </c>
      <c r="F663" s="19">
        <v>15.8817</v>
      </c>
      <c r="G663" s="19">
        <v>362.71719999999999</v>
      </c>
      <c r="H663" s="19">
        <v>4688.2914000000001</v>
      </c>
      <c r="I663" s="19">
        <v>8640.8680000000004</v>
      </c>
      <c r="J663" s="75">
        <v>-4552</v>
      </c>
      <c r="K663" s="75">
        <v>2006.4</v>
      </c>
      <c r="L663" s="75">
        <v>18417.12</v>
      </c>
      <c r="M663" s="75">
        <v>8411.2999999999993</v>
      </c>
      <c r="N663" s="75">
        <v>11250.99</v>
      </c>
      <c r="O663" s="75">
        <v>-13379.8</v>
      </c>
      <c r="P663" s="75">
        <v>36197.22</v>
      </c>
      <c r="Q663" s="75">
        <v>46608.08</v>
      </c>
      <c r="R663" s="75">
        <v>104959.31</v>
      </c>
    </row>
    <row r="664" spans="1:18" x14ac:dyDescent="0.3">
      <c r="A664">
        <v>647</v>
      </c>
      <c r="B664" s="19">
        <v>49.907899999999998</v>
      </c>
      <c r="C664" s="19">
        <v>32.536799999999999</v>
      </c>
      <c r="D664" s="19">
        <v>11.8378</v>
      </c>
      <c r="E664" s="19">
        <v>276.18279999999999</v>
      </c>
      <c r="F664" s="19">
        <v>15.6175</v>
      </c>
      <c r="G664" s="19">
        <v>373.42959999999999</v>
      </c>
      <c r="H664" s="19">
        <v>4538.9333999999999</v>
      </c>
      <c r="I664" s="19">
        <v>8636.4118999999992</v>
      </c>
      <c r="J664" s="75">
        <v>6558.0000000000009</v>
      </c>
      <c r="K664" s="75">
        <v>-7501.2</v>
      </c>
      <c r="L664" s="75">
        <v>14012.64</v>
      </c>
      <c r="M664" s="75">
        <v>37934.639999999999</v>
      </c>
      <c r="N664" s="75">
        <v>-558.75</v>
      </c>
      <c r="O664" s="75">
        <v>24113.599999999999</v>
      </c>
      <c r="P664" s="75">
        <v>-8610.18</v>
      </c>
      <c r="Q664" s="75">
        <v>45716.86</v>
      </c>
      <c r="R664" s="75">
        <v>111665.61</v>
      </c>
    </row>
    <row r="665" spans="1:18" x14ac:dyDescent="0.3">
      <c r="A665">
        <v>648</v>
      </c>
      <c r="B665" s="19">
        <v>49.152500000000003</v>
      </c>
      <c r="C665" s="19">
        <v>32.320999999999998</v>
      </c>
      <c r="D665" s="19">
        <v>12.0541</v>
      </c>
      <c r="E665" s="19">
        <v>269.99799999999999</v>
      </c>
      <c r="F665" s="19">
        <v>15.6228</v>
      </c>
      <c r="G665" s="19">
        <v>384.99759999999998</v>
      </c>
      <c r="H665" s="19">
        <v>4634.7456000000002</v>
      </c>
      <c r="I665" s="19">
        <v>8692.0152999999991</v>
      </c>
      <c r="J665" s="75">
        <v>-8550</v>
      </c>
      <c r="K665" s="75">
        <v>-13651.5</v>
      </c>
      <c r="L665" s="75">
        <v>33220.080000000002</v>
      </c>
      <c r="M665" s="75">
        <v>14432.4</v>
      </c>
      <c r="N665" s="75">
        <v>-321.83999999999997</v>
      </c>
      <c r="O665" s="75">
        <v>64601.599999999999</v>
      </c>
      <c r="P665" s="75">
        <v>20133.48</v>
      </c>
      <c r="Q665" s="75">
        <v>56837.54</v>
      </c>
      <c r="R665" s="75">
        <v>166701.76000000001</v>
      </c>
    </row>
    <row r="666" spans="1:18" x14ac:dyDescent="0.3">
      <c r="A666">
        <v>649</v>
      </c>
      <c r="B666" s="19">
        <v>49.3294</v>
      </c>
      <c r="C666" s="19">
        <v>32.108800000000002</v>
      </c>
      <c r="D666" s="19">
        <v>11.2538</v>
      </c>
      <c r="E666" s="19">
        <v>254.45230000000001</v>
      </c>
      <c r="F666" s="19">
        <v>15.478</v>
      </c>
      <c r="G666" s="19">
        <v>364.69869999999997</v>
      </c>
      <c r="H666" s="19">
        <v>4496.5902999999998</v>
      </c>
      <c r="I666" s="19">
        <v>8093.5995999999996</v>
      </c>
      <c r="J666" s="75">
        <v>-5012</v>
      </c>
      <c r="K666" s="75">
        <v>-19699.2</v>
      </c>
      <c r="L666" s="75">
        <v>-37846.560000000005</v>
      </c>
      <c r="M666" s="75">
        <v>-44641.26</v>
      </c>
      <c r="N666" s="75">
        <v>-6794.4</v>
      </c>
      <c r="O666" s="75">
        <v>-6444.55</v>
      </c>
      <c r="P666" s="75">
        <v>-21313.11</v>
      </c>
      <c r="Q666" s="75">
        <v>-62845.599999999999</v>
      </c>
      <c r="R666" s="75">
        <v>-204596.68000000002</v>
      </c>
    </row>
    <row r="667" spans="1:18" x14ac:dyDescent="0.3">
      <c r="A667">
        <v>650</v>
      </c>
      <c r="B667" s="19">
        <v>48.930100000000003</v>
      </c>
      <c r="C667" s="19">
        <v>33.201700000000002</v>
      </c>
      <c r="D667" s="19">
        <v>11.805400000000001</v>
      </c>
      <c r="E667" s="19">
        <v>265.76459999999997</v>
      </c>
      <c r="F667" s="19">
        <v>15.555400000000001</v>
      </c>
      <c r="G667" s="19">
        <v>372.64569999999998</v>
      </c>
      <c r="H667" s="19">
        <v>4625.7321000000002</v>
      </c>
      <c r="I667" s="19">
        <v>7949.1922999999997</v>
      </c>
      <c r="J667" s="75">
        <v>-12998</v>
      </c>
      <c r="K667" s="75">
        <v>11448.45</v>
      </c>
      <c r="L667" s="75">
        <v>11135.52</v>
      </c>
      <c r="M667" s="75">
        <v>-1654.52</v>
      </c>
      <c r="N667" s="75">
        <v>-3334.62</v>
      </c>
      <c r="O667" s="75">
        <v>21369.949999999997</v>
      </c>
      <c r="P667" s="75">
        <v>17429.43</v>
      </c>
      <c r="Q667" s="75">
        <v>-91727.06</v>
      </c>
      <c r="R667" s="75">
        <v>-48330.85</v>
      </c>
    </row>
    <row r="668" spans="1:18" x14ac:dyDescent="0.3">
      <c r="A668">
        <v>651</v>
      </c>
      <c r="B668" s="19">
        <v>49.546999999999997</v>
      </c>
      <c r="C668" s="19">
        <v>32.7286</v>
      </c>
      <c r="D668" s="19">
        <v>11.2895</v>
      </c>
      <c r="E668" s="19">
        <v>268.80380000000002</v>
      </c>
      <c r="F668" s="19">
        <v>15.8512</v>
      </c>
      <c r="G668" s="19">
        <v>349.77069999999998</v>
      </c>
      <c r="H668" s="19">
        <v>4683.0024999999996</v>
      </c>
      <c r="I668" s="19">
        <v>8956.7636999999995</v>
      </c>
      <c r="J668" s="75">
        <v>-660</v>
      </c>
      <c r="K668" s="75">
        <v>-2034.9</v>
      </c>
      <c r="L668" s="75">
        <v>-34676.400000000001</v>
      </c>
      <c r="M668" s="75">
        <v>9894.44</v>
      </c>
      <c r="N668" s="75">
        <v>9887.6400000000012</v>
      </c>
      <c r="O668" s="75">
        <v>-58692.55</v>
      </c>
      <c r="P668" s="75">
        <v>34610.549999999996</v>
      </c>
      <c r="Q668" s="75">
        <v>109787.22</v>
      </c>
      <c r="R668" s="75">
        <v>68116</v>
      </c>
    </row>
    <row r="669" spans="1:18" x14ac:dyDescent="0.3">
      <c r="A669">
        <v>652</v>
      </c>
      <c r="B669" s="19">
        <v>49.503300000000003</v>
      </c>
      <c r="C669" s="19">
        <v>32.709800000000001</v>
      </c>
      <c r="D669" s="19">
        <v>11.607799999999999</v>
      </c>
      <c r="E669" s="19">
        <v>269.39679999999998</v>
      </c>
      <c r="F669" s="19">
        <v>15.8596</v>
      </c>
      <c r="G669" s="19">
        <v>361.142</v>
      </c>
      <c r="H669" s="19">
        <v>4519.2874000000002</v>
      </c>
      <c r="I669" s="19">
        <v>8107.9174000000003</v>
      </c>
      <c r="J669" s="75">
        <v>-1534</v>
      </c>
      <c r="K669" s="75">
        <v>-2570.7000000000003</v>
      </c>
      <c r="L669" s="75">
        <v>-6411.36</v>
      </c>
      <c r="M669" s="75">
        <v>12147.84</v>
      </c>
      <c r="N669" s="75">
        <v>10263.120000000001</v>
      </c>
      <c r="O669" s="75">
        <v>-18893</v>
      </c>
      <c r="P669" s="75">
        <v>-14503.980000000001</v>
      </c>
      <c r="Q669" s="75">
        <v>-59982.039999999994</v>
      </c>
      <c r="R669" s="75">
        <v>-81484.12</v>
      </c>
    </row>
    <row r="670" spans="1:18" x14ac:dyDescent="0.3">
      <c r="A670">
        <v>653</v>
      </c>
      <c r="B670" s="19">
        <v>49.660299999999999</v>
      </c>
      <c r="C670" s="19">
        <v>32.5779</v>
      </c>
      <c r="D670" s="19">
        <v>12.235900000000001</v>
      </c>
      <c r="E670" s="19">
        <v>275.98439999999999</v>
      </c>
      <c r="F670" s="19">
        <v>15.7956</v>
      </c>
      <c r="G670" s="19">
        <v>361.56200000000001</v>
      </c>
      <c r="H670" s="19">
        <v>4526.8993</v>
      </c>
      <c r="I670" s="19">
        <v>8845.2667000000001</v>
      </c>
      <c r="J670" s="75">
        <v>1606</v>
      </c>
      <c r="K670" s="75">
        <v>-6329.8499999999995</v>
      </c>
      <c r="L670" s="75">
        <v>49363.92</v>
      </c>
      <c r="M670" s="75">
        <v>37180.720000000001</v>
      </c>
      <c r="N670" s="75">
        <v>7402.32</v>
      </c>
      <c r="O670" s="75">
        <v>-17423</v>
      </c>
      <c r="P670" s="75">
        <v>-12220.41</v>
      </c>
      <c r="Q670" s="75">
        <v>87487.819999999992</v>
      </c>
      <c r="R670" s="75">
        <v>147067.52000000002</v>
      </c>
    </row>
    <row r="671" spans="1:18" x14ac:dyDescent="0.3">
      <c r="A671">
        <v>654</v>
      </c>
      <c r="B671" s="19">
        <v>48.749600000000001</v>
      </c>
      <c r="C671" s="19">
        <v>31.962499999999999</v>
      </c>
      <c r="D671" s="19">
        <v>11.5336</v>
      </c>
      <c r="E671" s="19">
        <v>258.34699999999998</v>
      </c>
      <c r="F671" s="19">
        <v>15.1441</v>
      </c>
      <c r="G671" s="19">
        <v>366.77879999999999</v>
      </c>
      <c r="H671" s="19">
        <v>4758.2203</v>
      </c>
      <c r="I671" s="19">
        <v>8246.4784999999993</v>
      </c>
      <c r="J671" s="75">
        <v>-16608</v>
      </c>
      <c r="K671" s="75">
        <v>-23868.75</v>
      </c>
      <c r="L671" s="75">
        <v>-13000.32</v>
      </c>
      <c r="M671" s="75">
        <v>-29841.399999999998</v>
      </c>
      <c r="N671" s="75">
        <v>-21719.73</v>
      </c>
      <c r="O671" s="75">
        <v>835.80000000000007</v>
      </c>
      <c r="P671" s="75">
        <v>57175.89</v>
      </c>
      <c r="Q671" s="75">
        <v>-32269.82</v>
      </c>
      <c r="R671" s="75">
        <v>-79296.329999999987</v>
      </c>
    </row>
    <row r="672" spans="1:18" x14ac:dyDescent="0.3">
      <c r="A672">
        <v>655</v>
      </c>
      <c r="B672" s="19">
        <v>49.351500000000001</v>
      </c>
      <c r="C672" s="19">
        <v>33.649500000000003</v>
      </c>
      <c r="D672" s="19">
        <v>11.5687</v>
      </c>
      <c r="E672" s="19">
        <v>266.24630000000002</v>
      </c>
      <c r="F672" s="19">
        <v>15.276400000000001</v>
      </c>
      <c r="G672" s="19">
        <v>370.90960000000001</v>
      </c>
      <c r="H672" s="19">
        <v>4596.2421999999997</v>
      </c>
      <c r="I672" s="19">
        <v>8742.7419000000009</v>
      </c>
      <c r="J672" s="75">
        <v>-4570</v>
      </c>
      <c r="K672" s="75">
        <v>24210.75</v>
      </c>
      <c r="L672" s="75">
        <v>-9883.44</v>
      </c>
      <c r="M672" s="75">
        <v>175.94</v>
      </c>
      <c r="N672" s="75">
        <v>-15805.920000000002</v>
      </c>
      <c r="O672" s="75">
        <v>15293.6</v>
      </c>
      <c r="P672" s="75">
        <v>8582.4599999999991</v>
      </c>
      <c r="Q672" s="75">
        <v>66982.86</v>
      </c>
      <c r="R672" s="75">
        <v>84986.25</v>
      </c>
    </row>
    <row r="673" spans="1:18" x14ac:dyDescent="0.3">
      <c r="A673">
        <v>656</v>
      </c>
      <c r="B673" s="19">
        <v>49.082500000000003</v>
      </c>
      <c r="C673" s="19">
        <v>32.881399999999999</v>
      </c>
      <c r="D673" s="19">
        <v>12.012700000000001</v>
      </c>
      <c r="E673" s="19">
        <v>262.93990000000002</v>
      </c>
      <c r="F673" s="19">
        <v>15.630800000000001</v>
      </c>
      <c r="G673" s="19">
        <v>352.67759999999998</v>
      </c>
      <c r="H673" s="19">
        <v>4707.3796000000002</v>
      </c>
      <c r="I673" s="19">
        <v>8248.4462000000003</v>
      </c>
      <c r="J673" s="75">
        <v>-9950</v>
      </c>
      <c r="K673" s="75">
        <v>2319.9</v>
      </c>
      <c r="L673" s="75">
        <v>29543.759999999998</v>
      </c>
      <c r="M673" s="75">
        <v>-12388.38</v>
      </c>
      <c r="N673" s="75">
        <v>35.760000000000005</v>
      </c>
      <c r="O673" s="75">
        <v>-48518.399999999994</v>
      </c>
      <c r="P673" s="75">
        <v>41923.68</v>
      </c>
      <c r="Q673" s="75">
        <v>-31876.280000000002</v>
      </c>
      <c r="R673" s="75">
        <v>-28909.960000000003</v>
      </c>
    </row>
    <row r="674" spans="1:18" x14ac:dyDescent="0.3">
      <c r="A674">
        <v>657</v>
      </c>
      <c r="B674" s="19">
        <v>49.361899999999999</v>
      </c>
      <c r="C674" s="19">
        <v>32.479300000000002</v>
      </c>
      <c r="D674" s="19">
        <v>11.702199999999999</v>
      </c>
      <c r="E674" s="19">
        <v>248.6266</v>
      </c>
      <c r="F674" s="19">
        <v>15.4254</v>
      </c>
      <c r="G674" s="19">
        <v>372.37979999999999</v>
      </c>
      <c r="H674" s="19">
        <v>4471.8265000000001</v>
      </c>
      <c r="I674" s="19">
        <v>8464.3037999999997</v>
      </c>
      <c r="J674" s="75">
        <v>-4362</v>
      </c>
      <c r="K674" s="75">
        <v>-9139.9499999999989</v>
      </c>
      <c r="L674" s="75">
        <v>1971.3600000000001</v>
      </c>
      <c r="M674" s="75">
        <v>-66778.92</v>
      </c>
      <c r="N674" s="75">
        <v>-9145.6200000000008</v>
      </c>
      <c r="O674" s="75">
        <v>20439.300000000003</v>
      </c>
      <c r="P674" s="75">
        <v>-28742.25</v>
      </c>
      <c r="Q674" s="75">
        <v>11295.24</v>
      </c>
      <c r="R674" s="75">
        <v>-84462.839999999982</v>
      </c>
    </row>
    <row r="675" spans="1:18" x14ac:dyDescent="0.3">
      <c r="A675">
        <v>658</v>
      </c>
      <c r="B675" s="19">
        <v>49.856900000000003</v>
      </c>
      <c r="C675" s="19">
        <v>32.7318</v>
      </c>
      <c r="D675" s="19">
        <v>11.5909</v>
      </c>
      <c r="E675" s="19">
        <v>261.45909999999998</v>
      </c>
      <c r="F675" s="19">
        <v>15.365399999999999</v>
      </c>
      <c r="G675" s="19">
        <v>366.9502</v>
      </c>
      <c r="H675" s="19">
        <v>4679.5178999999998</v>
      </c>
      <c r="I675" s="19">
        <v>8430.3520000000008</v>
      </c>
      <c r="J675" s="75">
        <v>5538</v>
      </c>
      <c r="K675" s="75">
        <v>-1943.6999999999998</v>
      </c>
      <c r="L675" s="75">
        <v>-7912.08</v>
      </c>
      <c r="M675" s="75">
        <v>-18015.419999999998</v>
      </c>
      <c r="N675" s="75">
        <v>-11827.62</v>
      </c>
      <c r="O675" s="75">
        <v>1435.7</v>
      </c>
      <c r="P675" s="75">
        <v>33565.17</v>
      </c>
      <c r="Q675" s="75">
        <v>4504.88</v>
      </c>
      <c r="R675" s="75">
        <v>5344.9299999999994</v>
      </c>
    </row>
    <row r="676" spans="1:18" x14ac:dyDescent="0.3">
      <c r="A676">
        <v>659</v>
      </c>
      <c r="B676" s="19">
        <v>49.693300000000001</v>
      </c>
      <c r="C676" s="19">
        <v>32.560400000000001</v>
      </c>
      <c r="D676" s="19">
        <v>11.3436</v>
      </c>
      <c r="E676" s="19">
        <v>273.7312</v>
      </c>
      <c r="F676" s="19">
        <v>15.4514</v>
      </c>
      <c r="G676" s="19">
        <v>364.86079999999998</v>
      </c>
      <c r="H676" s="19">
        <v>4692.5164000000004</v>
      </c>
      <c r="I676" s="19">
        <v>8941.5324000000001</v>
      </c>
      <c r="J676" s="75">
        <v>2266</v>
      </c>
      <c r="K676" s="75">
        <v>-6828.6</v>
      </c>
      <c r="L676" s="75">
        <v>-29872.32</v>
      </c>
      <c r="M676" s="75">
        <v>28618.560000000001</v>
      </c>
      <c r="N676" s="75">
        <v>-7983.42</v>
      </c>
      <c r="O676" s="75">
        <v>-5877.2</v>
      </c>
      <c r="P676" s="75">
        <v>37464.720000000001</v>
      </c>
      <c r="Q676" s="75">
        <v>106740.95999999999</v>
      </c>
      <c r="R676" s="75">
        <v>124528.7</v>
      </c>
    </row>
    <row r="677" spans="1:18" x14ac:dyDescent="0.3">
      <c r="A677">
        <v>660</v>
      </c>
      <c r="B677" s="19">
        <v>50.3232</v>
      </c>
      <c r="C677" s="19">
        <v>33.254199999999997</v>
      </c>
      <c r="D677" s="19">
        <v>11.9391</v>
      </c>
      <c r="E677" s="19">
        <v>270.72910000000002</v>
      </c>
      <c r="F677" s="19">
        <v>15.759</v>
      </c>
      <c r="G677" s="19">
        <v>365.17739999999998</v>
      </c>
      <c r="H677" s="19">
        <v>4450.1495999999997</v>
      </c>
      <c r="I677" s="19">
        <v>8077.3222999999998</v>
      </c>
      <c r="J677" s="75">
        <v>14864</v>
      </c>
      <c r="K677" s="75">
        <v>12944.699999999999</v>
      </c>
      <c r="L677" s="75">
        <v>23008.079999999998</v>
      </c>
      <c r="M677" s="75">
        <v>17210.579999999998</v>
      </c>
      <c r="N677" s="75">
        <v>5766.3</v>
      </c>
      <c r="O677" s="75">
        <v>-4769.1000000000004</v>
      </c>
      <c r="P677" s="75">
        <v>-35245.32</v>
      </c>
      <c r="Q677" s="75">
        <v>-66101.06</v>
      </c>
      <c r="R677" s="75">
        <v>-32321.82</v>
      </c>
    </row>
    <row r="678" spans="1:18" x14ac:dyDescent="0.3">
      <c r="A678">
        <v>661</v>
      </c>
      <c r="B678" s="19">
        <v>49.959200000000003</v>
      </c>
      <c r="C678" s="19">
        <v>33.034700000000001</v>
      </c>
      <c r="D678" s="19">
        <v>11.576499999999999</v>
      </c>
      <c r="E678" s="19">
        <v>261.03429999999997</v>
      </c>
      <c r="F678" s="19">
        <v>16.0032</v>
      </c>
      <c r="G678" s="19">
        <v>360.3897</v>
      </c>
      <c r="H678" s="19">
        <v>4610.1818000000003</v>
      </c>
      <c r="I678" s="19">
        <v>8480.9694999999992</v>
      </c>
      <c r="J678" s="75">
        <v>7584</v>
      </c>
      <c r="K678" s="75">
        <v>6688.95</v>
      </c>
      <c r="L678" s="75">
        <v>-9190.7999999999993</v>
      </c>
      <c r="M678" s="75">
        <v>-19629.66</v>
      </c>
      <c r="N678" s="75">
        <v>16682.039999999997</v>
      </c>
      <c r="O678" s="75">
        <v>-21526.05</v>
      </c>
      <c r="P678" s="75">
        <v>12764.34</v>
      </c>
      <c r="Q678" s="75">
        <v>14628.380000000001</v>
      </c>
      <c r="R678" s="75">
        <v>8001.2000000000007</v>
      </c>
    </row>
    <row r="679" spans="1:18" x14ac:dyDescent="0.3">
      <c r="A679">
        <v>662</v>
      </c>
      <c r="B679" s="19">
        <v>49.612299999999998</v>
      </c>
      <c r="C679" s="19">
        <v>33.352200000000003</v>
      </c>
      <c r="D679" s="19">
        <v>11.5907</v>
      </c>
      <c r="E679" s="19">
        <v>274.43439999999998</v>
      </c>
      <c r="F679" s="19">
        <v>15.6282</v>
      </c>
      <c r="G679" s="19">
        <v>364.72</v>
      </c>
      <c r="H679" s="19">
        <v>4637.9624000000003</v>
      </c>
      <c r="I679" s="19">
        <v>8888.5876000000007</v>
      </c>
      <c r="J679" s="75">
        <v>646</v>
      </c>
      <c r="K679" s="75">
        <v>15737.7</v>
      </c>
      <c r="L679" s="75">
        <v>-7929.84</v>
      </c>
      <c r="M679" s="75">
        <v>31290.720000000005</v>
      </c>
      <c r="N679" s="75">
        <v>-80.459999999999994</v>
      </c>
      <c r="O679" s="75">
        <v>-6370</v>
      </c>
      <c r="P679" s="75">
        <v>21098.52</v>
      </c>
      <c r="Q679" s="75">
        <v>96152</v>
      </c>
      <c r="R679" s="75">
        <v>150544.64000000001</v>
      </c>
    </row>
    <row r="680" spans="1:18" x14ac:dyDescent="0.3">
      <c r="A680">
        <v>663</v>
      </c>
      <c r="B680" s="19">
        <v>49.670299999999997</v>
      </c>
      <c r="C680" s="19">
        <v>32.372799999999998</v>
      </c>
      <c r="D680" s="19">
        <v>11.4841</v>
      </c>
      <c r="E680" s="19">
        <v>267.029</v>
      </c>
      <c r="F680" s="19">
        <v>15.325799999999999</v>
      </c>
      <c r="G680" s="19">
        <v>366.0136</v>
      </c>
      <c r="H680" s="19">
        <v>4715.1013000000003</v>
      </c>
      <c r="I680" s="19">
        <v>8582.6615000000002</v>
      </c>
      <c r="J680" s="75">
        <v>1806</v>
      </c>
      <c r="K680" s="75">
        <v>-12175.2</v>
      </c>
      <c r="L680" s="75">
        <v>-17395.919999999998</v>
      </c>
      <c r="M680" s="75">
        <v>3150.2</v>
      </c>
      <c r="N680" s="75">
        <v>-13597.740000000002</v>
      </c>
      <c r="O680" s="75">
        <v>-1842.3999999999999</v>
      </c>
      <c r="P680" s="75">
        <v>44240.189999999995</v>
      </c>
      <c r="Q680" s="75">
        <v>34966.78</v>
      </c>
      <c r="R680" s="75">
        <v>39151.909999999989</v>
      </c>
    </row>
    <row r="681" spans="1:18" x14ac:dyDescent="0.3">
      <c r="A681">
        <v>664</v>
      </c>
      <c r="B681" s="19">
        <v>49.178100000000001</v>
      </c>
      <c r="C681" s="19">
        <v>32.175699999999999</v>
      </c>
      <c r="D681" s="19">
        <v>11.586600000000001</v>
      </c>
      <c r="E681" s="19">
        <v>269.21129999999999</v>
      </c>
      <c r="F681" s="19">
        <v>15.7186</v>
      </c>
      <c r="G681" s="19">
        <v>366.48430000000002</v>
      </c>
      <c r="H681" s="19">
        <v>4517.8667999999998</v>
      </c>
      <c r="I681" s="19">
        <v>8388.3502000000008</v>
      </c>
      <c r="J681" s="75">
        <v>-8038</v>
      </c>
      <c r="K681" s="75">
        <v>-17792.55</v>
      </c>
      <c r="L681" s="75">
        <v>-8293.92</v>
      </c>
      <c r="M681" s="75">
        <v>11442.939999999999</v>
      </c>
      <c r="N681" s="75">
        <v>3960.42</v>
      </c>
      <c r="O681" s="75">
        <v>-194.95</v>
      </c>
      <c r="P681" s="75">
        <v>-14930.16</v>
      </c>
      <c r="Q681" s="75">
        <v>-3895.48</v>
      </c>
      <c r="R681" s="75">
        <v>-37741.700000000004</v>
      </c>
    </row>
    <row r="682" spans="1:18" x14ac:dyDescent="0.3">
      <c r="A682">
        <v>665</v>
      </c>
      <c r="B682" s="19">
        <v>50.108400000000003</v>
      </c>
      <c r="C682" s="19">
        <v>32.731999999999999</v>
      </c>
      <c r="D682" s="19">
        <v>11.6945</v>
      </c>
      <c r="E682" s="19">
        <v>264.7817</v>
      </c>
      <c r="F682" s="19">
        <v>15.7158</v>
      </c>
      <c r="G682" s="19">
        <v>362.83609999999999</v>
      </c>
      <c r="H682" s="19">
        <v>4591.6169</v>
      </c>
      <c r="I682" s="19">
        <v>8395.3256000000001</v>
      </c>
      <c r="J682" s="75">
        <v>10568</v>
      </c>
      <c r="K682" s="75">
        <v>-1938.0000000000002</v>
      </c>
      <c r="L682" s="75">
        <v>1287.6000000000001</v>
      </c>
      <c r="M682" s="75">
        <v>-5389.54</v>
      </c>
      <c r="N682" s="75">
        <v>3835.26</v>
      </c>
      <c r="O682" s="75">
        <v>-12963.65</v>
      </c>
      <c r="P682" s="75">
        <v>7194.87</v>
      </c>
      <c r="Q682" s="75">
        <v>-2500.4</v>
      </c>
      <c r="R682" s="75">
        <v>94.139999999999873</v>
      </c>
    </row>
    <row r="683" spans="1:18" x14ac:dyDescent="0.3">
      <c r="A683">
        <v>666</v>
      </c>
      <c r="B683" s="19">
        <v>49.351900000000001</v>
      </c>
      <c r="C683" s="19">
        <v>32.208300000000001</v>
      </c>
      <c r="D683" s="19">
        <v>11.3573</v>
      </c>
      <c r="E683" s="19">
        <v>270.70479999999998</v>
      </c>
      <c r="F683" s="19">
        <v>15.118</v>
      </c>
      <c r="G683" s="19">
        <v>362.11660000000001</v>
      </c>
      <c r="H683" s="19">
        <v>4797.3478999999998</v>
      </c>
      <c r="I683" s="19">
        <v>8074.1399000000001</v>
      </c>
      <c r="J683" s="75">
        <v>-4562</v>
      </c>
      <c r="K683" s="75">
        <v>-16863.45</v>
      </c>
      <c r="L683" s="75">
        <v>-28655.759999999998</v>
      </c>
      <c r="M683" s="75">
        <v>17118.240000000002</v>
      </c>
      <c r="N683" s="75">
        <v>-22886.400000000001</v>
      </c>
      <c r="O683" s="75">
        <v>-15481.9</v>
      </c>
      <c r="P683" s="75">
        <v>68914.17</v>
      </c>
      <c r="Q683" s="75">
        <v>-66737.540000000008</v>
      </c>
      <c r="R683" s="75">
        <v>-69154.640000000014</v>
      </c>
    </row>
    <row r="684" spans="1:18" x14ac:dyDescent="0.3">
      <c r="A684">
        <v>667</v>
      </c>
      <c r="B684" s="19">
        <v>49.6633</v>
      </c>
      <c r="C684" s="19">
        <v>32.281300000000002</v>
      </c>
      <c r="D684" s="19">
        <v>11.5677</v>
      </c>
      <c r="E684" s="19">
        <v>256.63049999999998</v>
      </c>
      <c r="F684" s="19">
        <v>15.9033</v>
      </c>
      <c r="G684" s="19">
        <v>367.97300000000001</v>
      </c>
      <c r="H684" s="19">
        <v>4597.5003999999999</v>
      </c>
      <c r="I684" s="19">
        <v>7661.3588</v>
      </c>
      <c r="J684" s="75">
        <v>1666</v>
      </c>
      <c r="K684" s="75">
        <v>-14782.95</v>
      </c>
      <c r="L684" s="75">
        <v>-9972.24</v>
      </c>
      <c r="M684" s="75">
        <v>-36364.1</v>
      </c>
      <c r="N684" s="75">
        <v>12216.51</v>
      </c>
      <c r="O684" s="75">
        <v>5015.5</v>
      </c>
      <c r="P684" s="75">
        <v>8959.92</v>
      </c>
      <c r="Q684" s="75">
        <v>-149293.76000000001</v>
      </c>
      <c r="R684" s="75">
        <v>-182555.12</v>
      </c>
    </row>
    <row r="685" spans="1:18" x14ac:dyDescent="0.3">
      <c r="A685">
        <v>668</v>
      </c>
      <c r="B685" s="19">
        <v>49.659700000000001</v>
      </c>
      <c r="C685" s="19">
        <v>32.768799999999999</v>
      </c>
      <c r="D685" s="19">
        <v>11.583399999999999</v>
      </c>
      <c r="E685" s="19">
        <v>267.52719999999999</v>
      </c>
      <c r="F685" s="19">
        <v>15.804500000000001</v>
      </c>
      <c r="G685" s="19">
        <v>362.54469999999998</v>
      </c>
      <c r="H685" s="19">
        <v>4591.0167000000001</v>
      </c>
      <c r="I685" s="19">
        <v>9024.4310999999998</v>
      </c>
      <c r="J685" s="75">
        <v>1593.9999999999998</v>
      </c>
      <c r="K685" s="75">
        <v>-889.19999999999993</v>
      </c>
      <c r="L685" s="75">
        <v>-8578.08</v>
      </c>
      <c r="M685" s="75">
        <v>5043.3599999999997</v>
      </c>
      <c r="N685" s="75">
        <v>7800.15</v>
      </c>
      <c r="O685" s="75">
        <v>-13983.55</v>
      </c>
      <c r="P685" s="75">
        <v>7014.8099999999995</v>
      </c>
      <c r="Q685" s="75">
        <v>123320.70000000001</v>
      </c>
      <c r="R685" s="75">
        <v>121322.19000000002</v>
      </c>
    </row>
    <row r="686" spans="1:18" x14ac:dyDescent="0.3">
      <c r="A686">
        <v>669</v>
      </c>
      <c r="B686" s="19">
        <v>49.866700000000002</v>
      </c>
      <c r="C686" s="19">
        <v>33.2453</v>
      </c>
      <c r="D686" s="19">
        <v>11.852399999999999</v>
      </c>
      <c r="E686" s="19">
        <v>274.36439999999999</v>
      </c>
      <c r="F686" s="19">
        <v>15.7319</v>
      </c>
      <c r="G686" s="19">
        <v>371.3125</v>
      </c>
      <c r="H686" s="19">
        <v>4464.0319</v>
      </c>
      <c r="I686" s="19">
        <v>8373.7590999999993</v>
      </c>
      <c r="J686" s="75">
        <v>5734</v>
      </c>
      <c r="K686" s="75">
        <v>12691.05</v>
      </c>
      <c r="L686" s="75">
        <v>15309.119999999999</v>
      </c>
      <c r="M686" s="75">
        <v>31024.720000000001</v>
      </c>
      <c r="N686" s="75">
        <v>4554.93</v>
      </c>
      <c r="O686" s="75">
        <v>16703.75</v>
      </c>
      <c r="P686" s="75">
        <v>-31080.629999999997</v>
      </c>
      <c r="Q686" s="75">
        <v>-6813.7</v>
      </c>
      <c r="R686" s="75">
        <v>48123.240000000013</v>
      </c>
    </row>
    <row r="687" spans="1:18" x14ac:dyDescent="0.3">
      <c r="A687">
        <v>670</v>
      </c>
      <c r="B687" s="19">
        <v>49.797499999999999</v>
      </c>
      <c r="C687" s="19">
        <v>32.997399999999999</v>
      </c>
      <c r="D687" s="19">
        <v>12.0227</v>
      </c>
      <c r="E687" s="19">
        <v>259.71429999999998</v>
      </c>
      <c r="F687" s="19">
        <v>15.301</v>
      </c>
      <c r="G687" s="19">
        <v>367.14299999999997</v>
      </c>
      <c r="H687" s="19">
        <v>4498.1121999999996</v>
      </c>
      <c r="I687" s="19">
        <v>8004.6010999999999</v>
      </c>
      <c r="J687" s="75">
        <v>4350</v>
      </c>
      <c r="K687" s="75">
        <v>5625.9</v>
      </c>
      <c r="L687" s="75">
        <v>30431.760000000002</v>
      </c>
      <c r="M687" s="75">
        <v>-24645.66</v>
      </c>
      <c r="N687" s="75">
        <v>-14706.300000000001</v>
      </c>
      <c r="O687" s="75">
        <v>2110.5</v>
      </c>
      <c r="P687" s="75">
        <v>-20856.54</v>
      </c>
      <c r="Q687" s="75">
        <v>-80645.3</v>
      </c>
      <c r="R687" s="75">
        <v>-98335.64</v>
      </c>
    </row>
    <row r="688" spans="1:18" x14ac:dyDescent="0.3">
      <c r="A688">
        <v>671</v>
      </c>
      <c r="B688" s="19">
        <v>49.763199999999998</v>
      </c>
      <c r="C688" s="19">
        <v>33.134799999999998</v>
      </c>
      <c r="D688" s="19">
        <v>11.5764</v>
      </c>
      <c r="E688" s="19">
        <v>269.08609999999999</v>
      </c>
      <c r="F688" s="19">
        <v>15.5779</v>
      </c>
      <c r="G688" s="19">
        <v>366.91370000000001</v>
      </c>
      <c r="H688" s="19">
        <v>4496.6108000000004</v>
      </c>
      <c r="I688" s="19">
        <v>8663.7343999999994</v>
      </c>
      <c r="J688" s="75">
        <v>3664</v>
      </c>
      <c r="K688" s="75">
        <v>9541.7999999999993</v>
      </c>
      <c r="L688" s="75">
        <v>-9199.68</v>
      </c>
      <c r="M688" s="75">
        <v>10967.18</v>
      </c>
      <c r="N688" s="75">
        <v>-2328.87</v>
      </c>
      <c r="O688" s="75">
        <v>1307.9499999999998</v>
      </c>
      <c r="P688" s="75">
        <v>-21306.959999999999</v>
      </c>
      <c r="Q688" s="75">
        <v>51181.36</v>
      </c>
      <c r="R688" s="75">
        <v>43826.78</v>
      </c>
    </row>
    <row r="689" spans="1:18" x14ac:dyDescent="0.3">
      <c r="A689">
        <v>672</v>
      </c>
      <c r="B689" s="19">
        <v>49.857599999999998</v>
      </c>
      <c r="C689" s="19">
        <v>31.977799999999998</v>
      </c>
      <c r="D689" s="19">
        <v>12.027699999999999</v>
      </c>
      <c r="E689" s="19">
        <v>257.36250000000001</v>
      </c>
      <c r="F689" s="19">
        <v>15.9206</v>
      </c>
      <c r="G689" s="19">
        <v>362.73610000000002</v>
      </c>
      <c r="H689" s="19">
        <v>4677.6503000000002</v>
      </c>
      <c r="I689" s="19">
        <v>8270.15</v>
      </c>
      <c r="J689" s="75">
        <v>5552</v>
      </c>
      <c r="K689" s="75">
        <v>-23432.7</v>
      </c>
      <c r="L689" s="75">
        <v>30875.760000000002</v>
      </c>
      <c r="M689" s="75">
        <v>-33582.5</v>
      </c>
      <c r="N689" s="75">
        <v>12989.820000000002</v>
      </c>
      <c r="O689" s="75">
        <v>-13313.65</v>
      </c>
      <c r="P689" s="75">
        <v>33004.89</v>
      </c>
      <c r="Q689" s="75">
        <v>-27535.520000000004</v>
      </c>
      <c r="R689" s="75">
        <v>-15441.900000000001</v>
      </c>
    </row>
    <row r="690" spans="1:18" x14ac:dyDescent="0.3">
      <c r="A690">
        <v>673</v>
      </c>
      <c r="B690" s="19">
        <v>49.275799999999997</v>
      </c>
      <c r="C690" s="19">
        <v>32.4099</v>
      </c>
      <c r="D690" s="19">
        <v>11.6082</v>
      </c>
      <c r="E690" s="19">
        <v>248.65799999999999</v>
      </c>
      <c r="F690" s="19">
        <v>15.2027</v>
      </c>
      <c r="G690" s="19">
        <v>367.93220000000002</v>
      </c>
      <c r="H690" s="19">
        <v>4524.9892</v>
      </c>
      <c r="I690" s="19">
        <v>9339.1164000000008</v>
      </c>
      <c r="J690" s="75">
        <v>-6084.0000000000009</v>
      </c>
      <c r="K690" s="75">
        <v>-11117.85</v>
      </c>
      <c r="L690" s="75">
        <v>-6375.84</v>
      </c>
      <c r="M690" s="75">
        <v>-66659.600000000006</v>
      </c>
      <c r="N690" s="75">
        <v>-19100.310000000001</v>
      </c>
      <c r="O690" s="75">
        <v>4872.7000000000007</v>
      </c>
      <c r="P690" s="75">
        <v>-12793.439999999999</v>
      </c>
      <c r="Q690" s="75">
        <v>186257.76</v>
      </c>
      <c r="R690" s="75">
        <v>68999.42</v>
      </c>
    </row>
    <row r="691" spans="1:18" x14ac:dyDescent="0.3">
      <c r="A691">
        <v>674</v>
      </c>
      <c r="B691" s="19">
        <v>49.607700000000001</v>
      </c>
      <c r="C691" s="19">
        <v>32.886600000000001</v>
      </c>
      <c r="D691" s="19">
        <v>11.5009</v>
      </c>
      <c r="E691" s="19">
        <v>254.60679999999999</v>
      </c>
      <c r="F691" s="19">
        <v>15.9145</v>
      </c>
      <c r="G691" s="19">
        <v>373.50240000000002</v>
      </c>
      <c r="H691" s="19">
        <v>4564.1710000000003</v>
      </c>
      <c r="I691" s="19">
        <v>8466.9123999999993</v>
      </c>
      <c r="J691" s="75">
        <v>554</v>
      </c>
      <c r="K691" s="75">
        <v>2468.1</v>
      </c>
      <c r="L691" s="75">
        <v>-15904.08</v>
      </c>
      <c r="M691" s="75">
        <v>-44054.159999999996</v>
      </c>
      <c r="N691" s="75">
        <v>12717.15</v>
      </c>
      <c r="O691" s="75">
        <v>24368.399999999998</v>
      </c>
      <c r="P691" s="75">
        <v>-1038.9000000000001</v>
      </c>
      <c r="Q691" s="75">
        <v>11816.960000000001</v>
      </c>
      <c r="R691" s="75">
        <v>-9072.5300000000007</v>
      </c>
    </row>
    <row r="692" spans="1:18" x14ac:dyDescent="0.3">
      <c r="A692">
        <v>675</v>
      </c>
      <c r="B692" s="19">
        <v>49.563899999999997</v>
      </c>
      <c r="C692" s="19">
        <v>33.872199999999999</v>
      </c>
      <c r="D692" s="19">
        <v>11.5418</v>
      </c>
      <c r="E692" s="19">
        <v>242.167</v>
      </c>
      <c r="F692" s="19">
        <v>15.6408</v>
      </c>
      <c r="G692" s="19">
        <v>366.3073</v>
      </c>
      <c r="H692" s="19">
        <v>4518.9179000000004</v>
      </c>
      <c r="I692" s="19">
        <v>8449.6772999999994</v>
      </c>
      <c r="J692" s="75">
        <v>-322</v>
      </c>
      <c r="K692" s="75">
        <v>30557.7</v>
      </c>
      <c r="L692" s="75">
        <v>-12272.16</v>
      </c>
      <c r="M692" s="75">
        <v>-91325.400000000009</v>
      </c>
      <c r="N692" s="75">
        <v>482.76000000000005</v>
      </c>
      <c r="O692" s="75">
        <v>-814.44999999999993</v>
      </c>
      <c r="P692" s="75">
        <v>-14614.83</v>
      </c>
      <c r="Q692" s="75">
        <v>8369.94</v>
      </c>
      <c r="R692" s="75">
        <v>-79938.440000000017</v>
      </c>
    </row>
    <row r="693" spans="1:18" x14ac:dyDescent="0.3">
      <c r="A693">
        <v>676</v>
      </c>
      <c r="B693" s="19">
        <v>49.624499999999998</v>
      </c>
      <c r="C693" s="19">
        <v>33.145899999999997</v>
      </c>
      <c r="D693" s="19">
        <v>11.8841</v>
      </c>
      <c r="E693" s="19">
        <v>262.98329999999999</v>
      </c>
      <c r="F693" s="19">
        <v>15.814399999999999</v>
      </c>
      <c r="G693" s="19">
        <v>369.2373</v>
      </c>
      <c r="H693" s="19">
        <v>4533.5595999999996</v>
      </c>
      <c r="I693" s="19">
        <v>8119.7945</v>
      </c>
      <c r="J693" s="75">
        <v>890</v>
      </c>
      <c r="K693" s="75">
        <v>9858.15</v>
      </c>
      <c r="L693" s="75">
        <v>18124.080000000002</v>
      </c>
      <c r="M693" s="75">
        <v>-12223.46</v>
      </c>
      <c r="N693" s="75">
        <v>8242.68</v>
      </c>
      <c r="O693" s="75">
        <v>9440.5499999999993</v>
      </c>
      <c r="P693" s="75">
        <v>-10222.32</v>
      </c>
      <c r="Q693" s="75">
        <v>-57606.619999999995</v>
      </c>
      <c r="R693" s="75">
        <v>-33496.939999999995</v>
      </c>
    </row>
    <row r="694" spans="1:18" x14ac:dyDescent="0.3">
      <c r="A694">
        <v>677</v>
      </c>
      <c r="B694" s="19">
        <v>49.3063</v>
      </c>
      <c r="C694" s="19">
        <v>32.3187</v>
      </c>
      <c r="D694" s="19">
        <v>11.8972</v>
      </c>
      <c r="E694" s="19">
        <v>270.37329999999997</v>
      </c>
      <c r="F694" s="19">
        <v>15.2842</v>
      </c>
      <c r="G694" s="19">
        <v>371.96039999999999</v>
      </c>
      <c r="H694" s="19">
        <v>4557.2574000000004</v>
      </c>
      <c r="I694" s="19">
        <v>9003.9056999999993</v>
      </c>
      <c r="J694" s="75">
        <v>-5474</v>
      </c>
      <c r="K694" s="75">
        <v>-13717.05</v>
      </c>
      <c r="L694" s="75">
        <v>19287.36</v>
      </c>
      <c r="M694" s="75">
        <v>15858.54</v>
      </c>
      <c r="N694" s="75">
        <v>-15457.26</v>
      </c>
      <c r="O694" s="75">
        <v>18971.399999999998</v>
      </c>
      <c r="P694" s="75">
        <v>-3112.98</v>
      </c>
      <c r="Q694" s="75">
        <v>119215.62</v>
      </c>
      <c r="R694" s="75">
        <v>135571.63</v>
      </c>
    </row>
    <row r="695" spans="1:18" x14ac:dyDescent="0.3">
      <c r="A695">
        <v>678</v>
      </c>
      <c r="B695" s="19">
        <v>49.463000000000001</v>
      </c>
      <c r="C695" s="19">
        <v>32.898299999999999</v>
      </c>
      <c r="D695" s="19">
        <v>12.008800000000001</v>
      </c>
      <c r="E695" s="19">
        <v>266.5111</v>
      </c>
      <c r="F695" s="19">
        <v>15.879099999999999</v>
      </c>
      <c r="G695" s="19">
        <v>361.22300000000001</v>
      </c>
      <c r="H695" s="19">
        <v>4503.4920000000002</v>
      </c>
      <c r="I695" s="19">
        <v>8228.7482</v>
      </c>
      <c r="J695" s="75">
        <v>-2340</v>
      </c>
      <c r="K695" s="75">
        <v>2801.55</v>
      </c>
      <c r="L695" s="75">
        <v>29197.439999999999</v>
      </c>
      <c r="M695" s="75">
        <v>1182.18</v>
      </c>
      <c r="N695" s="75">
        <v>11134.769999999999</v>
      </c>
      <c r="O695" s="75">
        <v>-18609.5</v>
      </c>
      <c r="P695" s="75">
        <v>-19242.599999999999</v>
      </c>
      <c r="Q695" s="75">
        <v>-35815.879999999997</v>
      </c>
      <c r="R695" s="75">
        <v>-31692.04</v>
      </c>
    </row>
    <row r="696" spans="1:18" x14ac:dyDescent="0.3">
      <c r="A696">
        <v>679</v>
      </c>
      <c r="B696" s="19">
        <v>49.389499999999998</v>
      </c>
      <c r="C696" s="19">
        <v>32.967199999999998</v>
      </c>
      <c r="D696" s="19">
        <v>11.6213</v>
      </c>
      <c r="E696" s="19">
        <v>270.35039999999998</v>
      </c>
      <c r="F696" s="19">
        <v>15.686</v>
      </c>
      <c r="G696" s="19">
        <v>370.54</v>
      </c>
      <c r="H696" s="19">
        <v>4626.4607999999998</v>
      </c>
      <c r="I696" s="19">
        <v>8670.8086000000003</v>
      </c>
      <c r="J696" s="75">
        <v>-3810</v>
      </c>
      <c r="K696" s="75">
        <v>4765.2</v>
      </c>
      <c r="L696" s="75">
        <v>-5212.5600000000004</v>
      </c>
      <c r="M696" s="75">
        <v>15771.52</v>
      </c>
      <c r="N696" s="75">
        <v>2503.2000000000003</v>
      </c>
      <c r="O696" s="75">
        <v>14000</v>
      </c>
      <c r="P696" s="75">
        <v>17648.04</v>
      </c>
      <c r="Q696" s="75">
        <v>52596.2</v>
      </c>
      <c r="R696" s="75">
        <v>98261.6</v>
      </c>
    </row>
    <row r="697" spans="1:18" x14ac:dyDescent="0.3">
      <c r="A697">
        <v>680</v>
      </c>
      <c r="B697" s="19">
        <v>50.372999999999998</v>
      </c>
      <c r="C697" s="19">
        <v>33.484299999999998</v>
      </c>
      <c r="D697" s="19">
        <v>11.3363</v>
      </c>
      <c r="E697" s="19">
        <v>269.7946</v>
      </c>
      <c r="F697" s="19">
        <v>15.9542</v>
      </c>
      <c r="G697" s="19">
        <v>365.80520000000001</v>
      </c>
      <c r="H697" s="19">
        <v>4673.8671000000004</v>
      </c>
      <c r="I697" s="19">
        <v>8248.9411999999993</v>
      </c>
      <c r="J697" s="75">
        <v>15860</v>
      </c>
      <c r="K697" s="75">
        <v>19502.55</v>
      </c>
      <c r="L697" s="75">
        <v>-30520.560000000001</v>
      </c>
      <c r="M697" s="75">
        <v>13659.48</v>
      </c>
      <c r="N697" s="75">
        <v>14491.74</v>
      </c>
      <c r="O697" s="75">
        <v>-2571.8000000000002</v>
      </c>
      <c r="P697" s="75">
        <v>31869.929999999997</v>
      </c>
      <c r="Q697" s="75">
        <v>-31777.280000000002</v>
      </c>
      <c r="R697" s="75">
        <v>30514.059999999994</v>
      </c>
    </row>
    <row r="698" spans="1:18" x14ac:dyDescent="0.3">
      <c r="A698">
        <v>681</v>
      </c>
      <c r="B698" s="19">
        <v>49.574199999999998</v>
      </c>
      <c r="C698" s="19">
        <v>32.780200000000001</v>
      </c>
      <c r="D698" s="19">
        <v>11.6099</v>
      </c>
      <c r="E698" s="19">
        <v>277.17239999999998</v>
      </c>
      <c r="F698" s="19">
        <v>16.022300000000001</v>
      </c>
      <c r="G698" s="19">
        <v>341.89460000000003</v>
      </c>
      <c r="H698" s="19">
        <v>4640.4022999999997</v>
      </c>
      <c r="I698" s="19">
        <v>8490.3312000000005</v>
      </c>
      <c r="J698" s="75">
        <v>-115.99999999999999</v>
      </c>
      <c r="K698" s="75">
        <v>-564.30000000000007</v>
      </c>
      <c r="L698" s="75">
        <v>-6224.8799999999992</v>
      </c>
      <c r="M698" s="75">
        <v>41695.120000000003</v>
      </c>
      <c r="N698" s="75">
        <v>17535.809999999998</v>
      </c>
      <c r="O698" s="75">
        <v>-86258.9</v>
      </c>
      <c r="P698" s="75">
        <v>21830.489999999998</v>
      </c>
      <c r="Q698" s="75">
        <v>16500.72</v>
      </c>
      <c r="R698" s="75">
        <v>4398.0600000000049</v>
      </c>
    </row>
    <row r="699" spans="1:18" x14ac:dyDescent="0.3">
      <c r="A699">
        <v>682</v>
      </c>
      <c r="B699" s="19">
        <v>49.643799999999999</v>
      </c>
      <c r="C699" s="19">
        <v>32.801900000000003</v>
      </c>
      <c r="D699" s="19">
        <v>11.6412</v>
      </c>
      <c r="E699" s="19">
        <v>268.44299999999998</v>
      </c>
      <c r="F699" s="19">
        <v>15.9016</v>
      </c>
      <c r="G699" s="19">
        <v>359.62580000000003</v>
      </c>
      <c r="H699" s="19">
        <v>4691.7448000000004</v>
      </c>
      <c r="I699" s="19">
        <v>8787.8169999999991</v>
      </c>
      <c r="J699" s="75">
        <v>1276</v>
      </c>
      <c r="K699" s="75">
        <v>54.15</v>
      </c>
      <c r="L699" s="75">
        <v>-3445.44</v>
      </c>
      <c r="M699" s="75">
        <v>8523.4</v>
      </c>
      <c r="N699" s="75">
        <v>12140.52</v>
      </c>
      <c r="O699" s="75">
        <v>-24199.7</v>
      </c>
      <c r="P699" s="75">
        <v>37233.24</v>
      </c>
      <c r="Q699" s="75">
        <v>75997.88</v>
      </c>
      <c r="R699" s="75">
        <v>107580.05</v>
      </c>
    </row>
    <row r="700" spans="1:18" x14ac:dyDescent="0.3">
      <c r="A700">
        <v>683</v>
      </c>
      <c r="B700" s="19">
        <v>49.516500000000001</v>
      </c>
      <c r="C700" s="19">
        <v>32.633200000000002</v>
      </c>
      <c r="D700" s="19">
        <v>11.664899999999999</v>
      </c>
      <c r="E700" s="19">
        <v>264.75299999999999</v>
      </c>
      <c r="F700" s="19">
        <v>15.3757</v>
      </c>
      <c r="G700" s="19">
        <v>365.77719999999999</v>
      </c>
      <c r="H700" s="19">
        <v>4502.5682999999999</v>
      </c>
      <c r="I700" s="19">
        <v>8085.5164999999997</v>
      </c>
      <c r="J700" s="75">
        <v>-1270</v>
      </c>
      <c r="K700" s="75">
        <v>-4753.8</v>
      </c>
      <c r="L700" s="75">
        <v>-1340.88</v>
      </c>
      <c r="M700" s="75">
        <v>-5498.6</v>
      </c>
      <c r="N700" s="75">
        <v>-11367.210000000001</v>
      </c>
      <c r="O700" s="75">
        <v>-2669.8</v>
      </c>
      <c r="P700" s="75">
        <v>-19519.710000000003</v>
      </c>
      <c r="Q700" s="75">
        <v>-64462.22</v>
      </c>
      <c r="R700" s="75">
        <v>-110882.22</v>
      </c>
    </row>
    <row r="701" spans="1:18" x14ac:dyDescent="0.3">
      <c r="A701">
        <v>684</v>
      </c>
      <c r="B701" s="19">
        <v>48.760399999999997</v>
      </c>
      <c r="C701" s="19">
        <v>32.755400000000002</v>
      </c>
      <c r="D701" s="19">
        <v>11.487500000000001</v>
      </c>
      <c r="E701" s="19">
        <v>269.53469999999999</v>
      </c>
      <c r="F701" s="19">
        <v>15.597799999999999</v>
      </c>
      <c r="G701" s="19">
        <v>378.50360000000001</v>
      </c>
      <c r="H701" s="19">
        <v>4637.9062999999996</v>
      </c>
      <c r="I701" s="19">
        <v>7945.5847999999996</v>
      </c>
      <c r="J701" s="75">
        <v>-16392</v>
      </c>
      <c r="K701" s="75">
        <v>-1271.0999999999999</v>
      </c>
      <c r="L701" s="75">
        <v>-17094</v>
      </c>
      <c r="M701" s="75">
        <v>12671.86</v>
      </c>
      <c r="N701" s="75">
        <v>-1439.34</v>
      </c>
      <c r="O701" s="75">
        <v>41872.6</v>
      </c>
      <c r="P701" s="75">
        <v>21081.69</v>
      </c>
      <c r="Q701" s="75">
        <v>-92448.56</v>
      </c>
      <c r="R701" s="75">
        <v>-53018.85</v>
      </c>
    </row>
    <row r="702" spans="1:18" x14ac:dyDescent="0.3">
      <c r="A702">
        <v>685</v>
      </c>
      <c r="B702" s="19">
        <v>49.4206</v>
      </c>
      <c r="C702" s="19">
        <v>33.206000000000003</v>
      </c>
      <c r="D702" s="19">
        <v>11.440200000000001</v>
      </c>
      <c r="E702" s="19">
        <v>267.67230000000001</v>
      </c>
      <c r="F702" s="19">
        <v>15.6815</v>
      </c>
      <c r="G702" s="19">
        <v>369.11989999999997</v>
      </c>
      <c r="H702" s="19">
        <v>4593.3716000000004</v>
      </c>
      <c r="I702" s="19">
        <v>7957.8635999999997</v>
      </c>
      <c r="J702" s="75">
        <v>-3187.9999999999995</v>
      </c>
      <c r="K702" s="75">
        <v>11571</v>
      </c>
      <c r="L702" s="75">
        <v>-21294.240000000002</v>
      </c>
      <c r="M702" s="75">
        <v>5594.74</v>
      </c>
      <c r="N702" s="75">
        <v>2302.0499999999997</v>
      </c>
      <c r="O702" s="75">
        <v>9029.65</v>
      </c>
      <c r="P702" s="75">
        <v>7721.28</v>
      </c>
      <c r="Q702" s="75">
        <v>-89992.8</v>
      </c>
      <c r="R702" s="75">
        <v>-78256.320000000007</v>
      </c>
    </row>
    <row r="703" spans="1:18" x14ac:dyDescent="0.3">
      <c r="A703">
        <v>686</v>
      </c>
      <c r="B703" s="19">
        <v>49.086599999999997</v>
      </c>
      <c r="C703" s="19">
        <v>33.403199999999998</v>
      </c>
      <c r="D703" s="19">
        <v>11.914899999999999</v>
      </c>
      <c r="E703" s="19">
        <v>286.89980000000003</v>
      </c>
      <c r="F703" s="19">
        <v>15.414</v>
      </c>
      <c r="G703" s="19">
        <v>369.61470000000003</v>
      </c>
      <c r="H703" s="19">
        <v>4555.4714999999997</v>
      </c>
      <c r="I703" s="19">
        <v>8655.7484999999997</v>
      </c>
      <c r="J703" s="75">
        <v>-9868</v>
      </c>
      <c r="K703" s="75">
        <v>17191.199999999997</v>
      </c>
      <c r="L703" s="75">
        <v>20859.12</v>
      </c>
      <c r="M703" s="75">
        <v>78659.240000000005</v>
      </c>
      <c r="N703" s="75">
        <v>-9655.2000000000007</v>
      </c>
      <c r="O703" s="75">
        <v>10761.45</v>
      </c>
      <c r="P703" s="75">
        <v>-3648.75</v>
      </c>
      <c r="Q703" s="75">
        <v>49584.18</v>
      </c>
      <c r="R703" s="75">
        <v>153883.24</v>
      </c>
    </row>
    <row r="704" spans="1:18" x14ac:dyDescent="0.3">
      <c r="A704">
        <v>687</v>
      </c>
      <c r="B704" s="19">
        <v>49.7241</v>
      </c>
      <c r="C704" s="19">
        <v>32.918399999999998</v>
      </c>
      <c r="D704" s="19">
        <v>11.608599999999999</v>
      </c>
      <c r="E704" s="19">
        <v>263.49160000000001</v>
      </c>
      <c r="F704" s="19">
        <v>15.6187</v>
      </c>
      <c r="G704" s="19">
        <v>369.79239999999999</v>
      </c>
      <c r="H704" s="19">
        <v>4559.2317999999996</v>
      </c>
      <c r="I704" s="19">
        <v>8044.1073999999999</v>
      </c>
      <c r="J704" s="75">
        <v>2882</v>
      </c>
      <c r="K704" s="75">
        <v>3374.4</v>
      </c>
      <c r="L704" s="75">
        <v>-6340.3200000000006</v>
      </c>
      <c r="M704" s="75">
        <v>-10291.92</v>
      </c>
      <c r="N704" s="75">
        <v>-505.10999999999996</v>
      </c>
      <c r="O704" s="75">
        <v>11383.400000000001</v>
      </c>
      <c r="P704" s="75">
        <v>-2520.6600000000003</v>
      </c>
      <c r="Q704" s="75">
        <v>-72744.039999999994</v>
      </c>
      <c r="R704" s="75">
        <v>-74762.25</v>
      </c>
    </row>
    <row r="705" spans="1:18" x14ac:dyDescent="0.3">
      <c r="A705">
        <v>688</v>
      </c>
      <c r="B705" s="19">
        <v>49.115699999999997</v>
      </c>
      <c r="C705" s="19">
        <v>33.634099999999997</v>
      </c>
      <c r="D705" s="19">
        <v>11.6075</v>
      </c>
      <c r="E705" s="19">
        <v>270.51749999999998</v>
      </c>
      <c r="F705" s="19">
        <v>15.6973</v>
      </c>
      <c r="G705" s="19">
        <v>371.85410000000002</v>
      </c>
      <c r="H705" s="19">
        <v>4552.4354000000003</v>
      </c>
      <c r="I705" s="19">
        <v>8390.8657999999996</v>
      </c>
      <c r="J705" s="75">
        <v>-9286</v>
      </c>
      <c r="K705" s="75">
        <v>23771.85</v>
      </c>
      <c r="L705" s="75">
        <v>-6438</v>
      </c>
      <c r="M705" s="75">
        <v>16406.5</v>
      </c>
      <c r="N705" s="75">
        <v>3008.31</v>
      </c>
      <c r="O705" s="75">
        <v>18599.349999999999</v>
      </c>
      <c r="P705" s="75">
        <v>-4559.58</v>
      </c>
      <c r="Q705" s="75">
        <v>-3392.36</v>
      </c>
      <c r="R705" s="75">
        <v>38110.069999999992</v>
      </c>
    </row>
    <row r="706" spans="1:18" x14ac:dyDescent="0.3">
      <c r="A706">
        <v>689</v>
      </c>
      <c r="B706" s="19">
        <v>49.190300000000001</v>
      </c>
      <c r="C706" s="19">
        <v>32.261699999999998</v>
      </c>
      <c r="D706" s="19">
        <v>11.486599999999999</v>
      </c>
      <c r="E706" s="19">
        <v>254.56829999999999</v>
      </c>
      <c r="F706" s="19">
        <v>15.28</v>
      </c>
      <c r="G706" s="19">
        <v>370.65170000000001</v>
      </c>
      <c r="H706" s="19">
        <v>4470.3222999999998</v>
      </c>
      <c r="I706" s="19">
        <v>8400.3047999999999</v>
      </c>
      <c r="J706" s="75">
        <v>-7794</v>
      </c>
      <c r="K706" s="75">
        <v>-15341.55</v>
      </c>
      <c r="L706" s="75">
        <v>-17173.919999999998</v>
      </c>
      <c r="M706" s="75">
        <v>-44200.46</v>
      </c>
      <c r="N706" s="75">
        <v>-15644.999999999998</v>
      </c>
      <c r="O706" s="75">
        <v>14390.949999999999</v>
      </c>
      <c r="P706" s="75">
        <v>-29193.510000000002</v>
      </c>
      <c r="Q706" s="75">
        <v>-1504.56</v>
      </c>
      <c r="R706" s="75">
        <v>-116462.04999999999</v>
      </c>
    </row>
    <row r="707" spans="1:18" x14ac:dyDescent="0.3">
      <c r="A707">
        <v>690</v>
      </c>
      <c r="B707" s="19">
        <v>49.417999999999999</v>
      </c>
      <c r="C707" s="19">
        <v>33.371000000000002</v>
      </c>
      <c r="D707" s="19">
        <v>11.4909</v>
      </c>
      <c r="E707" s="19">
        <v>272.22430000000003</v>
      </c>
      <c r="F707" s="19">
        <v>15.034700000000001</v>
      </c>
      <c r="G707" s="19">
        <v>356.40940000000001</v>
      </c>
      <c r="H707" s="19">
        <v>4348.6679000000004</v>
      </c>
      <c r="I707" s="19">
        <v>8544.2994999999992</v>
      </c>
      <c r="J707" s="75">
        <v>-3240</v>
      </c>
      <c r="K707" s="75">
        <v>16273.499999999998</v>
      </c>
      <c r="L707" s="75">
        <v>-16792.079999999998</v>
      </c>
      <c r="M707" s="75">
        <v>22892.34</v>
      </c>
      <c r="N707" s="75">
        <v>-26609.910000000003</v>
      </c>
      <c r="O707" s="75">
        <v>-35457.1</v>
      </c>
      <c r="P707" s="75">
        <v>-65689.83</v>
      </c>
      <c r="Q707" s="75">
        <v>27294.38</v>
      </c>
      <c r="R707" s="75">
        <v>-81328.7</v>
      </c>
    </row>
    <row r="708" spans="1:18" x14ac:dyDescent="0.3">
      <c r="A708">
        <v>691</v>
      </c>
      <c r="B708" s="19">
        <v>48.9938</v>
      </c>
      <c r="C708" s="19">
        <v>33.538600000000002</v>
      </c>
      <c r="D708" s="19">
        <v>12.057399999999999</v>
      </c>
      <c r="E708" s="19">
        <v>263.64690000000002</v>
      </c>
      <c r="F708" s="19">
        <v>15.448700000000001</v>
      </c>
      <c r="G708" s="19">
        <v>373.55419999999998</v>
      </c>
      <c r="H708" s="19">
        <v>4527.6324999999997</v>
      </c>
      <c r="I708" s="19">
        <v>8759.4115999999995</v>
      </c>
      <c r="J708" s="75">
        <v>-11724.000000000002</v>
      </c>
      <c r="K708" s="75">
        <v>21050.100000000002</v>
      </c>
      <c r="L708" s="75">
        <v>33513.120000000003</v>
      </c>
      <c r="M708" s="75">
        <v>-9701.7800000000007</v>
      </c>
      <c r="N708" s="75">
        <v>-8104.11</v>
      </c>
      <c r="O708" s="75">
        <v>24549.7</v>
      </c>
      <c r="P708" s="75">
        <v>-12000.45</v>
      </c>
      <c r="Q708" s="75">
        <v>70316.800000000003</v>
      </c>
      <c r="R708" s="75">
        <v>107899.38</v>
      </c>
    </row>
    <row r="709" spans="1:18" x14ac:dyDescent="0.3">
      <c r="A709">
        <v>692</v>
      </c>
      <c r="B709" s="19">
        <v>49.679900000000004</v>
      </c>
      <c r="C709" s="19">
        <v>32.623199999999997</v>
      </c>
      <c r="D709" s="19">
        <v>12.046099999999999</v>
      </c>
      <c r="E709" s="19">
        <v>247.0401</v>
      </c>
      <c r="F709" s="19">
        <v>14.8673</v>
      </c>
      <c r="G709" s="19">
        <v>367.55090000000001</v>
      </c>
      <c r="H709" s="19">
        <v>4705.2407000000003</v>
      </c>
      <c r="I709" s="19">
        <v>8668.8521000000001</v>
      </c>
      <c r="J709" s="75">
        <v>1998</v>
      </c>
      <c r="K709" s="75">
        <v>-5038.8</v>
      </c>
      <c r="L709" s="75">
        <v>32509.679999999997</v>
      </c>
      <c r="M709" s="75">
        <v>-72807.62</v>
      </c>
      <c r="N709" s="75">
        <v>-34092.69</v>
      </c>
      <c r="O709" s="75">
        <v>3538.1499999999996</v>
      </c>
      <c r="P709" s="75">
        <v>41282.009999999995</v>
      </c>
      <c r="Q709" s="75">
        <v>52204.899999999994</v>
      </c>
      <c r="R709" s="75">
        <v>19593.62999999999</v>
      </c>
    </row>
    <row r="710" spans="1:18" x14ac:dyDescent="0.3">
      <c r="A710">
        <v>693</v>
      </c>
      <c r="B710" s="19">
        <v>49.7819</v>
      </c>
      <c r="C710" s="19">
        <v>33.725900000000003</v>
      </c>
      <c r="D710" s="19">
        <v>11.328900000000001</v>
      </c>
      <c r="E710" s="19">
        <v>263.05200000000002</v>
      </c>
      <c r="F710" s="19">
        <v>15.2058</v>
      </c>
      <c r="G710" s="19">
        <v>372.9692</v>
      </c>
      <c r="H710" s="19">
        <v>4514.5600999999997</v>
      </c>
      <c r="I710" s="19">
        <v>8012.9386000000004</v>
      </c>
      <c r="J710" s="75">
        <v>4038</v>
      </c>
      <c r="K710" s="75">
        <v>26388.149999999998</v>
      </c>
      <c r="L710" s="75">
        <v>-31177.68</v>
      </c>
      <c r="M710" s="75">
        <v>-11962.4</v>
      </c>
      <c r="N710" s="75">
        <v>-18961.740000000002</v>
      </c>
      <c r="O710" s="75">
        <v>22502.2</v>
      </c>
      <c r="P710" s="75">
        <v>-15922.17</v>
      </c>
      <c r="Q710" s="75">
        <v>-78977.8</v>
      </c>
      <c r="R710" s="75">
        <v>-104073.44</v>
      </c>
    </row>
    <row r="711" spans="1:18" x14ac:dyDescent="0.3">
      <c r="A711">
        <v>694</v>
      </c>
      <c r="B711" s="19">
        <v>49.488900000000001</v>
      </c>
      <c r="C711" s="19">
        <v>32.6492</v>
      </c>
      <c r="D711" s="19">
        <v>11.5472</v>
      </c>
      <c r="E711" s="19">
        <v>266.95400000000001</v>
      </c>
      <c r="F711" s="19">
        <v>15.914899999999999</v>
      </c>
      <c r="G711" s="19">
        <v>373.73880000000003</v>
      </c>
      <c r="H711" s="19">
        <v>4566.7094999999999</v>
      </c>
      <c r="I711" s="19">
        <v>8273.2994999999992</v>
      </c>
      <c r="J711" s="75">
        <v>-1822</v>
      </c>
      <c r="K711" s="75">
        <v>-4297.7999999999993</v>
      </c>
      <c r="L711" s="75">
        <v>-11792.64</v>
      </c>
      <c r="M711" s="75">
        <v>2865.2</v>
      </c>
      <c r="N711" s="75">
        <v>12735.029999999999</v>
      </c>
      <c r="O711" s="75">
        <v>25195.8</v>
      </c>
      <c r="P711" s="75">
        <v>-277.35000000000002</v>
      </c>
      <c r="Q711" s="75">
        <v>-26905.62</v>
      </c>
      <c r="R711" s="75">
        <v>-4299.3799999999974</v>
      </c>
    </row>
    <row r="712" spans="1:18" x14ac:dyDescent="0.3">
      <c r="A712">
        <v>695</v>
      </c>
      <c r="B712" s="19">
        <v>49.468499999999999</v>
      </c>
      <c r="C712" s="19">
        <v>33.006300000000003</v>
      </c>
      <c r="D712" s="19">
        <v>11.0023</v>
      </c>
      <c r="E712" s="19">
        <v>268.59679999999997</v>
      </c>
      <c r="F712" s="19">
        <v>15.8095</v>
      </c>
      <c r="G712" s="19">
        <v>361.93290000000002</v>
      </c>
      <c r="H712" s="19">
        <v>4637.6563999999998</v>
      </c>
      <c r="I712" s="19">
        <v>8653.8876</v>
      </c>
      <c r="J712" s="75">
        <v>-2230</v>
      </c>
      <c r="K712" s="75">
        <v>5879.55</v>
      </c>
      <c r="L712" s="75">
        <v>-60179.759999999995</v>
      </c>
      <c r="M712" s="75">
        <v>9107.84</v>
      </c>
      <c r="N712" s="75">
        <v>8023.65</v>
      </c>
      <c r="O712" s="75">
        <v>-16124.85</v>
      </c>
      <c r="P712" s="75">
        <v>21006.720000000001</v>
      </c>
      <c r="Q712" s="75">
        <v>49212</v>
      </c>
      <c r="R712" s="75">
        <v>14695.150000000009</v>
      </c>
    </row>
    <row r="713" spans="1:18" x14ac:dyDescent="0.3">
      <c r="A713">
        <v>696</v>
      </c>
      <c r="B713" s="19">
        <v>49.372700000000002</v>
      </c>
      <c r="C713" s="19">
        <v>32.859499999999997</v>
      </c>
      <c r="D713" s="19">
        <v>11.4605</v>
      </c>
      <c r="E713" s="19">
        <v>279.16550000000001</v>
      </c>
      <c r="F713" s="19">
        <v>15.6876</v>
      </c>
      <c r="G713" s="19">
        <v>363.89949999999999</v>
      </c>
      <c r="H713" s="19">
        <v>4524.9768000000004</v>
      </c>
      <c r="I713" s="19">
        <v>7683.7494999999999</v>
      </c>
      <c r="J713" s="75">
        <v>-4146</v>
      </c>
      <c r="K713" s="75">
        <v>1695.75</v>
      </c>
      <c r="L713" s="75">
        <v>-19491.599999999999</v>
      </c>
      <c r="M713" s="75">
        <v>49268.9</v>
      </c>
      <c r="N713" s="75">
        <v>2574.7199999999998</v>
      </c>
      <c r="O713" s="75">
        <v>-9241.75</v>
      </c>
      <c r="P713" s="75">
        <v>-12797.160000000002</v>
      </c>
      <c r="Q713" s="75">
        <v>-144815.62</v>
      </c>
      <c r="R713" s="75">
        <v>-136952.75999999998</v>
      </c>
    </row>
    <row r="714" spans="1:18" x14ac:dyDescent="0.3">
      <c r="A714">
        <v>697</v>
      </c>
      <c r="B714" s="19">
        <v>49.779899999999998</v>
      </c>
      <c r="C714" s="19">
        <v>32.622500000000002</v>
      </c>
      <c r="D714" s="19">
        <v>11.6226</v>
      </c>
      <c r="E714" s="19">
        <v>279.05</v>
      </c>
      <c r="F714" s="19">
        <v>15.452299999999999</v>
      </c>
      <c r="G714" s="19">
        <v>363.30029999999999</v>
      </c>
      <c r="H714" s="19">
        <v>4469.6575999999995</v>
      </c>
      <c r="I714" s="19">
        <v>8349.1929</v>
      </c>
      <c r="J714" s="75">
        <v>3998</v>
      </c>
      <c r="K714" s="75">
        <v>-5058.75</v>
      </c>
      <c r="L714" s="75">
        <v>-5097.12</v>
      </c>
      <c r="M714" s="75">
        <v>48830</v>
      </c>
      <c r="N714" s="75">
        <v>-7943.19</v>
      </c>
      <c r="O714" s="75">
        <v>-11338.95</v>
      </c>
      <c r="P714" s="75">
        <v>-29392.92</v>
      </c>
      <c r="Q714" s="75">
        <v>-11726.94</v>
      </c>
      <c r="R714" s="75">
        <v>-17729.870000000003</v>
      </c>
    </row>
    <row r="715" spans="1:18" x14ac:dyDescent="0.3">
      <c r="A715">
        <v>698</v>
      </c>
      <c r="B715" s="19">
        <v>49.213000000000001</v>
      </c>
      <c r="C715" s="19">
        <v>32.759799999999998</v>
      </c>
      <c r="D715" s="19">
        <v>11.5967</v>
      </c>
      <c r="E715" s="19">
        <v>276.74939999999998</v>
      </c>
      <c r="F715" s="19">
        <v>15.769299999999999</v>
      </c>
      <c r="G715" s="19">
        <v>366.92329999999998</v>
      </c>
      <c r="H715" s="19">
        <v>4593.5050000000001</v>
      </c>
      <c r="I715" s="19">
        <v>8229.1959999999999</v>
      </c>
      <c r="J715" s="75">
        <v>-7340</v>
      </c>
      <c r="K715" s="75">
        <v>-1145.7</v>
      </c>
      <c r="L715" s="75">
        <v>-7397.04</v>
      </c>
      <c r="M715" s="75">
        <v>40087.72</v>
      </c>
      <c r="N715" s="75">
        <v>6226.71</v>
      </c>
      <c r="O715" s="75">
        <v>1341.55</v>
      </c>
      <c r="P715" s="75">
        <v>7761.2999999999993</v>
      </c>
      <c r="Q715" s="75">
        <v>-35726.32</v>
      </c>
      <c r="R715" s="75">
        <v>3808.2199999999939</v>
      </c>
    </row>
    <row r="716" spans="1:18" x14ac:dyDescent="0.3">
      <c r="A716">
        <v>699</v>
      </c>
      <c r="B716" s="19">
        <v>48.822499999999998</v>
      </c>
      <c r="C716" s="19">
        <v>33.088799999999999</v>
      </c>
      <c r="D716" s="19">
        <v>11.8222</v>
      </c>
      <c r="E716" s="19">
        <v>263.18099999999998</v>
      </c>
      <c r="F716" s="19">
        <v>15.4138</v>
      </c>
      <c r="G716" s="19">
        <v>369.58589999999998</v>
      </c>
      <c r="H716" s="19">
        <v>4550.4426999999996</v>
      </c>
      <c r="I716" s="19">
        <v>8651.0051999999996</v>
      </c>
      <c r="J716" s="75">
        <v>-15149.999999999998</v>
      </c>
      <c r="K716" s="75">
        <v>8230.7999999999993</v>
      </c>
      <c r="L716" s="75">
        <v>12627.359999999999</v>
      </c>
      <c r="M716" s="75">
        <v>-11472.2</v>
      </c>
      <c r="N716" s="75">
        <v>-9664.14</v>
      </c>
      <c r="O716" s="75">
        <v>10660.65</v>
      </c>
      <c r="P716" s="75">
        <v>-5157.3899999999994</v>
      </c>
      <c r="Q716" s="75">
        <v>48635.520000000004</v>
      </c>
      <c r="R716" s="75">
        <v>38710.600000000006</v>
      </c>
    </row>
    <row r="717" spans="1:18" x14ac:dyDescent="0.3">
      <c r="A717">
        <v>700</v>
      </c>
      <c r="B717" s="19">
        <v>50.070999999999998</v>
      </c>
      <c r="C717" s="19">
        <v>32.9863</v>
      </c>
      <c r="D717" s="19">
        <v>11.5907</v>
      </c>
      <c r="E717" s="19">
        <v>264.75349999999997</v>
      </c>
      <c r="F717" s="19">
        <v>15.664099999999999</v>
      </c>
      <c r="G717" s="19">
        <v>359.72800000000001</v>
      </c>
      <c r="H717" s="19">
        <v>4628.5434999999998</v>
      </c>
      <c r="I717" s="19">
        <v>8592.7698</v>
      </c>
      <c r="J717" s="75">
        <v>9820</v>
      </c>
      <c r="K717" s="75">
        <v>5309.55</v>
      </c>
      <c r="L717" s="75">
        <v>-7929.84</v>
      </c>
      <c r="M717" s="75">
        <v>-5496.7</v>
      </c>
      <c r="N717" s="75">
        <v>1524.27</v>
      </c>
      <c r="O717" s="75">
        <v>-23842</v>
      </c>
      <c r="P717" s="75">
        <v>18272.850000000002</v>
      </c>
      <c r="Q717" s="75">
        <v>36988.44</v>
      </c>
      <c r="R717" s="75">
        <v>34646.570000000007</v>
      </c>
    </row>
    <row r="718" spans="1:18" x14ac:dyDescent="0.3">
      <c r="A718">
        <v>701</v>
      </c>
      <c r="B718" s="19">
        <v>48.819099999999999</v>
      </c>
      <c r="C718" s="19">
        <v>32.797499999999999</v>
      </c>
      <c r="D718" s="19">
        <v>11.093999999999999</v>
      </c>
      <c r="E718" s="19">
        <v>267.56169999999997</v>
      </c>
      <c r="F718" s="19">
        <v>15.716799999999999</v>
      </c>
      <c r="G718" s="19">
        <v>367.9357</v>
      </c>
      <c r="H718" s="19">
        <v>4470.8876</v>
      </c>
      <c r="I718" s="19">
        <v>8833.2327000000005</v>
      </c>
      <c r="J718" s="75">
        <v>-15218</v>
      </c>
      <c r="K718" s="75">
        <v>-71.25</v>
      </c>
      <c r="L718" s="75">
        <v>-52036.799999999996</v>
      </c>
      <c r="M718" s="75">
        <v>5174.46</v>
      </c>
      <c r="N718" s="75">
        <v>3879.96</v>
      </c>
      <c r="O718" s="75">
        <v>4884.95</v>
      </c>
      <c r="P718" s="75">
        <v>-29023.919999999998</v>
      </c>
      <c r="Q718" s="75">
        <v>85081.02</v>
      </c>
      <c r="R718" s="75">
        <v>2670.4200000000128</v>
      </c>
    </row>
    <row r="719" spans="1:18" x14ac:dyDescent="0.3">
      <c r="A719">
        <v>702</v>
      </c>
      <c r="B719" s="19">
        <v>49.509700000000002</v>
      </c>
      <c r="C719" s="19">
        <v>31.469799999999999</v>
      </c>
      <c r="D719" s="19">
        <v>11.633900000000001</v>
      </c>
      <c r="E719" s="19">
        <v>252.2088</v>
      </c>
      <c r="F719" s="19">
        <v>16.254799999999999</v>
      </c>
      <c r="G719" s="19">
        <v>370.86419999999998</v>
      </c>
      <c r="H719" s="19">
        <v>4593.4134999999997</v>
      </c>
      <c r="I719" s="19">
        <v>8002.0334000000003</v>
      </c>
      <c r="J719" s="75">
        <v>-1406</v>
      </c>
      <c r="K719" s="75">
        <v>-37910.700000000004</v>
      </c>
      <c r="L719" s="75">
        <v>-4093.6800000000003</v>
      </c>
      <c r="M719" s="75">
        <v>-53166.559999999998</v>
      </c>
      <c r="N719" s="75">
        <v>27928.560000000001</v>
      </c>
      <c r="O719" s="75">
        <v>15134.7</v>
      </c>
      <c r="P719" s="75">
        <v>7733.8499999999995</v>
      </c>
      <c r="Q719" s="75">
        <v>-81158.84</v>
      </c>
      <c r="R719" s="75">
        <v>-126938.67000000001</v>
      </c>
    </row>
    <row r="720" spans="1:18" x14ac:dyDescent="0.3">
      <c r="A720">
        <v>703</v>
      </c>
      <c r="B720" s="19">
        <v>49.828499999999998</v>
      </c>
      <c r="C720" s="19">
        <v>32.9557</v>
      </c>
      <c r="D720" s="19">
        <v>11.5158</v>
      </c>
      <c r="E720" s="19">
        <v>255.72900000000001</v>
      </c>
      <c r="F720" s="19">
        <v>15.4879</v>
      </c>
      <c r="G720" s="19">
        <v>375.66039999999998</v>
      </c>
      <c r="H720" s="19">
        <v>4598.6511</v>
      </c>
      <c r="I720" s="19">
        <v>9061.7566000000006</v>
      </c>
      <c r="J720" s="75">
        <v>4970</v>
      </c>
      <c r="K720" s="75">
        <v>4437.45</v>
      </c>
      <c r="L720" s="75">
        <v>-14580.960000000001</v>
      </c>
      <c r="M720" s="75">
        <v>-39789.800000000003</v>
      </c>
      <c r="N720" s="75">
        <v>-6351.87</v>
      </c>
      <c r="O720" s="75">
        <v>31921.4</v>
      </c>
      <c r="P720" s="75">
        <v>9305.1299999999992</v>
      </c>
      <c r="Q720" s="75">
        <v>130785.79999999999</v>
      </c>
      <c r="R720" s="75">
        <v>120697.14999999998</v>
      </c>
    </row>
    <row r="721" spans="1:18" x14ac:dyDescent="0.3">
      <c r="A721">
        <v>704</v>
      </c>
      <c r="B721" s="19">
        <v>49.8504</v>
      </c>
      <c r="C721" s="19">
        <v>33.362299999999998</v>
      </c>
      <c r="D721" s="19">
        <v>12.1273</v>
      </c>
      <c r="E721" s="19">
        <v>273.60919999999999</v>
      </c>
      <c r="F721" s="19">
        <v>15.728899999999999</v>
      </c>
      <c r="G721" s="19">
        <v>370.03719999999998</v>
      </c>
      <c r="H721" s="19">
        <v>4599.7815000000001</v>
      </c>
      <c r="I721" s="19">
        <v>9345.1460999999999</v>
      </c>
      <c r="J721" s="75">
        <v>5407.9999999999991</v>
      </c>
      <c r="K721" s="75">
        <v>16025.550000000001</v>
      </c>
      <c r="L721" s="75">
        <v>39720.239999999998</v>
      </c>
      <c r="M721" s="75">
        <v>28154.959999999999</v>
      </c>
      <c r="N721" s="75">
        <v>4420.83</v>
      </c>
      <c r="O721" s="75">
        <v>12240.199999999999</v>
      </c>
      <c r="P721" s="75">
        <v>9644.25</v>
      </c>
      <c r="Q721" s="75">
        <v>187463.69999999998</v>
      </c>
      <c r="R721" s="75">
        <v>303077.73</v>
      </c>
    </row>
    <row r="722" spans="1:18" x14ac:dyDescent="0.3">
      <c r="A722">
        <v>705</v>
      </c>
      <c r="B722" s="19">
        <v>49.950699999999998</v>
      </c>
      <c r="C722" s="19">
        <v>32.557200000000002</v>
      </c>
      <c r="D722" s="19">
        <v>12.0428</v>
      </c>
      <c r="E722" s="19">
        <v>272.07530000000003</v>
      </c>
      <c r="F722" s="19">
        <v>15.638199999999999</v>
      </c>
      <c r="G722" s="19">
        <v>358.87299999999999</v>
      </c>
      <c r="H722" s="19">
        <v>4427.9178000000002</v>
      </c>
      <c r="I722" s="19">
        <v>9293.5046000000002</v>
      </c>
      <c r="J722" s="75">
        <v>7413.9999999999991</v>
      </c>
      <c r="K722" s="75">
        <v>-6919.7999999999993</v>
      </c>
      <c r="L722" s="75">
        <v>32216.639999999999</v>
      </c>
      <c r="M722" s="75">
        <v>22326.14</v>
      </c>
      <c r="N722" s="75">
        <v>366.54</v>
      </c>
      <c r="O722" s="75">
        <v>-26834.5</v>
      </c>
      <c r="P722" s="75">
        <v>-41914.859999999993</v>
      </c>
      <c r="Q722" s="75">
        <v>177135.4</v>
      </c>
      <c r="R722" s="75">
        <v>163789.56</v>
      </c>
    </row>
    <row r="723" spans="1:18" x14ac:dyDescent="0.3">
      <c r="A723">
        <v>706</v>
      </c>
      <c r="B723" s="19">
        <v>49.207999999999998</v>
      </c>
      <c r="C723" s="19">
        <v>32.716700000000003</v>
      </c>
      <c r="D723" s="19">
        <v>11.701499999999999</v>
      </c>
      <c r="E723" s="19">
        <v>269.8793</v>
      </c>
      <c r="F723" s="19">
        <v>15.2744</v>
      </c>
      <c r="G723" s="19">
        <v>369.6506</v>
      </c>
      <c r="H723" s="19">
        <v>4542.3827000000001</v>
      </c>
      <c r="I723" s="19">
        <v>8515.0987000000005</v>
      </c>
      <c r="J723" s="75">
        <v>-7440</v>
      </c>
      <c r="K723" s="75">
        <v>-2374.0500000000002</v>
      </c>
      <c r="L723" s="75">
        <v>1909.1999999999998</v>
      </c>
      <c r="M723" s="75">
        <v>13981.34</v>
      </c>
      <c r="N723" s="75">
        <v>-15895.320000000002</v>
      </c>
      <c r="O723" s="75">
        <v>10887.099999999999</v>
      </c>
      <c r="P723" s="75">
        <v>-7575.39</v>
      </c>
      <c r="Q723" s="75">
        <v>21454.22</v>
      </c>
      <c r="R723" s="75">
        <v>14947.099999999999</v>
      </c>
    </row>
    <row r="724" spans="1:18" x14ac:dyDescent="0.3">
      <c r="A724">
        <v>707</v>
      </c>
      <c r="B724" s="19">
        <v>49.520499999999998</v>
      </c>
      <c r="C724" s="19">
        <v>33.407699999999998</v>
      </c>
      <c r="D724" s="19">
        <v>11.617900000000001</v>
      </c>
      <c r="E724" s="19">
        <v>276.1146</v>
      </c>
      <c r="F724" s="19">
        <v>15.077500000000001</v>
      </c>
      <c r="G724" s="19">
        <v>371.54950000000002</v>
      </c>
      <c r="H724" s="19">
        <v>4663.8823000000002</v>
      </c>
      <c r="I724" s="19">
        <v>8169.7804999999998</v>
      </c>
      <c r="J724" s="75">
        <v>-1190</v>
      </c>
      <c r="K724" s="75">
        <v>17319.45</v>
      </c>
      <c r="L724" s="75">
        <v>-5514.4800000000005</v>
      </c>
      <c r="M724" s="75">
        <v>37675.480000000003</v>
      </c>
      <c r="N724" s="75">
        <v>-24696.75</v>
      </c>
      <c r="O724" s="75">
        <v>17533.25</v>
      </c>
      <c r="P724" s="75">
        <v>28874.49</v>
      </c>
      <c r="Q724" s="75">
        <v>-47609.42</v>
      </c>
      <c r="R724" s="75">
        <v>22392.020000000004</v>
      </c>
    </row>
    <row r="725" spans="1:18" x14ac:dyDescent="0.3">
      <c r="A725">
        <v>708</v>
      </c>
      <c r="B725" s="19">
        <v>50.032899999999998</v>
      </c>
      <c r="C725" s="19">
        <v>32.798400000000001</v>
      </c>
      <c r="D725" s="19">
        <v>11.5274</v>
      </c>
      <c r="E725" s="19">
        <v>274.39780000000002</v>
      </c>
      <c r="F725" s="19">
        <v>15.7522</v>
      </c>
      <c r="G725" s="19">
        <v>366.17230000000001</v>
      </c>
      <c r="H725" s="19">
        <v>4578.9228000000003</v>
      </c>
      <c r="I725" s="19">
        <v>8334.3351999999995</v>
      </c>
      <c r="J725" s="75">
        <v>9058</v>
      </c>
      <c r="K725" s="75">
        <v>-45.6</v>
      </c>
      <c r="L725" s="75">
        <v>-13550.880000000001</v>
      </c>
      <c r="M725" s="75">
        <v>31151.640000000003</v>
      </c>
      <c r="N725" s="75">
        <v>5462.34</v>
      </c>
      <c r="O725" s="75">
        <v>-1286.95</v>
      </c>
      <c r="P725" s="75">
        <v>3386.64</v>
      </c>
      <c r="Q725" s="75">
        <v>-14698.480000000001</v>
      </c>
      <c r="R725" s="75">
        <v>19476.71</v>
      </c>
    </row>
    <row r="726" spans="1:18" x14ac:dyDescent="0.3">
      <c r="A726">
        <v>709</v>
      </c>
      <c r="B726" s="19">
        <v>49.960299999999997</v>
      </c>
      <c r="C726" s="19">
        <v>32.726500000000001</v>
      </c>
      <c r="D726" s="19">
        <v>11.296099999999999</v>
      </c>
      <c r="E726" s="19">
        <v>275.3245</v>
      </c>
      <c r="F726" s="19">
        <v>15.164</v>
      </c>
      <c r="G726" s="19">
        <v>360.24860000000001</v>
      </c>
      <c r="H726" s="19">
        <v>4599.3675999999996</v>
      </c>
      <c r="I726" s="19">
        <v>8180.6131999999998</v>
      </c>
      <c r="J726" s="75">
        <v>7606.0000000000009</v>
      </c>
      <c r="K726" s="75">
        <v>-2094.75</v>
      </c>
      <c r="L726" s="75">
        <v>-34090.32</v>
      </c>
      <c r="M726" s="75">
        <v>34673.1</v>
      </c>
      <c r="N726" s="75">
        <v>-20830.2</v>
      </c>
      <c r="O726" s="75">
        <v>-22019.9</v>
      </c>
      <c r="P726" s="75">
        <v>9520.08</v>
      </c>
      <c r="Q726" s="75">
        <v>-45442.880000000005</v>
      </c>
      <c r="R726" s="75">
        <v>-72678.87000000001</v>
      </c>
    </row>
    <row r="727" spans="1:18" x14ac:dyDescent="0.3">
      <c r="A727">
        <v>710</v>
      </c>
      <c r="B727" s="19">
        <v>49.457000000000001</v>
      </c>
      <c r="C727" s="19">
        <v>32.339500000000001</v>
      </c>
      <c r="D727" s="19">
        <v>11.678000000000001</v>
      </c>
      <c r="E727" s="19">
        <v>253.14689999999999</v>
      </c>
      <c r="F727" s="19">
        <v>15.9381</v>
      </c>
      <c r="G727" s="19">
        <v>372.77640000000002</v>
      </c>
      <c r="H727" s="19">
        <v>4465.5475999999999</v>
      </c>
      <c r="I727" s="19">
        <v>8602.9084000000003</v>
      </c>
      <c r="J727" s="75">
        <v>-2460</v>
      </c>
      <c r="K727" s="75">
        <v>-13124.25</v>
      </c>
      <c r="L727" s="75">
        <v>-177.6</v>
      </c>
      <c r="M727" s="75">
        <v>-49601.78</v>
      </c>
      <c r="N727" s="75">
        <v>13772.07</v>
      </c>
      <c r="O727" s="75">
        <v>21827.399999999998</v>
      </c>
      <c r="P727" s="75">
        <v>-30625.919999999998</v>
      </c>
      <c r="Q727" s="75">
        <v>39016.160000000003</v>
      </c>
      <c r="R727" s="75">
        <v>-21373.919999999998</v>
      </c>
    </row>
    <row r="728" spans="1:18" x14ac:dyDescent="0.3">
      <c r="A728">
        <v>711</v>
      </c>
      <c r="B728" s="19">
        <v>49.513800000000003</v>
      </c>
      <c r="C728" s="19">
        <v>32.847900000000003</v>
      </c>
      <c r="D728" s="19">
        <v>11.9565</v>
      </c>
      <c r="E728" s="19">
        <v>273.90480000000002</v>
      </c>
      <c r="F728" s="19">
        <v>15.828799999999999</v>
      </c>
      <c r="G728" s="19">
        <v>369.86649999999997</v>
      </c>
      <c r="H728" s="19">
        <v>4574.0424999999996</v>
      </c>
      <c r="I728" s="19">
        <v>8557.1165000000001</v>
      </c>
      <c r="J728" s="75">
        <v>-1324</v>
      </c>
      <c r="K728" s="75">
        <v>1365.1499999999999</v>
      </c>
      <c r="L728" s="75">
        <v>24553.200000000001</v>
      </c>
      <c r="M728" s="75">
        <v>29278.239999999998</v>
      </c>
      <c r="N728" s="75">
        <v>8886.36</v>
      </c>
      <c r="O728" s="75">
        <v>11642.75</v>
      </c>
      <c r="P728" s="75">
        <v>1922.55</v>
      </c>
      <c r="Q728" s="75">
        <v>29857.780000000002</v>
      </c>
      <c r="R728" s="75">
        <v>106182.03</v>
      </c>
    </row>
    <row r="729" spans="1:18" x14ac:dyDescent="0.3">
      <c r="A729">
        <v>712</v>
      </c>
      <c r="B729" s="19">
        <v>49.387599999999999</v>
      </c>
      <c r="C729" s="19">
        <v>32.4191</v>
      </c>
      <c r="D729" s="19">
        <v>12.1813</v>
      </c>
      <c r="E729" s="19">
        <v>277.52390000000003</v>
      </c>
      <c r="F729" s="19">
        <v>15.4773</v>
      </c>
      <c r="G729" s="19">
        <v>372.50850000000003</v>
      </c>
      <c r="H729" s="19">
        <v>4506.1241</v>
      </c>
      <c r="I729" s="19">
        <v>8466.9511000000002</v>
      </c>
      <c r="J729" s="75">
        <v>-3847.9999999999995</v>
      </c>
      <c r="K729" s="75">
        <v>-10855.65</v>
      </c>
      <c r="L729" s="75">
        <v>44515.439999999995</v>
      </c>
      <c r="M729" s="75">
        <v>43030.82</v>
      </c>
      <c r="N729" s="75">
        <v>-6825.6900000000005</v>
      </c>
      <c r="O729" s="75">
        <v>20889.75</v>
      </c>
      <c r="P729" s="75">
        <v>-18452.97</v>
      </c>
      <c r="Q729" s="75">
        <v>11824.7</v>
      </c>
      <c r="R729" s="75">
        <v>80278.39999999998</v>
      </c>
    </row>
    <row r="730" spans="1:18" x14ac:dyDescent="0.3">
      <c r="A730">
        <v>713</v>
      </c>
      <c r="B730" s="19">
        <v>49.264000000000003</v>
      </c>
      <c r="C730" s="19">
        <v>32.7849</v>
      </c>
      <c r="D730" s="19">
        <v>11.763199999999999</v>
      </c>
      <c r="E730" s="19">
        <v>259.36410000000001</v>
      </c>
      <c r="F730" s="19">
        <v>15.935499999999999</v>
      </c>
      <c r="G730" s="19">
        <v>351.76549999999997</v>
      </c>
      <c r="H730" s="19">
        <v>4457.9531999999999</v>
      </c>
      <c r="I730" s="19">
        <v>8101.0658000000003</v>
      </c>
      <c r="J730" s="75">
        <v>-6320</v>
      </c>
      <c r="K730" s="75">
        <v>-430.35</v>
      </c>
      <c r="L730" s="75">
        <v>7388.16</v>
      </c>
      <c r="M730" s="75">
        <v>-25976.42</v>
      </c>
      <c r="N730" s="75">
        <v>13655.85</v>
      </c>
      <c r="O730" s="75">
        <v>-51710.75</v>
      </c>
      <c r="P730" s="75">
        <v>-32904.239999999998</v>
      </c>
      <c r="Q730" s="75">
        <v>-61352.36</v>
      </c>
      <c r="R730" s="75">
        <v>-157650.10999999999</v>
      </c>
    </row>
    <row r="731" spans="1:18" x14ac:dyDescent="0.3">
      <c r="A731">
        <v>714</v>
      </c>
      <c r="B731" s="19">
        <v>49.925800000000002</v>
      </c>
      <c r="C731" s="19">
        <v>33.087800000000001</v>
      </c>
      <c r="D731" s="19">
        <v>11.8095</v>
      </c>
      <c r="E731" s="19">
        <v>267.55309999999997</v>
      </c>
      <c r="F731" s="19">
        <v>15.754300000000001</v>
      </c>
      <c r="G731" s="19">
        <v>368.1533</v>
      </c>
      <c r="H731" s="19">
        <v>4538.4652999999998</v>
      </c>
      <c r="I731" s="19">
        <v>7772.5334000000003</v>
      </c>
      <c r="J731" s="75">
        <v>6916</v>
      </c>
      <c r="K731" s="75">
        <v>8202.2999999999993</v>
      </c>
      <c r="L731" s="75">
        <v>11499.6</v>
      </c>
      <c r="M731" s="75">
        <v>5141.78</v>
      </c>
      <c r="N731" s="75">
        <v>5556.21</v>
      </c>
      <c r="O731" s="75">
        <v>5646.55</v>
      </c>
      <c r="P731" s="75">
        <v>-8750.61</v>
      </c>
      <c r="Q731" s="75">
        <v>-127058.84000000001</v>
      </c>
      <c r="R731" s="75">
        <v>-92847.010000000009</v>
      </c>
    </row>
    <row r="732" spans="1:18" x14ac:dyDescent="0.3">
      <c r="A732">
        <v>715</v>
      </c>
      <c r="B732" s="19">
        <v>49.601799999999997</v>
      </c>
      <c r="C732" s="19">
        <v>31.9846</v>
      </c>
      <c r="D732" s="19">
        <v>11.696999999999999</v>
      </c>
      <c r="E732" s="19">
        <v>285.12529999999998</v>
      </c>
      <c r="F732" s="19">
        <v>15.7486</v>
      </c>
      <c r="G732" s="19">
        <v>368.79579999999999</v>
      </c>
      <c r="H732" s="19">
        <v>4478.6983</v>
      </c>
      <c r="I732" s="19">
        <v>8148.2237999999998</v>
      </c>
      <c r="J732" s="75">
        <v>436</v>
      </c>
      <c r="K732" s="75">
        <v>-23238.9</v>
      </c>
      <c r="L732" s="75">
        <v>1509.6000000000001</v>
      </c>
      <c r="M732" s="75">
        <v>71916.14</v>
      </c>
      <c r="N732" s="75">
        <v>5301.42</v>
      </c>
      <c r="O732" s="75">
        <v>7895.2999999999993</v>
      </c>
      <c r="P732" s="75">
        <v>-26680.71</v>
      </c>
      <c r="Q732" s="75">
        <v>-51920.759999999995</v>
      </c>
      <c r="R732" s="75">
        <v>-14781.909999999996</v>
      </c>
    </row>
    <row r="733" spans="1:18" x14ac:dyDescent="0.3">
      <c r="A733">
        <v>716</v>
      </c>
      <c r="B733" s="19">
        <v>49.595300000000002</v>
      </c>
      <c r="C733" s="19">
        <v>32.835900000000002</v>
      </c>
      <c r="D733" s="19">
        <v>11.6266</v>
      </c>
      <c r="E733" s="19">
        <v>269.26299999999998</v>
      </c>
      <c r="F733" s="19">
        <v>16.008500000000002</v>
      </c>
      <c r="G733" s="19">
        <v>370.2047</v>
      </c>
      <c r="H733" s="19">
        <v>4595.1372000000001</v>
      </c>
      <c r="I733" s="19">
        <v>8895.9840999999997</v>
      </c>
      <c r="J733" s="75">
        <v>306</v>
      </c>
      <c r="K733" s="75">
        <v>1023.1500000000001</v>
      </c>
      <c r="L733" s="75">
        <v>-4741.92</v>
      </c>
      <c r="M733" s="75">
        <v>11639.400000000001</v>
      </c>
      <c r="N733" s="75">
        <v>16918.95</v>
      </c>
      <c r="O733" s="75">
        <v>12826.449999999999</v>
      </c>
      <c r="P733" s="75">
        <v>8250.9599999999991</v>
      </c>
      <c r="Q733" s="75">
        <v>97631.3</v>
      </c>
      <c r="R733" s="75">
        <v>143854.29</v>
      </c>
    </row>
    <row r="734" spans="1:18" x14ac:dyDescent="0.3">
      <c r="A734">
        <v>717</v>
      </c>
      <c r="B734" s="19">
        <v>49.692599999999999</v>
      </c>
      <c r="C734" s="19">
        <v>32.705500000000001</v>
      </c>
      <c r="D734" s="19">
        <v>11.636699999999999</v>
      </c>
      <c r="E734" s="19">
        <v>267.49380000000002</v>
      </c>
      <c r="F734" s="19">
        <v>15.3774</v>
      </c>
      <c r="G734" s="19">
        <v>367.36360000000002</v>
      </c>
      <c r="H734" s="19">
        <v>4527.7148999999999</v>
      </c>
      <c r="I734" s="19">
        <v>8987.8516</v>
      </c>
      <c r="J734" s="75">
        <v>2252</v>
      </c>
      <c r="K734" s="75">
        <v>-2693.25</v>
      </c>
      <c r="L734" s="75">
        <v>-3845.04</v>
      </c>
      <c r="M734" s="75">
        <v>4916.4400000000005</v>
      </c>
      <c r="N734" s="75">
        <v>-11291.22</v>
      </c>
      <c r="O734" s="75">
        <v>2882.6</v>
      </c>
      <c r="P734" s="75">
        <v>-11975.73</v>
      </c>
      <c r="Q734" s="75">
        <v>116004.8</v>
      </c>
      <c r="R734" s="75">
        <v>96250.6</v>
      </c>
    </row>
    <row r="735" spans="1:18" x14ac:dyDescent="0.3">
      <c r="A735">
        <v>718</v>
      </c>
      <c r="B735" s="19">
        <v>48.974400000000003</v>
      </c>
      <c r="C735" s="19">
        <v>32.788600000000002</v>
      </c>
      <c r="D735" s="19">
        <v>11.5791</v>
      </c>
      <c r="E735" s="19">
        <v>257.8331</v>
      </c>
      <c r="F735" s="19">
        <v>15.5482</v>
      </c>
      <c r="G735" s="19">
        <v>371.26859999999999</v>
      </c>
      <c r="H735" s="19">
        <v>4671.4481999999998</v>
      </c>
      <c r="I735" s="19">
        <v>8555.8385999999991</v>
      </c>
      <c r="J735" s="75">
        <v>-12112</v>
      </c>
      <c r="K735" s="75">
        <v>-324.90000000000003</v>
      </c>
      <c r="L735" s="75">
        <v>-8959.92</v>
      </c>
      <c r="M735" s="75">
        <v>-31794.219999999998</v>
      </c>
      <c r="N735" s="75">
        <v>-3656.46</v>
      </c>
      <c r="O735" s="75">
        <v>16550.100000000002</v>
      </c>
      <c r="P735" s="75">
        <v>31144.26</v>
      </c>
      <c r="Q735" s="75">
        <v>29602.2</v>
      </c>
      <c r="R735" s="75">
        <v>20449.060000000005</v>
      </c>
    </row>
    <row r="736" spans="1:18" x14ac:dyDescent="0.3">
      <c r="A736">
        <v>719</v>
      </c>
      <c r="B736" s="19">
        <v>49.7926</v>
      </c>
      <c r="C736" s="19">
        <v>32.448300000000003</v>
      </c>
      <c r="D736" s="19">
        <v>12.034800000000001</v>
      </c>
      <c r="E736" s="19">
        <v>265.9624</v>
      </c>
      <c r="F736" s="19">
        <v>15.328200000000001</v>
      </c>
      <c r="G736" s="19">
        <v>359.7928</v>
      </c>
      <c r="H736" s="19">
        <v>4522.2745999999997</v>
      </c>
      <c r="I736" s="19">
        <v>8218.1882999999998</v>
      </c>
      <c r="J736" s="75">
        <v>4252</v>
      </c>
      <c r="K736" s="75">
        <v>-10023.450000000001</v>
      </c>
      <c r="L736" s="75">
        <v>31506.240000000002</v>
      </c>
      <c r="M736" s="75">
        <v>-902.88</v>
      </c>
      <c r="N736" s="75">
        <v>-13490.460000000001</v>
      </c>
      <c r="O736" s="75">
        <v>-23615.200000000001</v>
      </c>
      <c r="P736" s="75">
        <v>-13607.82</v>
      </c>
      <c r="Q736" s="75">
        <v>-37927.86</v>
      </c>
      <c r="R736" s="75">
        <v>-63809.43</v>
      </c>
    </row>
    <row r="737" spans="1:18" x14ac:dyDescent="0.3">
      <c r="A737">
        <v>720</v>
      </c>
      <c r="B737" s="19">
        <v>49.275700000000001</v>
      </c>
      <c r="C737" s="19">
        <v>32.953000000000003</v>
      </c>
      <c r="D737" s="19">
        <v>11.757999999999999</v>
      </c>
      <c r="E737" s="19">
        <v>267.56740000000002</v>
      </c>
      <c r="F737" s="19">
        <v>15.4024</v>
      </c>
      <c r="G737" s="19">
        <v>363.32900000000001</v>
      </c>
      <c r="H737" s="19">
        <v>4369.6541999999999</v>
      </c>
      <c r="I737" s="19">
        <v>8453.3729000000003</v>
      </c>
      <c r="J737" s="75">
        <v>-6086</v>
      </c>
      <c r="K737" s="75">
        <v>4360.5</v>
      </c>
      <c r="L737" s="75">
        <v>6926.4</v>
      </c>
      <c r="M737" s="75">
        <v>5196.12</v>
      </c>
      <c r="N737" s="75">
        <v>-10173.719999999999</v>
      </c>
      <c r="O737" s="75">
        <v>-11238.5</v>
      </c>
      <c r="P737" s="75">
        <v>-59393.94</v>
      </c>
      <c r="Q737" s="75">
        <v>9109.06</v>
      </c>
      <c r="R737" s="75">
        <v>-61300.08</v>
      </c>
    </row>
    <row r="738" spans="1:18" x14ac:dyDescent="0.3">
      <c r="A738">
        <v>721</v>
      </c>
      <c r="B738" s="19">
        <v>48.878799999999998</v>
      </c>
      <c r="C738" s="19">
        <v>32.555300000000003</v>
      </c>
      <c r="D738" s="19">
        <v>11.837899999999999</v>
      </c>
      <c r="E738" s="19">
        <v>274.67380000000003</v>
      </c>
      <c r="F738" s="19">
        <v>15.796799999999999</v>
      </c>
      <c r="G738" s="19">
        <v>370.7473</v>
      </c>
      <c r="H738" s="19">
        <v>4634.5304999999998</v>
      </c>
      <c r="I738" s="19">
        <v>8868.5903999999991</v>
      </c>
      <c r="J738" s="75">
        <v>-14024</v>
      </c>
      <c r="K738" s="75">
        <v>-6973.95</v>
      </c>
      <c r="L738" s="75">
        <v>14021.52</v>
      </c>
      <c r="M738" s="75">
        <v>32200.440000000002</v>
      </c>
      <c r="N738" s="75">
        <v>7455.96</v>
      </c>
      <c r="O738" s="75">
        <v>14725.55</v>
      </c>
      <c r="P738" s="75">
        <v>20068.95</v>
      </c>
      <c r="Q738" s="75">
        <v>92152.560000000012</v>
      </c>
      <c r="R738" s="75">
        <v>159627.03000000003</v>
      </c>
    </row>
    <row r="739" spans="1:18" x14ac:dyDescent="0.3">
      <c r="A739">
        <v>722</v>
      </c>
      <c r="B739" s="19">
        <v>49.298200000000001</v>
      </c>
      <c r="C739" s="19">
        <v>32.941099999999999</v>
      </c>
      <c r="D739" s="19">
        <v>11.7889</v>
      </c>
      <c r="E739" s="19">
        <v>264.04759999999999</v>
      </c>
      <c r="F739" s="19">
        <v>15.861000000000001</v>
      </c>
      <c r="G739" s="19">
        <v>368.06619999999998</v>
      </c>
      <c r="H739" s="19">
        <v>4554.4206000000004</v>
      </c>
      <c r="I739" s="19">
        <v>8474.1285000000007</v>
      </c>
      <c r="J739" s="75">
        <v>-5636</v>
      </c>
      <c r="K739" s="75">
        <v>4021.35</v>
      </c>
      <c r="L739" s="75">
        <v>9670.32</v>
      </c>
      <c r="M739" s="75">
        <v>-8179.1200000000008</v>
      </c>
      <c r="N739" s="75">
        <v>10325.700000000001</v>
      </c>
      <c r="O739" s="75">
        <v>5341.7</v>
      </c>
      <c r="P739" s="75">
        <v>-3964.02</v>
      </c>
      <c r="Q739" s="75">
        <v>13260.18</v>
      </c>
      <c r="R739" s="75">
        <v>24840.11</v>
      </c>
    </row>
    <row r="740" spans="1:18" x14ac:dyDescent="0.3">
      <c r="A740">
        <v>723</v>
      </c>
      <c r="B740" s="19">
        <v>50.307600000000001</v>
      </c>
      <c r="C740" s="19">
        <v>33.237099999999998</v>
      </c>
      <c r="D740" s="19">
        <v>11.502000000000001</v>
      </c>
      <c r="E740" s="19">
        <v>271.44150000000002</v>
      </c>
      <c r="F740" s="19">
        <v>15.7462</v>
      </c>
      <c r="G740" s="19">
        <v>369.46359999999999</v>
      </c>
      <c r="H740" s="19">
        <v>4452.2154</v>
      </c>
      <c r="I740" s="19">
        <v>8460.3796000000002</v>
      </c>
      <c r="J740" s="75">
        <v>14552</v>
      </c>
      <c r="K740" s="75">
        <v>12457.35</v>
      </c>
      <c r="L740" s="75">
        <v>-15806.4</v>
      </c>
      <c r="M740" s="75">
        <v>19917.7</v>
      </c>
      <c r="N740" s="75">
        <v>5194.1400000000003</v>
      </c>
      <c r="O740" s="75">
        <v>10232.6</v>
      </c>
      <c r="P740" s="75">
        <v>-34625.58</v>
      </c>
      <c r="Q740" s="75">
        <v>10510.4</v>
      </c>
      <c r="R740" s="75">
        <v>22432.21</v>
      </c>
    </row>
    <row r="741" spans="1:18" x14ac:dyDescent="0.3">
      <c r="A741">
        <v>724</v>
      </c>
      <c r="B741" s="19">
        <v>49.362000000000002</v>
      </c>
      <c r="C741" s="19">
        <v>32.561799999999998</v>
      </c>
      <c r="D741" s="19">
        <v>11.2315</v>
      </c>
      <c r="E741" s="19">
        <v>258.9187</v>
      </c>
      <c r="F741" s="19">
        <v>15.481400000000001</v>
      </c>
      <c r="G741" s="19">
        <v>351.23910000000001</v>
      </c>
      <c r="H741" s="19">
        <v>4630.5631000000003</v>
      </c>
      <c r="I741" s="19">
        <v>7861.7545</v>
      </c>
      <c r="J741" s="75">
        <v>-4360</v>
      </c>
      <c r="K741" s="75">
        <v>-6788.7</v>
      </c>
      <c r="L741" s="75">
        <v>-39826.800000000003</v>
      </c>
      <c r="M741" s="75">
        <v>-27668.94</v>
      </c>
      <c r="N741" s="75">
        <v>-6642.42</v>
      </c>
      <c r="O741" s="75">
        <v>-53553.15</v>
      </c>
      <c r="P741" s="75">
        <v>18878.73</v>
      </c>
      <c r="Q741" s="75">
        <v>-109214.62</v>
      </c>
      <c r="R741" s="75">
        <v>-229175.90000000002</v>
      </c>
    </row>
    <row r="742" spans="1:18" x14ac:dyDescent="0.3">
      <c r="A742">
        <v>725</v>
      </c>
      <c r="B742" s="19">
        <v>49.7166</v>
      </c>
      <c r="C742" s="19">
        <v>32.455300000000001</v>
      </c>
      <c r="D742" s="19">
        <v>11.164099999999999</v>
      </c>
      <c r="E742" s="19">
        <v>254.97319999999999</v>
      </c>
      <c r="F742" s="19">
        <v>15.655799999999999</v>
      </c>
      <c r="G742" s="19">
        <v>372.63979999999998</v>
      </c>
      <c r="H742" s="19">
        <v>4530.5491000000002</v>
      </c>
      <c r="I742" s="19">
        <v>8583.1396999999997</v>
      </c>
      <c r="J742" s="75">
        <v>2732</v>
      </c>
      <c r="K742" s="75">
        <v>-9823.9500000000007</v>
      </c>
      <c r="L742" s="75">
        <v>-45811.920000000006</v>
      </c>
      <c r="M742" s="75">
        <v>-42661.840000000004</v>
      </c>
      <c r="N742" s="75">
        <v>1153.26</v>
      </c>
      <c r="O742" s="75">
        <v>21349.3</v>
      </c>
      <c r="P742" s="75">
        <v>-11125.47</v>
      </c>
      <c r="Q742" s="75">
        <v>35062.42</v>
      </c>
      <c r="R742" s="75">
        <v>-49126.200000000026</v>
      </c>
    </row>
    <row r="743" spans="1:18" x14ac:dyDescent="0.3">
      <c r="A743">
        <v>726</v>
      </c>
      <c r="B743" s="19">
        <v>49.404400000000003</v>
      </c>
      <c r="C743" s="19">
        <v>32.2044</v>
      </c>
      <c r="D743" s="19">
        <v>11.911199999999999</v>
      </c>
      <c r="E743" s="19">
        <v>266.43770000000001</v>
      </c>
      <c r="F743" s="19">
        <v>15.577199999999999</v>
      </c>
      <c r="G743" s="19">
        <v>370.69189999999998</v>
      </c>
      <c r="H743" s="19">
        <v>4680.9139999999998</v>
      </c>
      <c r="I743" s="19">
        <v>8140.7496000000001</v>
      </c>
      <c r="J743" s="75">
        <v>-3512</v>
      </c>
      <c r="K743" s="75">
        <v>-16974.600000000002</v>
      </c>
      <c r="L743" s="75">
        <v>20530.559999999998</v>
      </c>
      <c r="M743" s="75">
        <v>903.26</v>
      </c>
      <c r="N743" s="75">
        <v>-2360.16</v>
      </c>
      <c r="O743" s="75">
        <v>14531.650000000001</v>
      </c>
      <c r="P743" s="75">
        <v>33984</v>
      </c>
      <c r="Q743" s="75">
        <v>-53415.599999999991</v>
      </c>
      <c r="R743" s="75">
        <v>-6312.8899999999921</v>
      </c>
    </row>
    <row r="744" spans="1:18" x14ac:dyDescent="0.3">
      <c r="A744">
        <v>727</v>
      </c>
      <c r="B744" s="19">
        <v>49.411799999999999</v>
      </c>
      <c r="C744" s="19">
        <v>33.194899999999997</v>
      </c>
      <c r="D744" s="19">
        <v>11.4765</v>
      </c>
      <c r="E744" s="19">
        <v>255.03729999999999</v>
      </c>
      <c r="F744" s="19">
        <v>15.1836</v>
      </c>
      <c r="G744" s="19">
        <v>360.5951</v>
      </c>
      <c r="H744" s="19">
        <v>4580.1144000000004</v>
      </c>
      <c r="I744" s="19">
        <v>8661.5427999999993</v>
      </c>
      <c r="J744" s="75">
        <v>-3363.9999999999995</v>
      </c>
      <c r="K744" s="75">
        <v>11254.65</v>
      </c>
      <c r="L744" s="75">
        <v>-18070.8</v>
      </c>
      <c r="M744" s="75">
        <v>-42418.259999999995</v>
      </c>
      <c r="N744" s="75">
        <v>-19954.080000000002</v>
      </c>
      <c r="O744" s="75">
        <v>-20807.149999999998</v>
      </c>
      <c r="P744" s="75">
        <v>3744.12</v>
      </c>
      <c r="Q744" s="75">
        <v>50743.040000000001</v>
      </c>
      <c r="R744" s="75">
        <v>-38872.479999999989</v>
      </c>
    </row>
    <row r="745" spans="1:18" x14ac:dyDescent="0.3">
      <c r="A745">
        <v>728</v>
      </c>
      <c r="B745" s="19">
        <v>49.361800000000002</v>
      </c>
      <c r="C745" s="19">
        <v>32.591500000000003</v>
      </c>
      <c r="D745" s="19">
        <v>11.300800000000001</v>
      </c>
      <c r="E745" s="19">
        <v>261.16109999999998</v>
      </c>
      <c r="F745" s="19">
        <v>15.8439</v>
      </c>
      <c r="G745" s="19">
        <v>374.22739999999999</v>
      </c>
      <c r="H745" s="19">
        <v>4631.2485999999999</v>
      </c>
      <c r="I745" s="19">
        <v>7715.2161999999998</v>
      </c>
      <c r="J745" s="75">
        <v>-4364</v>
      </c>
      <c r="K745" s="75">
        <v>-5942.25</v>
      </c>
      <c r="L745" s="75">
        <v>-33672.959999999999</v>
      </c>
      <c r="M745" s="75">
        <v>-19147.82</v>
      </c>
      <c r="N745" s="75">
        <v>9561.33</v>
      </c>
      <c r="O745" s="75">
        <v>26905.9</v>
      </c>
      <c r="P745" s="75">
        <v>19084.38</v>
      </c>
      <c r="Q745" s="75">
        <v>-138522.28</v>
      </c>
      <c r="R745" s="75">
        <v>-146097.69999999998</v>
      </c>
    </row>
    <row r="746" spans="1:18" x14ac:dyDescent="0.3">
      <c r="A746">
        <v>729</v>
      </c>
      <c r="B746" s="19">
        <v>49.215499999999999</v>
      </c>
      <c r="C746" s="19">
        <v>32.866</v>
      </c>
      <c r="D746" s="19">
        <v>11.613</v>
      </c>
      <c r="E746" s="19">
        <v>268.98399999999998</v>
      </c>
      <c r="F746" s="19">
        <v>15.5418</v>
      </c>
      <c r="G746" s="19">
        <v>364.8818</v>
      </c>
      <c r="H746" s="19">
        <v>4580.6868000000004</v>
      </c>
      <c r="I746" s="19">
        <v>8257.6928000000007</v>
      </c>
      <c r="J746" s="75">
        <v>-7290</v>
      </c>
      <c r="K746" s="75">
        <v>1881</v>
      </c>
      <c r="L746" s="75">
        <v>-5949.6</v>
      </c>
      <c r="M746" s="75">
        <v>10579.199999999999</v>
      </c>
      <c r="N746" s="75">
        <v>-3942.54</v>
      </c>
      <c r="O746" s="75">
        <v>-5803.7</v>
      </c>
      <c r="P746" s="75">
        <v>3915.8399999999997</v>
      </c>
      <c r="Q746" s="75">
        <v>-30026.960000000003</v>
      </c>
      <c r="R746" s="75">
        <v>-36636.76</v>
      </c>
    </row>
    <row r="747" spans="1:18" x14ac:dyDescent="0.3">
      <c r="A747">
        <v>730</v>
      </c>
      <c r="B747" s="19">
        <v>49.2119</v>
      </c>
      <c r="C747" s="19">
        <v>32.4467</v>
      </c>
      <c r="D747" s="19">
        <v>11.724</v>
      </c>
      <c r="E747" s="19">
        <v>273.70049999999998</v>
      </c>
      <c r="F747" s="19">
        <v>15.3408</v>
      </c>
      <c r="G747" s="19">
        <v>372.80869999999999</v>
      </c>
      <c r="H747" s="19">
        <v>4630.6581999999999</v>
      </c>
      <c r="I747" s="19">
        <v>8742.6743000000006</v>
      </c>
      <c r="J747" s="75">
        <v>-7362</v>
      </c>
      <c r="K747" s="75">
        <v>-10069.049999999999</v>
      </c>
      <c r="L747" s="75">
        <v>3907.2</v>
      </c>
      <c r="M747" s="75">
        <v>28501.899999999998</v>
      </c>
      <c r="N747" s="75">
        <v>-12927.24</v>
      </c>
      <c r="O747" s="75">
        <v>21940.45</v>
      </c>
      <c r="P747" s="75">
        <v>18907.259999999998</v>
      </c>
      <c r="Q747" s="75">
        <v>66969.34</v>
      </c>
      <c r="R747" s="75">
        <v>109867.86</v>
      </c>
    </row>
    <row r="748" spans="1:18" x14ac:dyDescent="0.3">
      <c r="A748">
        <v>731</v>
      </c>
      <c r="B748" s="19">
        <v>49.470999999999997</v>
      </c>
      <c r="C748" s="19">
        <v>32.645099999999999</v>
      </c>
      <c r="D748" s="19">
        <v>11.732699999999999</v>
      </c>
      <c r="E748" s="19">
        <v>269.92599999999999</v>
      </c>
      <c r="F748" s="19">
        <v>15.6487</v>
      </c>
      <c r="G748" s="19">
        <v>373.73410000000001</v>
      </c>
      <c r="H748" s="19">
        <v>4604.6490999999996</v>
      </c>
      <c r="I748" s="19">
        <v>8461.7345000000005</v>
      </c>
      <c r="J748" s="75">
        <v>-2180</v>
      </c>
      <c r="K748" s="75">
        <v>-4414.6500000000005</v>
      </c>
      <c r="L748" s="75">
        <v>4679.7599999999993</v>
      </c>
      <c r="M748" s="75">
        <v>14158.8</v>
      </c>
      <c r="N748" s="75">
        <v>835.8900000000001</v>
      </c>
      <c r="O748" s="75">
        <v>25179.35</v>
      </c>
      <c r="P748" s="75">
        <v>11104.529999999999</v>
      </c>
      <c r="Q748" s="75">
        <v>10781.38</v>
      </c>
      <c r="R748" s="75">
        <v>60145.05999999999</v>
      </c>
    </row>
    <row r="749" spans="1:18" x14ac:dyDescent="0.3">
      <c r="A749">
        <v>732</v>
      </c>
      <c r="B749" s="19">
        <v>49.682200000000002</v>
      </c>
      <c r="C749" s="19">
        <v>33.363700000000001</v>
      </c>
      <c r="D749" s="19">
        <v>11.5289</v>
      </c>
      <c r="E749" s="19">
        <v>261.71690000000001</v>
      </c>
      <c r="F749" s="19">
        <v>15.771599999999999</v>
      </c>
      <c r="G749" s="19">
        <v>377.50729999999999</v>
      </c>
      <c r="H749" s="19">
        <v>4621.3114999999998</v>
      </c>
      <c r="I749" s="19">
        <v>8222.0149000000001</v>
      </c>
      <c r="J749" s="75">
        <v>2044</v>
      </c>
      <c r="K749" s="75">
        <v>16065.449999999999</v>
      </c>
      <c r="L749" s="75">
        <v>-13417.68</v>
      </c>
      <c r="M749" s="75">
        <v>-17035.780000000002</v>
      </c>
      <c r="N749" s="75">
        <v>6329.52</v>
      </c>
      <c r="O749" s="75">
        <v>38385.550000000003</v>
      </c>
      <c r="P749" s="75">
        <v>16103.25</v>
      </c>
      <c r="Q749" s="75">
        <v>-37162.54</v>
      </c>
      <c r="R749" s="75">
        <v>11311.769999999997</v>
      </c>
    </row>
    <row r="750" spans="1:18" x14ac:dyDescent="0.3">
      <c r="A750">
        <v>733</v>
      </c>
      <c r="B750" s="19">
        <v>49.253399999999999</v>
      </c>
      <c r="C750" s="19">
        <v>32.552100000000003</v>
      </c>
      <c r="D750" s="19">
        <v>11.875500000000001</v>
      </c>
      <c r="E750" s="19">
        <v>267.22160000000002</v>
      </c>
      <c r="F750" s="19">
        <v>15.861499999999999</v>
      </c>
      <c r="G750" s="19">
        <v>371.42869999999999</v>
      </c>
      <c r="H750" s="19">
        <v>4716.1472000000003</v>
      </c>
      <c r="I750" s="19">
        <v>8772.2394000000004</v>
      </c>
      <c r="J750" s="75">
        <v>-6532</v>
      </c>
      <c r="K750" s="75">
        <v>-7065.1500000000005</v>
      </c>
      <c r="L750" s="75">
        <v>17360.400000000001</v>
      </c>
      <c r="M750" s="75">
        <v>3882.0800000000004</v>
      </c>
      <c r="N750" s="75">
        <v>10348.050000000001</v>
      </c>
      <c r="O750" s="75">
        <v>17110.45</v>
      </c>
      <c r="P750" s="75">
        <v>44553.960000000006</v>
      </c>
      <c r="Q750" s="75">
        <v>72882.36</v>
      </c>
      <c r="R750" s="75">
        <v>152540.15000000002</v>
      </c>
    </row>
    <row r="751" spans="1:18" x14ac:dyDescent="0.3">
      <c r="A751">
        <v>734</v>
      </c>
      <c r="B751" s="19">
        <v>49.762</v>
      </c>
      <c r="C751" s="19">
        <v>32.401600000000002</v>
      </c>
      <c r="D751" s="19">
        <v>11.669700000000001</v>
      </c>
      <c r="E751" s="19">
        <v>263.22460000000001</v>
      </c>
      <c r="F751" s="19">
        <v>15.6433</v>
      </c>
      <c r="G751" s="19">
        <v>353.1225</v>
      </c>
      <c r="H751" s="19">
        <v>4620.9692999999997</v>
      </c>
      <c r="I751" s="19">
        <v>8696.3562000000002</v>
      </c>
      <c r="J751" s="75">
        <v>3640</v>
      </c>
      <c r="K751" s="75">
        <v>-11354.4</v>
      </c>
      <c r="L751" s="75">
        <v>-914.64</v>
      </c>
      <c r="M751" s="75">
        <v>-11306.52</v>
      </c>
      <c r="N751" s="75">
        <v>594.51</v>
      </c>
      <c r="O751" s="75">
        <v>-46961.25</v>
      </c>
      <c r="P751" s="75">
        <v>16000.589999999998</v>
      </c>
      <c r="Q751" s="75">
        <v>57705.719999999994</v>
      </c>
      <c r="R751" s="75">
        <v>7404.0099999999875</v>
      </c>
    </row>
    <row r="752" spans="1:18" x14ac:dyDescent="0.3">
      <c r="A752">
        <v>735</v>
      </c>
      <c r="B752" s="19">
        <v>49.651600000000002</v>
      </c>
      <c r="C752" s="19">
        <v>32.090400000000002</v>
      </c>
      <c r="D752" s="19">
        <v>11.815799999999999</v>
      </c>
      <c r="E752" s="19">
        <v>264.2002</v>
      </c>
      <c r="F752" s="19">
        <v>15.629099999999999</v>
      </c>
      <c r="G752" s="19">
        <v>365.90109999999999</v>
      </c>
      <c r="H752" s="19">
        <v>4485.3248999999996</v>
      </c>
      <c r="I752" s="19">
        <v>8465.4055000000008</v>
      </c>
      <c r="J752" s="75">
        <v>1432</v>
      </c>
      <c r="K752" s="75">
        <v>-20223.599999999999</v>
      </c>
      <c r="L752" s="75">
        <v>12059.04</v>
      </c>
      <c r="M752" s="75">
        <v>-7599.24</v>
      </c>
      <c r="N752" s="75">
        <v>-40.229999999999997</v>
      </c>
      <c r="O752" s="75">
        <v>-2236.15</v>
      </c>
      <c r="P752" s="75">
        <v>-24692.73</v>
      </c>
      <c r="Q752" s="75">
        <v>11515.58</v>
      </c>
      <c r="R752" s="75">
        <v>-29785.329999999994</v>
      </c>
    </row>
    <row r="753" spans="1:18" x14ac:dyDescent="0.3">
      <c r="A753">
        <v>736</v>
      </c>
      <c r="B753" s="19">
        <v>49.665799999999997</v>
      </c>
      <c r="C753" s="19">
        <v>32.520400000000002</v>
      </c>
      <c r="D753" s="19">
        <v>11.7164</v>
      </c>
      <c r="E753" s="19">
        <v>260.9076</v>
      </c>
      <c r="F753" s="19">
        <v>15.757099999999999</v>
      </c>
      <c r="G753" s="19">
        <v>359.60590000000002</v>
      </c>
      <c r="H753" s="19">
        <v>4530.5009</v>
      </c>
      <c r="I753" s="19">
        <v>8817.4094000000005</v>
      </c>
      <c r="J753" s="75">
        <v>1716</v>
      </c>
      <c r="K753" s="75">
        <v>-7968.6</v>
      </c>
      <c r="L753" s="75">
        <v>3232.32</v>
      </c>
      <c r="M753" s="75">
        <v>-20111.12</v>
      </c>
      <c r="N753" s="75">
        <v>5681.37</v>
      </c>
      <c r="O753" s="75">
        <v>-24269.35</v>
      </c>
      <c r="P753" s="75">
        <v>-11139.93</v>
      </c>
      <c r="Q753" s="75">
        <v>81916.36</v>
      </c>
      <c r="R753" s="75">
        <v>29057.050000000003</v>
      </c>
    </row>
    <row r="754" spans="1:18" x14ac:dyDescent="0.3">
      <c r="A754">
        <v>737</v>
      </c>
      <c r="B754" s="19">
        <v>48.9482</v>
      </c>
      <c r="C754" s="19">
        <v>33.546399999999998</v>
      </c>
      <c r="D754" s="19">
        <v>11.342000000000001</v>
      </c>
      <c r="E754" s="19">
        <v>264.06720000000001</v>
      </c>
      <c r="F754" s="19">
        <v>15.592700000000001</v>
      </c>
      <c r="G754" s="19">
        <v>375.81380000000001</v>
      </c>
      <c r="H754" s="19">
        <v>4501.2030000000004</v>
      </c>
      <c r="I754" s="19">
        <v>8601.6777999999995</v>
      </c>
      <c r="J754" s="75">
        <v>-12636</v>
      </c>
      <c r="K754" s="75">
        <v>21272.399999999998</v>
      </c>
      <c r="L754" s="75">
        <v>-30014.400000000001</v>
      </c>
      <c r="M754" s="75">
        <v>-8104.64</v>
      </c>
      <c r="N754" s="75">
        <v>-1667.31</v>
      </c>
      <c r="O754" s="75">
        <v>32458.3</v>
      </c>
      <c r="P754" s="75">
        <v>-19929.3</v>
      </c>
      <c r="Q754" s="75">
        <v>38770.04</v>
      </c>
      <c r="R754" s="75">
        <v>20149.089999999997</v>
      </c>
    </row>
    <row r="755" spans="1:18" x14ac:dyDescent="0.3">
      <c r="A755">
        <v>738</v>
      </c>
      <c r="B755" s="19">
        <v>48.825899999999997</v>
      </c>
      <c r="C755" s="19">
        <v>31.872699999999998</v>
      </c>
      <c r="D755" s="19">
        <v>11.593</v>
      </c>
      <c r="E755" s="19">
        <v>273.06049999999999</v>
      </c>
      <c r="F755" s="19">
        <v>15.355700000000001</v>
      </c>
      <c r="G755" s="19">
        <v>373.4092</v>
      </c>
      <c r="H755" s="19">
        <v>4555.3891000000003</v>
      </c>
      <c r="I755" s="19">
        <v>8798.0007000000005</v>
      </c>
      <c r="J755" s="75">
        <v>-15082</v>
      </c>
      <c r="K755" s="75">
        <v>-26428.05</v>
      </c>
      <c r="L755" s="75">
        <v>-7725.5999999999995</v>
      </c>
      <c r="M755" s="75">
        <v>26069.9</v>
      </c>
      <c r="N755" s="75">
        <v>-12261.21</v>
      </c>
      <c r="O755" s="75">
        <v>24042.2</v>
      </c>
      <c r="P755" s="75">
        <v>-3673.47</v>
      </c>
      <c r="Q755" s="75">
        <v>78034.62</v>
      </c>
      <c r="R755" s="75">
        <v>62976.39</v>
      </c>
    </row>
    <row r="756" spans="1:18" x14ac:dyDescent="0.3">
      <c r="A756">
        <v>739</v>
      </c>
      <c r="B756" s="19">
        <v>49.115699999999997</v>
      </c>
      <c r="C756" s="19">
        <v>33.486899999999999</v>
      </c>
      <c r="D756" s="19">
        <v>11.5258</v>
      </c>
      <c r="E756" s="19">
        <v>263.78469999999999</v>
      </c>
      <c r="F756" s="19">
        <v>15.4764</v>
      </c>
      <c r="G756" s="19">
        <v>362.21800000000002</v>
      </c>
      <c r="H756" s="19">
        <v>4519.7800999999999</v>
      </c>
      <c r="I756" s="19">
        <v>8550.8420000000006</v>
      </c>
      <c r="J756" s="75">
        <v>-9286</v>
      </c>
      <c r="K756" s="75">
        <v>19576.649999999998</v>
      </c>
      <c r="L756" s="75">
        <v>-13692.960000000001</v>
      </c>
      <c r="M756" s="75">
        <v>-9178.14</v>
      </c>
      <c r="N756" s="75">
        <v>-6865.9199999999992</v>
      </c>
      <c r="O756" s="75">
        <v>-15127</v>
      </c>
      <c r="P756" s="75">
        <v>-14356.17</v>
      </c>
      <c r="Q756" s="75">
        <v>28602.879999999997</v>
      </c>
      <c r="R756" s="75">
        <v>-20326.660000000003</v>
      </c>
    </row>
    <row r="757" spans="1:18" x14ac:dyDescent="0.3">
      <c r="A757">
        <v>740</v>
      </c>
      <c r="B757" s="19">
        <v>49.259900000000002</v>
      </c>
      <c r="C757" s="19">
        <v>32.349400000000003</v>
      </c>
      <c r="D757" s="19">
        <v>11.829599999999999</v>
      </c>
      <c r="E757" s="19">
        <v>270.78469999999999</v>
      </c>
      <c r="F757" s="19">
        <v>15.6837</v>
      </c>
      <c r="G757" s="19">
        <v>358.5736</v>
      </c>
      <c r="H757" s="19">
        <v>4609.3773000000001</v>
      </c>
      <c r="I757" s="19">
        <v>8864.2746999999999</v>
      </c>
      <c r="J757" s="75">
        <v>-6402</v>
      </c>
      <c r="K757" s="75">
        <v>-12842.1</v>
      </c>
      <c r="L757" s="75">
        <v>13284.480000000001</v>
      </c>
      <c r="M757" s="75">
        <v>17421.86</v>
      </c>
      <c r="N757" s="75">
        <v>2400.39</v>
      </c>
      <c r="O757" s="75">
        <v>-27882.400000000001</v>
      </c>
      <c r="P757" s="75">
        <v>12522.99</v>
      </c>
      <c r="Q757" s="75">
        <v>91289.42</v>
      </c>
      <c r="R757" s="75">
        <v>89792.639999999999</v>
      </c>
    </row>
    <row r="758" spans="1:18" x14ac:dyDescent="0.3">
      <c r="A758">
        <v>741</v>
      </c>
      <c r="B758" s="19">
        <v>49.444099999999999</v>
      </c>
      <c r="C758" s="19">
        <v>32.3964</v>
      </c>
      <c r="D758" s="19">
        <v>11.6425</v>
      </c>
      <c r="E758" s="19">
        <v>257.42899999999997</v>
      </c>
      <c r="F758" s="19">
        <v>15.4838</v>
      </c>
      <c r="G758" s="19">
        <v>362.5718</v>
      </c>
      <c r="H758" s="19">
        <v>4522.2965999999997</v>
      </c>
      <c r="I758" s="19">
        <v>9066.8436999999994</v>
      </c>
      <c r="J758" s="75">
        <v>-2718</v>
      </c>
      <c r="K758" s="75">
        <v>-11502.6</v>
      </c>
      <c r="L758" s="75">
        <v>-3330</v>
      </c>
      <c r="M758" s="75">
        <v>-33329.800000000003</v>
      </c>
      <c r="N758" s="75">
        <v>-6535.1399999999994</v>
      </c>
      <c r="O758" s="75">
        <v>-13888.7</v>
      </c>
      <c r="P758" s="75">
        <v>-13601.220000000001</v>
      </c>
      <c r="Q758" s="75">
        <v>131803.22</v>
      </c>
      <c r="R758" s="75">
        <v>46897.759999999995</v>
      </c>
    </row>
    <row r="759" spans="1:18" x14ac:dyDescent="0.3">
      <c r="A759">
        <v>742</v>
      </c>
      <c r="B759" s="19">
        <v>49.645000000000003</v>
      </c>
      <c r="C759" s="19">
        <v>32.912300000000002</v>
      </c>
      <c r="D759" s="19">
        <v>11.9115</v>
      </c>
      <c r="E759" s="19">
        <v>266.95089999999999</v>
      </c>
      <c r="F759" s="19">
        <v>15.465999999999999</v>
      </c>
      <c r="G759" s="19">
        <v>366.56130000000002</v>
      </c>
      <c r="H759" s="19">
        <v>4685.1635999999999</v>
      </c>
      <c r="I759" s="19">
        <v>8009.4035999999996</v>
      </c>
      <c r="J759" s="75">
        <v>1300</v>
      </c>
      <c r="K759" s="75">
        <v>3200.5499999999997</v>
      </c>
      <c r="L759" s="75">
        <v>20557.2</v>
      </c>
      <c r="M759" s="75">
        <v>2853.42</v>
      </c>
      <c r="N759" s="75">
        <v>-7330.8</v>
      </c>
      <c r="O759" s="75">
        <v>74.55</v>
      </c>
      <c r="P759" s="75">
        <v>35258.879999999997</v>
      </c>
      <c r="Q759" s="75">
        <v>-79684.799999999988</v>
      </c>
      <c r="R759" s="75">
        <v>-23770.999999999993</v>
      </c>
    </row>
    <row r="760" spans="1:18" x14ac:dyDescent="0.3">
      <c r="A760">
        <v>743</v>
      </c>
      <c r="B760" s="19">
        <v>49.313899999999997</v>
      </c>
      <c r="C760" s="19">
        <v>32.3446</v>
      </c>
      <c r="D760" s="19">
        <v>11.578099999999999</v>
      </c>
      <c r="E760" s="19">
        <v>265.03980000000001</v>
      </c>
      <c r="F760" s="19">
        <v>15.4183</v>
      </c>
      <c r="G760" s="19">
        <v>374.70519999999999</v>
      </c>
      <c r="H760" s="19">
        <v>4633.1498000000001</v>
      </c>
      <c r="I760" s="19">
        <v>8470.4822999999997</v>
      </c>
      <c r="J760" s="75">
        <v>-5322</v>
      </c>
      <c r="K760" s="75">
        <v>-12978.900000000001</v>
      </c>
      <c r="L760" s="75">
        <v>-9048.7200000000012</v>
      </c>
      <c r="M760" s="75">
        <v>-4408.7599999999993</v>
      </c>
      <c r="N760" s="75">
        <v>-9462.99</v>
      </c>
      <c r="O760" s="75">
        <v>28578.2</v>
      </c>
      <c r="P760" s="75">
        <v>19654.739999999998</v>
      </c>
      <c r="Q760" s="75">
        <v>12530.94</v>
      </c>
      <c r="R760" s="75">
        <v>19542.509999999995</v>
      </c>
    </row>
    <row r="761" spans="1:18" x14ac:dyDescent="0.3">
      <c r="A761">
        <v>744</v>
      </c>
      <c r="B761" s="19">
        <v>49.9741</v>
      </c>
      <c r="C761" s="19">
        <v>32.930300000000003</v>
      </c>
      <c r="D761" s="19">
        <v>11.485099999999999</v>
      </c>
      <c r="E761" s="19">
        <v>280.07330000000002</v>
      </c>
      <c r="F761" s="19">
        <v>15.395200000000001</v>
      </c>
      <c r="G761" s="19">
        <v>370.16120000000001</v>
      </c>
      <c r="H761" s="19">
        <v>4515.6226999999999</v>
      </c>
      <c r="I761" s="19">
        <v>9061.2875000000004</v>
      </c>
      <c r="J761" s="75">
        <v>7882</v>
      </c>
      <c r="K761" s="75">
        <v>3713.55</v>
      </c>
      <c r="L761" s="75">
        <v>-17307.12</v>
      </c>
      <c r="M761" s="75">
        <v>52718.54</v>
      </c>
      <c r="N761" s="75">
        <v>-10495.56</v>
      </c>
      <c r="O761" s="75">
        <v>12674.2</v>
      </c>
      <c r="P761" s="75">
        <v>-15603.39</v>
      </c>
      <c r="Q761" s="75">
        <v>130691.98</v>
      </c>
      <c r="R761" s="75">
        <v>164274.20000000001</v>
      </c>
    </row>
    <row r="762" spans="1:18" x14ac:dyDescent="0.3">
      <c r="A762">
        <v>745</v>
      </c>
      <c r="B762" s="19">
        <v>50.098799999999997</v>
      </c>
      <c r="C762" s="19">
        <v>32.775599999999997</v>
      </c>
      <c r="D762" s="19">
        <v>11.486000000000001</v>
      </c>
      <c r="E762" s="19">
        <v>263.78149999999999</v>
      </c>
      <c r="F762" s="19">
        <v>15.6449</v>
      </c>
      <c r="G762" s="19">
        <v>371.84519999999998</v>
      </c>
      <c r="H762" s="19">
        <v>4570.2266</v>
      </c>
      <c r="I762" s="19">
        <v>8414.4817999999996</v>
      </c>
      <c r="J762" s="75">
        <v>10376</v>
      </c>
      <c r="K762" s="75">
        <v>-695.40000000000009</v>
      </c>
      <c r="L762" s="75">
        <v>-17227.2</v>
      </c>
      <c r="M762" s="75">
        <v>-9190.2999999999993</v>
      </c>
      <c r="N762" s="75">
        <v>666.03</v>
      </c>
      <c r="O762" s="75">
        <v>18568.2</v>
      </c>
      <c r="P762" s="75">
        <v>777.78</v>
      </c>
      <c r="Q762" s="75">
        <v>1330.8400000000001</v>
      </c>
      <c r="R762" s="75">
        <v>4605.95</v>
      </c>
    </row>
    <row r="763" spans="1:18" x14ac:dyDescent="0.3">
      <c r="A763">
        <v>746</v>
      </c>
      <c r="B763" s="19">
        <v>49.582700000000003</v>
      </c>
      <c r="C763" s="19">
        <v>32.433399999999999</v>
      </c>
      <c r="D763" s="19">
        <v>11.561400000000001</v>
      </c>
      <c r="E763" s="19">
        <v>256.85390000000001</v>
      </c>
      <c r="F763" s="19">
        <v>15.7423</v>
      </c>
      <c r="G763" s="19">
        <v>378.95</v>
      </c>
      <c r="H763" s="19">
        <v>4619.4375</v>
      </c>
      <c r="I763" s="19">
        <v>8457.6229000000003</v>
      </c>
      <c r="J763" s="75">
        <v>54</v>
      </c>
      <c r="K763" s="75">
        <v>-10448.1</v>
      </c>
      <c r="L763" s="75">
        <v>-10531.68</v>
      </c>
      <c r="M763" s="75">
        <v>-35515.18</v>
      </c>
      <c r="N763" s="75">
        <v>5019.8099999999995</v>
      </c>
      <c r="O763" s="75">
        <v>43435</v>
      </c>
      <c r="P763" s="75">
        <v>15541.05</v>
      </c>
      <c r="Q763" s="75">
        <v>9959.06</v>
      </c>
      <c r="R763" s="75">
        <v>17513.96</v>
      </c>
    </row>
    <row r="764" spans="1:18" x14ac:dyDescent="0.3">
      <c r="A764">
        <v>747</v>
      </c>
      <c r="B764" s="19">
        <v>49.431600000000003</v>
      </c>
      <c r="C764" s="19">
        <v>32.182099999999998</v>
      </c>
      <c r="D764" s="19">
        <v>11.940200000000001</v>
      </c>
      <c r="E764" s="19">
        <v>281.45600000000002</v>
      </c>
      <c r="F764" s="19">
        <v>16.139199999999999</v>
      </c>
      <c r="G764" s="19">
        <v>362.51010000000002</v>
      </c>
      <c r="H764" s="19">
        <v>4548.6544000000004</v>
      </c>
      <c r="I764" s="19">
        <v>8646.8279000000002</v>
      </c>
      <c r="J764" s="75">
        <v>-2968</v>
      </c>
      <c r="K764" s="75">
        <v>-17610.150000000001</v>
      </c>
      <c r="L764" s="75">
        <v>23105.759999999998</v>
      </c>
      <c r="M764" s="75">
        <v>57972.800000000003</v>
      </c>
      <c r="N764" s="75">
        <v>22761.239999999998</v>
      </c>
      <c r="O764" s="75">
        <v>-14104.649999999998</v>
      </c>
      <c r="P764" s="75">
        <v>-5693.88</v>
      </c>
      <c r="Q764" s="75">
        <v>47800.060000000005</v>
      </c>
      <c r="R764" s="75">
        <v>111263.18000000001</v>
      </c>
    </row>
    <row r="765" spans="1:18" x14ac:dyDescent="0.3">
      <c r="A765">
        <v>748</v>
      </c>
      <c r="B765" s="19">
        <v>48.362299999999998</v>
      </c>
      <c r="C765" s="19">
        <v>32.997</v>
      </c>
      <c r="D765" s="19">
        <v>11.2463</v>
      </c>
      <c r="E765" s="19">
        <v>269.28030000000001</v>
      </c>
      <c r="F765" s="19">
        <v>15.465299999999999</v>
      </c>
      <c r="G765" s="19">
        <v>365.32580000000002</v>
      </c>
      <c r="H765" s="19">
        <v>4624.7249000000002</v>
      </c>
      <c r="I765" s="19">
        <v>8532.8827999999994</v>
      </c>
      <c r="J765" s="75">
        <v>-24354</v>
      </c>
      <c r="K765" s="75">
        <v>5614.5</v>
      </c>
      <c r="L765" s="75">
        <v>-38512.559999999998</v>
      </c>
      <c r="M765" s="75">
        <v>11705.14</v>
      </c>
      <c r="N765" s="75">
        <v>-7362.09</v>
      </c>
      <c r="O765" s="75">
        <v>-4249.7</v>
      </c>
      <c r="P765" s="75">
        <v>17127.27</v>
      </c>
      <c r="Q765" s="75">
        <v>25011.040000000001</v>
      </c>
      <c r="R765" s="75">
        <v>-15020.399999999987</v>
      </c>
    </row>
    <row r="766" spans="1:18" x14ac:dyDescent="0.3">
      <c r="A766">
        <v>749</v>
      </c>
      <c r="B766" s="19">
        <v>49.266199999999998</v>
      </c>
      <c r="C766" s="19">
        <v>32.267000000000003</v>
      </c>
      <c r="D766" s="19">
        <v>11.816700000000001</v>
      </c>
      <c r="E766" s="19">
        <v>272.16550000000001</v>
      </c>
      <c r="F766" s="19">
        <v>15.5755</v>
      </c>
      <c r="G766" s="19">
        <v>371.48079999999999</v>
      </c>
      <c r="H766" s="19">
        <v>4526.2527</v>
      </c>
      <c r="I766" s="19">
        <v>8180.0644000000002</v>
      </c>
      <c r="J766" s="75">
        <v>-6276.0000000000009</v>
      </c>
      <c r="K766" s="75">
        <v>-15190.5</v>
      </c>
      <c r="L766" s="75">
        <v>12138.96</v>
      </c>
      <c r="M766" s="75">
        <v>22668.899999999998</v>
      </c>
      <c r="N766" s="75">
        <v>-2436.15</v>
      </c>
      <c r="O766" s="75">
        <v>17292.8</v>
      </c>
      <c r="P766" s="75">
        <v>-12414.390000000001</v>
      </c>
      <c r="Q766" s="75">
        <v>-45552.639999999999</v>
      </c>
      <c r="R766" s="75">
        <v>-29769.020000000004</v>
      </c>
    </row>
    <row r="767" spans="1:18" x14ac:dyDescent="0.3">
      <c r="A767">
        <v>750</v>
      </c>
      <c r="B767" s="19">
        <v>49.132800000000003</v>
      </c>
      <c r="C767" s="19">
        <v>32.297800000000002</v>
      </c>
      <c r="D767" s="19">
        <v>11.2562</v>
      </c>
      <c r="E767" s="19">
        <v>278.67169999999999</v>
      </c>
      <c r="F767" s="19">
        <v>15.880100000000001</v>
      </c>
      <c r="G767" s="19">
        <v>356.20389999999998</v>
      </c>
      <c r="H767" s="19">
        <v>4624.1859000000004</v>
      </c>
      <c r="I767" s="19">
        <v>8240.7685000000001</v>
      </c>
      <c r="J767" s="75">
        <v>-8944</v>
      </c>
      <c r="K767" s="75">
        <v>-14312.699999999999</v>
      </c>
      <c r="L767" s="75">
        <v>-37633.440000000002</v>
      </c>
      <c r="M767" s="75">
        <v>47392.46</v>
      </c>
      <c r="N767" s="75">
        <v>11179.47</v>
      </c>
      <c r="O767" s="75">
        <v>-36176.35</v>
      </c>
      <c r="P767" s="75">
        <v>16965.57</v>
      </c>
      <c r="Q767" s="75">
        <v>-33411.82</v>
      </c>
      <c r="R767" s="75">
        <v>-54940.81</v>
      </c>
    </row>
    <row r="768" spans="1:18" x14ac:dyDescent="0.3">
      <c r="A768">
        <v>751</v>
      </c>
      <c r="B768" s="19">
        <v>49.713700000000003</v>
      </c>
      <c r="C768" s="19">
        <v>31.807400000000001</v>
      </c>
      <c r="D768" s="19">
        <v>11.410600000000001</v>
      </c>
      <c r="E768" s="19">
        <v>288.83710000000002</v>
      </c>
      <c r="F768" s="19">
        <v>15.387700000000001</v>
      </c>
      <c r="G768" s="19">
        <v>362.55009999999999</v>
      </c>
      <c r="H768" s="19">
        <v>4525.8818000000001</v>
      </c>
      <c r="I768" s="19">
        <v>8286.5085999999992</v>
      </c>
      <c r="J768" s="75">
        <v>2674.0000000000005</v>
      </c>
      <c r="K768" s="75">
        <v>-28289.100000000002</v>
      </c>
      <c r="L768" s="75">
        <v>-23922.719999999998</v>
      </c>
      <c r="M768" s="75">
        <v>86020.98</v>
      </c>
      <c r="N768" s="75">
        <v>-10830.81</v>
      </c>
      <c r="O768" s="75">
        <v>-13964.65</v>
      </c>
      <c r="P768" s="75">
        <v>-12525.66</v>
      </c>
      <c r="Q768" s="75">
        <v>-24263.8</v>
      </c>
      <c r="R768" s="75">
        <v>-25101.760000000002</v>
      </c>
    </row>
    <row r="769" spans="1:18" x14ac:dyDescent="0.3">
      <c r="A769">
        <v>752</v>
      </c>
      <c r="B769" s="19">
        <v>50.444899999999997</v>
      </c>
      <c r="C769" s="19">
        <v>32.318300000000001</v>
      </c>
      <c r="D769" s="19">
        <v>11.4862</v>
      </c>
      <c r="E769" s="19">
        <v>265.7792</v>
      </c>
      <c r="F769" s="19">
        <v>15.862500000000001</v>
      </c>
      <c r="G769" s="19">
        <v>354.60629999999998</v>
      </c>
      <c r="H769" s="19">
        <v>4549.9931999999999</v>
      </c>
      <c r="I769" s="19">
        <v>7768.7019</v>
      </c>
      <c r="J769" s="75">
        <v>17298</v>
      </c>
      <c r="K769" s="75">
        <v>-13728.45</v>
      </c>
      <c r="L769" s="75">
        <v>-17209.439999999999</v>
      </c>
      <c r="M769" s="75">
        <v>-1599.04</v>
      </c>
      <c r="N769" s="75">
        <v>10392.75</v>
      </c>
      <c r="O769" s="75">
        <v>-41767.949999999997</v>
      </c>
      <c r="P769" s="75">
        <v>-5292.24</v>
      </c>
      <c r="Q769" s="75">
        <v>-127825.14000000001</v>
      </c>
      <c r="R769" s="75">
        <v>-179731.51</v>
      </c>
    </row>
    <row r="770" spans="1:18" x14ac:dyDescent="0.3">
      <c r="A770">
        <v>753</v>
      </c>
      <c r="B770" s="19">
        <v>49.343899999999998</v>
      </c>
      <c r="C770" s="19">
        <v>32.404600000000002</v>
      </c>
      <c r="D770" s="19">
        <v>11.7264</v>
      </c>
      <c r="E770" s="19">
        <v>270.92090000000002</v>
      </c>
      <c r="F770" s="19">
        <v>15.667899999999999</v>
      </c>
      <c r="G770" s="19">
        <v>362.39729999999997</v>
      </c>
      <c r="H770" s="19">
        <v>4573.5585000000001</v>
      </c>
      <c r="I770" s="19">
        <v>8083.9182000000001</v>
      </c>
      <c r="J770" s="75">
        <v>-4722</v>
      </c>
      <c r="K770" s="75">
        <v>-11268.9</v>
      </c>
      <c r="L770" s="75">
        <v>4120.32</v>
      </c>
      <c r="M770" s="75">
        <v>17939.420000000002</v>
      </c>
      <c r="N770" s="75">
        <v>1694.13</v>
      </c>
      <c r="O770" s="75">
        <v>-14499.449999999999</v>
      </c>
      <c r="P770" s="75">
        <v>1777.3500000000001</v>
      </c>
      <c r="Q770" s="75">
        <v>-64781.880000000005</v>
      </c>
      <c r="R770" s="75">
        <v>-69741.009999999995</v>
      </c>
    </row>
    <row r="771" spans="1:18" x14ac:dyDescent="0.3">
      <c r="A771">
        <v>754</v>
      </c>
      <c r="B771" s="19">
        <v>49.252299999999998</v>
      </c>
      <c r="C771" s="19">
        <v>32.755600000000001</v>
      </c>
      <c r="D771" s="19">
        <v>11.7041</v>
      </c>
      <c r="E771" s="19">
        <v>280.53120000000001</v>
      </c>
      <c r="F771" s="19">
        <v>15.513500000000001</v>
      </c>
      <c r="G771" s="19">
        <v>373.57100000000003</v>
      </c>
      <c r="H771" s="19">
        <v>4652.7249000000002</v>
      </c>
      <c r="I771" s="19">
        <v>7837.3788999999997</v>
      </c>
      <c r="J771" s="75">
        <v>-6554</v>
      </c>
      <c r="K771" s="75">
        <v>-1265.4000000000001</v>
      </c>
      <c r="L771" s="75">
        <v>2140.08</v>
      </c>
      <c r="M771" s="75">
        <v>54458.560000000005</v>
      </c>
      <c r="N771" s="75">
        <v>-5207.55</v>
      </c>
      <c r="O771" s="75">
        <v>24608.5</v>
      </c>
      <c r="P771" s="75">
        <v>25527.27</v>
      </c>
      <c r="Q771" s="75">
        <v>-114089.74</v>
      </c>
      <c r="R771" s="75">
        <v>-20382.28</v>
      </c>
    </row>
    <row r="772" spans="1:18" x14ac:dyDescent="0.3">
      <c r="A772">
        <v>755</v>
      </c>
      <c r="B772" s="19">
        <v>50.0548</v>
      </c>
      <c r="C772" s="19">
        <v>32.965200000000003</v>
      </c>
      <c r="D772" s="19">
        <v>11.7232</v>
      </c>
      <c r="E772" s="19">
        <v>267.1216</v>
      </c>
      <c r="F772" s="19">
        <v>15.3881</v>
      </c>
      <c r="G772" s="19">
        <v>365.77390000000003</v>
      </c>
      <c r="H772" s="19">
        <v>4719.7082</v>
      </c>
      <c r="I772" s="19">
        <v>8665.5436000000009</v>
      </c>
      <c r="J772" s="75">
        <v>9496</v>
      </c>
      <c r="K772" s="75">
        <v>4708.2000000000007</v>
      </c>
      <c r="L772" s="75">
        <v>3836.1600000000003</v>
      </c>
      <c r="M772" s="75">
        <v>3502.08</v>
      </c>
      <c r="N772" s="75">
        <v>-10812.93</v>
      </c>
      <c r="O772" s="75">
        <v>-2681.35</v>
      </c>
      <c r="P772" s="75">
        <v>45622.259999999995</v>
      </c>
      <c r="Q772" s="75">
        <v>51543.200000000004</v>
      </c>
      <c r="R772" s="75">
        <v>105213.62</v>
      </c>
    </row>
    <row r="773" spans="1:18" x14ac:dyDescent="0.3">
      <c r="A773">
        <v>756</v>
      </c>
      <c r="B773" s="19">
        <v>49.070599999999999</v>
      </c>
      <c r="C773" s="19">
        <v>33.067999999999998</v>
      </c>
      <c r="D773" s="19">
        <v>11.442500000000001</v>
      </c>
      <c r="E773" s="19">
        <v>260.93360000000001</v>
      </c>
      <c r="F773" s="19">
        <v>15.6737</v>
      </c>
      <c r="G773" s="19">
        <v>372.72660000000002</v>
      </c>
      <c r="H773" s="19">
        <v>4575.3917000000001</v>
      </c>
      <c r="I773" s="19">
        <v>8116.5765000000001</v>
      </c>
      <c r="J773" s="75">
        <v>-10188</v>
      </c>
      <c r="K773" s="75">
        <v>7638.0000000000009</v>
      </c>
      <c r="L773" s="75">
        <v>-21090</v>
      </c>
      <c r="M773" s="75">
        <v>-20012.32</v>
      </c>
      <c r="N773" s="75">
        <v>1953.39</v>
      </c>
      <c r="O773" s="75">
        <v>21653.100000000002</v>
      </c>
      <c r="P773" s="75">
        <v>2327.31</v>
      </c>
      <c r="Q773" s="75">
        <v>-58250.22</v>
      </c>
      <c r="R773" s="75">
        <v>-75968.739999999991</v>
      </c>
    </row>
    <row r="774" spans="1:18" x14ac:dyDescent="0.3">
      <c r="A774">
        <v>757</v>
      </c>
      <c r="B774" s="19">
        <v>49.6295</v>
      </c>
      <c r="C774" s="19">
        <v>32.7271</v>
      </c>
      <c r="D774" s="19">
        <v>11.341200000000001</v>
      </c>
      <c r="E774" s="19">
        <v>264.02820000000003</v>
      </c>
      <c r="F774" s="19">
        <v>15.476800000000001</v>
      </c>
      <c r="G774" s="19">
        <v>352.3777</v>
      </c>
      <c r="H774" s="19">
        <v>4631.4933000000001</v>
      </c>
      <c r="I774" s="19">
        <v>7632.9544999999998</v>
      </c>
      <c r="J774" s="75">
        <v>990</v>
      </c>
      <c r="K774" s="75">
        <v>-2077.65</v>
      </c>
      <c r="L774" s="75">
        <v>-30085.439999999999</v>
      </c>
      <c r="M774" s="75">
        <v>-8252.84</v>
      </c>
      <c r="N774" s="75">
        <v>-6848.04</v>
      </c>
      <c r="O774" s="75">
        <v>-49568.05</v>
      </c>
      <c r="P774" s="75">
        <v>19157.79</v>
      </c>
      <c r="Q774" s="75">
        <v>-154974.62</v>
      </c>
      <c r="R774" s="75">
        <v>-231658.85</v>
      </c>
    </row>
    <row r="775" spans="1:18" x14ac:dyDescent="0.3">
      <c r="A775">
        <v>758</v>
      </c>
      <c r="B775" s="19">
        <v>49.670400000000001</v>
      </c>
      <c r="C775" s="19">
        <v>32.551000000000002</v>
      </c>
      <c r="D775" s="19">
        <v>11.5456</v>
      </c>
      <c r="E775" s="19">
        <v>251.78059999999999</v>
      </c>
      <c r="F775" s="19">
        <v>15.6004</v>
      </c>
      <c r="G775" s="19">
        <v>362.3689</v>
      </c>
      <c r="H775" s="19">
        <v>4557.2703000000001</v>
      </c>
      <c r="I775" s="19">
        <v>8777.9465999999993</v>
      </c>
      <c r="J775" s="75">
        <v>1807.9999999999998</v>
      </c>
      <c r="K775" s="75">
        <v>-7096.5</v>
      </c>
      <c r="L775" s="75">
        <v>-11934.72</v>
      </c>
      <c r="M775" s="75">
        <v>-54793.72</v>
      </c>
      <c r="N775" s="75">
        <v>-1323.1200000000001</v>
      </c>
      <c r="O775" s="75">
        <v>-14598.85</v>
      </c>
      <c r="P775" s="75">
        <v>-3109.11</v>
      </c>
      <c r="Q775" s="75">
        <v>74023.8</v>
      </c>
      <c r="R775" s="75">
        <v>-17024.22</v>
      </c>
    </row>
    <row r="776" spans="1:18" x14ac:dyDescent="0.3">
      <c r="A776">
        <v>759</v>
      </c>
      <c r="B776" s="19">
        <v>49.674100000000003</v>
      </c>
      <c r="C776" s="19">
        <v>33.067999999999998</v>
      </c>
      <c r="D776" s="19">
        <v>12.0632</v>
      </c>
      <c r="E776" s="19">
        <v>257.13069999999999</v>
      </c>
      <c r="F776" s="19">
        <v>15.370900000000001</v>
      </c>
      <c r="G776" s="19">
        <v>365.81509999999997</v>
      </c>
      <c r="H776" s="19">
        <v>4544.4868999999999</v>
      </c>
      <c r="I776" s="19">
        <v>8792.3076999999994</v>
      </c>
      <c r="J776" s="75">
        <v>1882</v>
      </c>
      <c r="K776" s="75">
        <v>7638.0000000000009</v>
      </c>
      <c r="L776" s="75">
        <v>34028.159999999996</v>
      </c>
      <c r="M776" s="75">
        <v>-34463.340000000004</v>
      </c>
      <c r="N776" s="75">
        <v>-11581.77</v>
      </c>
      <c r="O776" s="75">
        <v>-2537.15</v>
      </c>
      <c r="P776" s="75">
        <v>-6944.1299999999992</v>
      </c>
      <c r="Q776" s="75">
        <v>76896.02</v>
      </c>
      <c r="R776" s="75">
        <v>64917.789999999994</v>
      </c>
    </row>
    <row r="777" spans="1:18" x14ac:dyDescent="0.3">
      <c r="A777">
        <v>760</v>
      </c>
      <c r="B777" s="19">
        <v>49.7714</v>
      </c>
      <c r="C777" s="19">
        <v>33.991199999999999</v>
      </c>
      <c r="D777" s="19">
        <v>11.681900000000001</v>
      </c>
      <c r="E777" s="19">
        <v>257.75639999999999</v>
      </c>
      <c r="F777" s="19">
        <v>15.833500000000001</v>
      </c>
      <c r="G777" s="19">
        <v>370.35719999999998</v>
      </c>
      <c r="H777" s="19">
        <v>4510.9997999999996</v>
      </c>
      <c r="I777" s="19">
        <v>9398.1913999999997</v>
      </c>
      <c r="J777" s="75">
        <v>3827.9999999999995</v>
      </c>
      <c r="K777" s="75">
        <v>33949.200000000004</v>
      </c>
      <c r="L777" s="75">
        <v>168.72</v>
      </c>
      <c r="M777" s="75">
        <v>-32085.68</v>
      </c>
      <c r="N777" s="75">
        <v>9096.4499999999989</v>
      </c>
      <c r="O777" s="75">
        <v>13360.2</v>
      </c>
      <c r="P777" s="75">
        <v>-16990.259999999998</v>
      </c>
      <c r="Q777" s="75">
        <v>198072.75999999998</v>
      </c>
      <c r="R777" s="75">
        <v>209399.38999999998</v>
      </c>
    </row>
    <row r="778" spans="1:18" x14ac:dyDescent="0.3">
      <c r="A778">
        <v>761</v>
      </c>
      <c r="B778" s="19">
        <v>49.998399999999997</v>
      </c>
      <c r="C778" s="19">
        <v>32.729900000000001</v>
      </c>
      <c r="D778" s="19">
        <v>11.964700000000001</v>
      </c>
      <c r="E778" s="19">
        <v>276.71230000000003</v>
      </c>
      <c r="F778" s="19">
        <v>15.5565</v>
      </c>
      <c r="G778" s="19">
        <v>376.20080000000002</v>
      </c>
      <c r="H778" s="19">
        <v>4515.1433999999999</v>
      </c>
      <c r="I778" s="19">
        <v>8522.2302</v>
      </c>
      <c r="J778" s="75">
        <v>8368</v>
      </c>
      <c r="K778" s="75">
        <v>-1997.85</v>
      </c>
      <c r="L778" s="75">
        <v>25281.360000000001</v>
      </c>
      <c r="M778" s="75">
        <v>39946.74</v>
      </c>
      <c r="N778" s="75">
        <v>-3285.45</v>
      </c>
      <c r="O778" s="75">
        <v>33812.800000000003</v>
      </c>
      <c r="P778" s="75">
        <v>-15747.18</v>
      </c>
      <c r="Q778" s="75">
        <v>22880.52</v>
      </c>
      <c r="R778" s="75">
        <v>109258.94000000002</v>
      </c>
    </row>
    <row r="779" spans="1:18" x14ac:dyDescent="0.3">
      <c r="A779">
        <v>762</v>
      </c>
      <c r="B779" s="19">
        <v>48.998699999999999</v>
      </c>
      <c r="C779" s="19">
        <v>32.342599999999997</v>
      </c>
      <c r="D779" s="19">
        <v>11.680899999999999</v>
      </c>
      <c r="E779" s="19">
        <v>260.20769999999999</v>
      </c>
      <c r="F779" s="19">
        <v>15.311400000000001</v>
      </c>
      <c r="G779" s="19">
        <v>380.96570000000003</v>
      </c>
      <c r="H779" s="19">
        <v>4528.5182000000004</v>
      </c>
      <c r="I779" s="19">
        <v>8391.7216000000008</v>
      </c>
      <c r="J779" s="75">
        <v>-11626</v>
      </c>
      <c r="K779" s="75">
        <v>-13035.9</v>
      </c>
      <c r="L779" s="75">
        <v>79.92</v>
      </c>
      <c r="M779" s="75">
        <v>-22770.74</v>
      </c>
      <c r="N779" s="75">
        <v>-14241.42</v>
      </c>
      <c r="O779" s="75">
        <v>50489.950000000004</v>
      </c>
      <c r="P779" s="75">
        <v>-11734.74</v>
      </c>
      <c r="Q779" s="75">
        <v>-3221.2000000000003</v>
      </c>
      <c r="R779" s="75">
        <v>-26060.129999999994</v>
      </c>
    </row>
    <row r="780" spans="1:18" x14ac:dyDescent="0.3">
      <c r="A780">
        <v>763</v>
      </c>
      <c r="B780" s="19">
        <v>49.439300000000003</v>
      </c>
      <c r="C780" s="19">
        <v>33.1434</v>
      </c>
      <c r="D780" s="19">
        <v>11.714700000000001</v>
      </c>
      <c r="E780" s="19">
        <v>271.21440000000001</v>
      </c>
      <c r="F780" s="19">
        <v>15.612500000000001</v>
      </c>
      <c r="G780" s="19">
        <v>372.58980000000003</v>
      </c>
      <c r="H780" s="19">
        <v>4411.0369000000001</v>
      </c>
      <c r="I780" s="19">
        <v>7973.4004000000004</v>
      </c>
      <c r="J780" s="75">
        <v>-2814</v>
      </c>
      <c r="K780" s="75">
        <v>9786.9</v>
      </c>
      <c r="L780" s="75">
        <v>3081.36</v>
      </c>
      <c r="M780" s="75">
        <v>19054.72</v>
      </c>
      <c r="N780" s="75">
        <v>-782.25000000000011</v>
      </c>
      <c r="O780" s="75">
        <v>21174.3</v>
      </c>
      <c r="P780" s="75">
        <v>-46979.130000000005</v>
      </c>
      <c r="Q780" s="75">
        <v>-86885.440000000002</v>
      </c>
      <c r="R780" s="75">
        <v>-84363.540000000008</v>
      </c>
    </row>
    <row r="781" spans="1:18" x14ac:dyDescent="0.3">
      <c r="A781">
        <v>764</v>
      </c>
      <c r="B781" s="19">
        <v>49.951099999999997</v>
      </c>
      <c r="C781" s="19">
        <v>32.3264</v>
      </c>
      <c r="D781" s="19">
        <v>11.3749</v>
      </c>
      <c r="E781" s="19">
        <v>258.81029999999998</v>
      </c>
      <c r="F781" s="19">
        <v>15.442600000000001</v>
      </c>
      <c r="G781" s="19">
        <v>371.58370000000002</v>
      </c>
      <c r="H781" s="19">
        <v>4578.8975</v>
      </c>
      <c r="I781" s="19">
        <v>8814.8765999999996</v>
      </c>
      <c r="J781" s="75">
        <v>7422</v>
      </c>
      <c r="K781" s="75">
        <v>-13497.6</v>
      </c>
      <c r="L781" s="75">
        <v>-27092.879999999997</v>
      </c>
      <c r="M781" s="75">
        <v>-28080.86</v>
      </c>
      <c r="N781" s="75">
        <v>-8376.7800000000007</v>
      </c>
      <c r="O781" s="75">
        <v>17652.95</v>
      </c>
      <c r="P781" s="75">
        <v>3379.05</v>
      </c>
      <c r="Q781" s="75">
        <v>81409.799999999988</v>
      </c>
      <c r="R781" s="75">
        <v>32815.679999999993</v>
      </c>
    </row>
    <row r="782" spans="1:18" x14ac:dyDescent="0.3">
      <c r="A782">
        <v>765</v>
      </c>
      <c r="B782" s="19">
        <v>49.289000000000001</v>
      </c>
      <c r="C782" s="19">
        <v>32.277200000000001</v>
      </c>
      <c r="D782" s="19">
        <v>11.323600000000001</v>
      </c>
      <c r="E782" s="19">
        <v>270.48020000000002</v>
      </c>
      <c r="F782" s="19">
        <v>15.2949</v>
      </c>
      <c r="G782" s="19">
        <v>363.19540000000001</v>
      </c>
      <c r="H782" s="19">
        <v>4591.1136999999999</v>
      </c>
      <c r="I782" s="19">
        <v>8144.6185999999998</v>
      </c>
      <c r="J782" s="75">
        <v>-5820</v>
      </c>
      <c r="K782" s="75">
        <v>-14899.800000000001</v>
      </c>
      <c r="L782" s="75">
        <v>-31648.32</v>
      </c>
      <c r="M782" s="75">
        <v>16264.759999999998</v>
      </c>
      <c r="N782" s="75">
        <v>-14978.970000000001</v>
      </c>
      <c r="O782" s="75">
        <v>-11706.099999999999</v>
      </c>
      <c r="P782" s="75">
        <v>7043.9100000000008</v>
      </c>
      <c r="Q782" s="75">
        <v>-52641.8</v>
      </c>
      <c r="R782" s="75">
        <v>-108386.32</v>
      </c>
    </row>
    <row r="783" spans="1:18" x14ac:dyDescent="0.3">
      <c r="A783">
        <v>766</v>
      </c>
      <c r="B783" s="19">
        <v>49.752699999999997</v>
      </c>
      <c r="C783" s="19">
        <v>32.924399999999999</v>
      </c>
      <c r="D783" s="19">
        <v>11.6122</v>
      </c>
      <c r="E783" s="19">
        <v>264.65069999999997</v>
      </c>
      <c r="F783" s="19">
        <v>16.109100000000002</v>
      </c>
      <c r="G783" s="19">
        <v>368.96789999999999</v>
      </c>
      <c r="H783" s="19">
        <v>4654.2883000000002</v>
      </c>
      <c r="I783" s="19">
        <v>8238.0601000000006</v>
      </c>
      <c r="J783" s="75">
        <v>3454</v>
      </c>
      <c r="K783" s="75">
        <v>3545.4</v>
      </c>
      <c r="L783" s="75">
        <v>-6020.64</v>
      </c>
      <c r="M783" s="75">
        <v>-5887.3399999999992</v>
      </c>
      <c r="N783" s="75">
        <v>21415.77</v>
      </c>
      <c r="O783" s="75">
        <v>8497.6500000000015</v>
      </c>
      <c r="P783" s="75">
        <v>25996.29</v>
      </c>
      <c r="Q783" s="75">
        <v>-33953.5</v>
      </c>
      <c r="R783" s="75">
        <v>17047.630000000005</v>
      </c>
    </row>
    <row r="784" spans="1:18" x14ac:dyDescent="0.3">
      <c r="A784">
        <v>767</v>
      </c>
      <c r="B784" s="19">
        <v>49.441299999999998</v>
      </c>
      <c r="C784" s="19">
        <v>32.404800000000002</v>
      </c>
      <c r="D784" s="19">
        <v>12.008599999999999</v>
      </c>
      <c r="E784" s="19">
        <v>270.09730000000002</v>
      </c>
      <c r="F784" s="19">
        <v>15.3971</v>
      </c>
      <c r="G784" s="19">
        <v>361.46949999999998</v>
      </c>
      <c r="H784" s="19">
        <v>4690.6098000000002</v>
      </c>
      <c r="I784" s="19">
        <v>8550.7672999999995</v>
      </c>
      <c r="J784" s="75">
        <v>-2774</v>
      </c>
      <c r="K784" s="75">
        <v>-11263.2</v>
      </c>
      <c r="L784" s="75">
        <v>29179.68</v>
      </c>
      <c r="M784" s="75">
        <v>14809.74</v>
      </c>
      <c r="N784" s="75">
        <v>-10410.629999999999</v>
      </c>
      <c r="O784" s="75">
        <v>-17746.75</v>
      </c>
      <c r="P784" s="75">
        <v>36892.740000000005</v>
      </c>
      <c r="Q784" s="75">
        <v>28587.94</v>
      </c>
      <c r="R784" s="75">
        <v>67275.520000000004</v>
      </c>
    </row>
    <row r="785" spans="1:18" x14ac:dyDescent="0.3">
      <c r="A785">
        <v>768</v>
      </c>
      <c r="B785" s="19">
        <v>49.970599999999997</v>
      </c>
      <c r="C785" s="19">
        <v>33.235599999999998</v>
      </c>
      <c r="D785" s="19">
        <v>11.5185</v>
      </c>
      <c r="E785" s="19">
        <v>249.11340000000001</v>
      </c>
      <c r="F785" s="19">
        <v>15.6401</v>
      </c>
      <c r="G785" s="19">
        <v>357.43990000000002</v>
      </c>
      <c r="H785" s="19">
        <v>4568.4520000000002</v>
      </c>
      <c r="I785" s="19">
        <v>8356.8461000000007</v>
      </c>
      <c r="J785" s="75">
        <v>7812</v>
      </c>
      <c r="K785" s="75">
        <v>12414.6</v>
      </c>
      <c r="L785" s="75">
        <v>-14341.2</v>
      </c>
      <c r="M785" s="75">
        <v>-64929.08</v>
      </c>
      <c r="N785" s="75">
        <v>451.46999999999997</v>
      </c>
      <c r="O785" s="75">
        <v>-31850.35</v>
      </c>
      <c r="P785" s="75">
        <v>245.39999999999998</v>
      </c>
      <c r="Q785" s="75">
        <v>-10196.299999999999</v>
      </c>
      <c r="R785" s="75">
        <v>-100393.46</v>
      </c>
    </row>
    <row r="786" spans="1:18" x14ac:dyDescent="0.3">
      <c r="A786">
        <v>769</v>
      </c>
      <c r="B786" s="19">
        <v>49.4816</v>
      </c>
      <c r="C786" s="19">
        <v>32.740600000000001</v>
      </c>
      <c r="D786" s="19">
        <v>11.480600000000001</v>
      </c>
      <c r="E786" s="19">
        <v>262.89499999999998</v>
      </c>
      <c r="F786" s="19">
        <v>15.455399999999999</v>
      </c>
      <c r="G786" s="19">
        <v>366.19920000000002</v>
      </c>
      <c r="H786" s="19">
        <v>4464.6292999999996</v>
      </c>
      <c r="I786" s="19">
        <v>8380.0414000000001</v>
      </c>
      <c r="J786" s="75">
        <v>-1968</v>
      </c>
      <c r="K786" s="75">
        <v>-1692.9</v>
      </c>
      <c r="L786" s="75">
        <v>-17706.72</v>
      </c>
      <c r="M786" s="75">
        <v>-12559</v>
      </c>
      <c r="N786" s="75">
        <v>-7804.62</v>
      </c>
      <c r="O786" s="75">
        <v>-1192.8</v>
      </c>
      <c r="P786" s="75">
        <v>-30901.41</v>
      </c>
      <c r="Q786" s="75">
        <v>-5557.24</v>
      </c>
      <c r="R786" s="75">
        <v>-79382.690000000017</v>
      </c>
    </row>
    <row r="787" spans="1:18" x14ac:dyDescent="0.3">
      <c r="A787">
        <v>770</v>
      </c>
      <c r="B787" s="19">
        <v>49.973300000000002</v>
      </c>
      <c r="C787" s="19">
        <v>32.156199999999998</v>
      </c>
      <c r="D787" s="19">
        <v>11.655200000000001</v>
      </c>
      <c r="E787" s="19">
        <v>260.41500000000002</v>
      </c>
      <c r="F787" s="19">
        <v>15.8721</v>
      </c>
      <c r="G787" s="19">
        <v>361.42959999999999</v>
      </c>
      <c r="H787" s="19">
        <v>4555.3173999999999</v>
      </c>
      <c r="I787" s="19">
        <v>7851.7299000000003</v>
      </c>
      <c r="J787" s="75">
        <v>7866</v>
      </c>
      <c r="K787" s="75">
        <v>-18348.300000000003</v>
      </c>
      <c r="L787" s="75">
        <v>-2202.2399999999998</v>
      </c>
      <c r="M787" s="75">
        <v>-21983</v>
      </c>
      <c r="N787" s="75">
        <v>10821.87</v>
      </c>
      <c r="O787" s="75">
        <v>-17886.400000000001</v>
      </c>
      <c r="P787" s="75">
        <v>-3694.98</v>
      </c>
      <c r="Q787" s="75">
        <v>-111219.54000000001</v>
      </c>
      <c r="R787" s="75">
        <v>-156646.59000000003</v>
      </c>
    </row>
    <row r="788" spans="1:18" x14ac:dyDescent="0.3">
      <c r="A788">
        <v>771</v>
      </c>
      <c r="B788" s="19">
        <v>49.221299999999999</v>
      </c>
      <c r="C788" s="19">
        <v>33.050600000000003</v>
      </c>
      <c r="D788" s="19">
        <v>11.6859</v>
      </c>
      <c r="E788" s="19">
        <v>257.9907</v>
      </c>
      <c r="F788" s="19">
        <v>16.064</v>
      </c>
      <c r="G788" s="19">
        <v>366.48090000000002</v>
      </c>
      <c r="H788" s="19">
        <v>4445.3595999999998</v>
      </c>
      <c r="I788" s="19">
        <v>8249.9240000000009</v>
      </c>
      <c r="J788" s="75">
        <v>-7174</v>
      </c>
      <c r="K788" s="75">
        <v>7142.0999999999995</v>
      </c>
      <c r="L788" s="75">
        <v>523.91999999999996</v>
      </c>
      <c r="M788" s="75">
        <v>-31195.340000000004</v>
      </c>
      <c r="N788" s="75">
        <v>19399.8</v>
      </c>
      <c r="O788" s="75">
        <v>-206.85</v>
      </c>
      <c r="P788" s="75">
        <v>-36682.32</v>
      </c>
      <c r="Q788" s="75">
        <v>-31580.720000000001</v>
      </c>
      <c r="R788" s="75">
        <v>-79773.41</v>
      </c>
    </row>
    <row r="789" spans="1:18" x14ac:dyDescent="0.3">
      <c r="A789">
        <v>772</v>
      </c>
      <c r="B789" s="19">
        <v>49.818300000000001</v>
      </c>
      <c r="C789" s="19">
        <v>33.219499999999996</v>
      </c>
      <c r="D789" s="19">
        <v>11.5413</v>
      </c>
      <c r="E789" s="19">
        <v>283.9597</v>
      </c>
      <c r="F789" s="19">
        <v>15.6272</v>
      </c>
      <c r="G789" s="19">
        <v>368.40940000000001</v>
      </c>
      <c r="H789" s="19">
        <v>4635.6844000000001</v>
      </c>
      <c r="I789" s="19">
        <v>8601.1787999999997</v>
      </c>
      <c r="J789" s="75">
        <v>4766</v>
      </c>
      <c r="K789" s="75">
        <v>11955.75</v>
      </c>
      <c r="L789" s="75">
        <v>-12316.56</v>
      </c>
      <c r="M789" s="75">
        <v>67486.86</v>
      </c>
      <c r="N789" s="75">
        <v>-125.16</v>
      </c>
      <c r="O789" s="75">
        <v>6542.9</v>
      </c>
      <c r="P789" s="75">
        <v>20415.12</v>
      </c>
      <c r="Q789" s="75">
        <v>38670.239999999998</v>
      </c>
      <c r="R789" s="75">
        <v>137395.15</v>
      </c>
    </row>
    <row r="790" spans="1:18" x14ac:dyDescent="0.3">
      <c r="A790">
        <v>773</v>
      </c>
      <c r="B790" s="19">
        <v>50.101300000000002</v>
      </c>
      <c r="C790" s="19">
        <v>32.5867</v>
      </c>
      <c r="D790" s="19">
        <v>11.9826</v>
      </c>
      <c r="E790" s="19">
        <v>265.14589999999998</v>
      </c>
      <c r="F790" s="19">
        <v>15.8073</v>
      </c>
      <c r="G790" s="19">
        <v>382.87060000000002</v>
      </c>
      <c r="H790" s="19">
        <v>4522.0999000000002</v>
      </c>
      <c r="I790" s="19">
        <v>9074.6061000000009</v>
      </c>
      <c r="J790" s="75">
        <v>10426</v>
      </c>
      <c r="K790" s="75">
        <v>-6079.0499999999993</v>
      </c>
      <c r="L790" s="75">
        <v>26870.879999999997</v>
      </c>
      <c r="M790" s="75">
        <v>-4005.58</v>
      </c>
      <c r="N790" s="75">
        <v>7925.31</v>
      </c>
      <c r="O790" s="75">
        <v>57157.1</v>
      </c>
      <c r="P790" s="75">
        <v>-13660.230000000001</v>
      </c>
      <c r="Q790" s="75">
        <v>133355.70000000001</v>
      </c>
      <c r="R790" s="75">
        <v>211990.13</v>
      </c>
    </row>
    <row r="791" spans="1:18" x14ac:dyDescent="0.3">
      <c r="A791">
        <v>774</v>
      </c>
      <c r="B791" s="19">
        <v>49.219700000000003</v>
      </c>
      <c r="C791" s="19">
        <v>32.298900000000003</v>
      </c>
      <c r="D791" s="19">
        <v>11.4939</v>
      </c>
      <c r="E791" s="19">
        <v>259.37970000000001</v>
      </c>
      <c r="F791" s="19">
        <v>15.468500000000001</v>
      </c>
      <c r="G791" s="19">
        <v>365.43450000000001</v>
      </c>
      <c r="H791" s="19">
        <v>4691.1750000000002</v>
      </c>
      <c r="I791" s="19">
        <v>9036.3065000000006</v>
      </c>
      <c r="J791" s="75">
        <v>-7206</v>
      </c>
      <c r="K791" s="75">
        <v>-14281.35</v>
      </c>
      <c r="L791" s="75">
        <v>-16525.68</v>
      </c>
      <c r="M791" s="75">
        <v>-25917.14</v>
      </c>
      <c r="N791" s="75">
        <v>-7219.05</v>
      </c>
      <c r="O791" s="75">
        <v>-3869.2499999999995</v>
      </c>
      <c r="P791" s="75">
        <v>37062.299999999996</v>
      </c>
      <c r="Q791" s="75">
        <v>125695.77999999998</v>
      </c>
      <c r="R791" s="75">
        <v>87739.609999999986</v>
      </c>
    </row>
    <row r="792" spans="1:18" x14ac:dyDescent="0.3">
      <c r="A792">
        <v>775</v>
      </c>
      <c r="B792" s="19">
        <v>50.454300000000003</v>
      </c>
      <c r="C792" s="19">
        <v>33.018500000000003</v>
      </c>
      <c r="D792" s="19">
        <v>12.019299999999999</v>
      </c>
      <c r="E792" s="19">
        <v>270.73480000000001</v>
      </c>
      <c r="F792" s="19">
        <v>15.1858</v>
      </c>
      <c r="G792" s="19">
        <v>367.2353</v>
      </c>
      <c r="H792" s="19">
        <v>4617.3028999999997</v>
      </c>
      <c r="I792" s="19">
        <v>8551.7837</v>
      </c>
      <c r="J792" s="75">
        <v>17486</v>
      </c>
      <c r="K792" s="75">
        <v>6227.25</v>
      </c>
      <c r="L792" s="75">
        <v>30129.84</v>
      </c>
      <c r="M792" s="75">
        <v>17232.239999999998</v>
      </c>
      <c r="N792" s="75">
        <v>-19855.739999999998</v>
      </c>
      <c r="O792" s="75">
        <v>2433.5500000000002</v>
      </c>
      <c r="P792" s="75">
        <v>14900.67</v>
      </c>
      <c r="Q792" s="75">
        <v>28791.219999999998</v>
      </c>
      <c r="R792" s="75">
        <v>97345.03</v>
      </c>
    </row>
    <row r="793" spans="1:18" x14ac:dyDescent="0.3">
      <c r="A793">
        <v>776</v>
      </c>
      <c r="B793" s="19">
        <v>50.334899999999998</v>
      </c>
      <c r="C793" s="19">
        <v>32.946100000000001</v>
      </c>
      <c r="D793" s="19">
        <v>11.537100000000001</v>
      </c>
      <c r="E793" s="19">
        <v>262.27159999999998</v>
      </c>
      <c r="F793" s="19">
        <v>15.3453</v>
      </c>
      <c r="G793" s="19">
        <v>368.6001</v>
      </c>
      <c r="H793" s="19">
        <v>4579.8777</v>
      </c>
      <c r="I793" s="19">
        <v>7951.8137999999999</v>
      </c>
      <c r="J793" s="75">
        <v>15098</v>
      </c>
      <c r="K793" s="75">
        <v>4163.8500000000004</v>
      </c>
      <c r="L793" s="75">
        <v>-12689.52</v>
      </c>
      <c r="M793" s="75">
        <v>-14927.92</v>
      </c>
      <c r="N793" s="75">
        <v>-12726.09</v>
      </c>
      <c r="O793" s="75">
        <v>7210.3499999999995</v>
      </c>
      <c r="P793" s="75">
        <v>3673.11</v>
      </c>
      <c r="Q793" s="75">
        <v>-91202.76</v>
      </c>
      <c r="R793" s="75">
        <v>-101400.98</v>
      </c>
    </row>
    <row r="794" spans="1:18" x14ac:dyDescent="0.3">
      <c r="A794">
        <v>777</v>
      </c>
      <c r="B794" s="19">
        <v>50.039700000000003</v>
      </c>
      <c r="C794" s="19">
        <v>33.372100000000003</v>
      </c>
      <c r="D794" s="19">
        <v>11.6694</v>
      </c>
      <c r="E794" s="19">
        <v>274.71030000000002</v>
      </c>
      <c r="F794" s="19">
        <v>15.4703</v>
      </c>
      <c r="G794" s="19">
        <v>370.9024</v>
      </c>
      <c r="H794" s="19">
        <v>4545.4901</v>
      </c>
      <c r="I794" s="19">
        <v>8800.6085000000003</v>
      </c>
      <c r="J794" s="75">
        <v>9194</v>
      </c>
      <c r="K794" s="75">
        <v>16304.850000000002</v>
      </c>
      <c r="L794" s="75">
        <v>-941.28</v>
      </c>
      <c r="M794" s="75">
        <v>32339.140000000003</v>
      </c>
      <c r="N794" s="75">
        <v>-7138.59</v>
      </c>
      <c r="O794" s="75">
        <v>15268.4</v>
      </c>
      <c r="P794" s="75">
        <v>-6643.1699999999992</v>
      </c>
      <c r="Q794" s="75">
        <v>78556.179999999993</v>
      </c>
      <c r="R794" s="75">
        <v>136939.53</v>
      </c>
    </row>
    <row r="795" spans="1:18" x14ac:dyDescent="0.3">
      <c r="A795">
        <v>778</v>
      </c>
      <c r="B795" s="19">
        <v>49.578600000000002</v>
      </c>
      <c r="C795" s="19">
        <v>33.200200000000002</v>
      </c>
      <c r="D795" s="19">
        <v>11.1675</v>
      </c>
      <c r="E795" s="19">
        <v>255.2679</v>
      </c>
      <c r="F795" s="19">
        <v>15.6843</v>
      </c>
      <c r="G795" s="19">
        <v>358.79340000000002</v>
      </c>
      <c r="H795" s="19">
        <v>4656.5531000000001</v>
      </c>
      <c r="I795" s="19">
        <v>7835.9979999999996</v>
      </c>
      <c r="J795" s="75">
        <v>-28</v>
      </c>
      <c r="K795" s="75">
        <v>11405.7</v>
      </c>
      <c r="L795" s="75">
        <v>-45509.999999999993</v>
      </c>
      <c r="M795" s="75">
        <v>-41541.980000000003</v>
      </c>
      <c r="N795" s="75">
        <v>2427.21</v>
      </c>
      <c r="O795" s="75">
        <v>-27113.1</v>
      </c>
      <c r="P795" s="75">
        <v>26675.73</v>
      </c>
      <c r="Q795" s="75">
        <v>-114365.92000000001</v>
      </c>
      <c r="R795" s="75">
        <v>-188050.36</v>
      </c>
    </row>
    <row r="796" spans="1:18" x14ac:dyDescent="0.3">
      <c r="A796">
        <v>779</v>
      </c>
      <c r="B796" s="19">
        <v>49.720399999999998</v>
      </c>
      <c r="C796" s="19">
        <v>32.405099999999997</v>
      </c>
      <c r="D796" s="19">
        <v>11.421799999999999</v>
      </c>
      <c r="E796" s="19">
        <v>247.0104</v>
      </c>
      <c r="F796" s="19">
        <v>15.7898</v>
      </c>
      <c r="G796" s="19">
        <v>376.6071</v>
      </c>
      <c r="H796" s="19">
        <v>4593.2245000000003</v>
      </c>
      <c r="I796" s="19">
        <v>8240.8112000000001</v>
      </c>
      <c r="J796" s="75">
        <v>2808</v>
      </c>
      <c r="K796" s="75">
        <v>-11254.65</v>
      </c>
      <c r="L796" s="75">
        <v>-22928.16</v>
      </c>
      <c r="M796" s="75">
        <v>-72920.479999999996</v>
      </c>
      <c r="N796" s="75">
        <v>7143.0599999999995</v>
      </c>
      <c r="O796" s="75">
        <v>35234.85</v>
      </c>
      <c r="P796" s="75">
        <v>7677.15</v>
      </c>
      <c r="Q796" s="75">
        <v>-33403.279999999999</v>
      </c>
      <c r="R796" s="75">
        <v>-87643.51</v>
      </c>
    </row>
    <row r="797" spans="1:18" x14ac:dyDescent="0.3">
      <c r="A797">
        <v>780</v>
      </c>
      <c r="B797" s="19">
        <v>49.5075</v>
      </c>
      <c r="C797" s="19">
        <v>33.384099999999997</v>
      </c>
      <c r="D797" s="19">
        <v>11.3657</v>
      </c>
      <c r="E797" s="19">
        <v>270.30410000000001</v>
      </c>
      <c r="F797" s="19">
        <v>15.6311</v>
      </c>
      <c r="G797" s="19">
        <v>358.60759999999999</v>
      </c>
      <c r="H797" s="19">
        <v>4507.5452999999998</v>
      </c>
      <c r="I797" s="19">
        <v>8198.2376000000004</v>
      </c>
      <c r="J797" s="75">
        <v>-1450</v>
      </c>
      <c r="K797" s="75">
        <v>16646.849999999999</v>
      </c>
      <c r="L797" s="75">
        <v>-27909.840000000004</v>
      </c>
      <c r="M797" s="75">
        <v>15595.58</v>
      </c>
      <c r="N797" s="75">
        <v>49.17</v>
      </c>
      <c r="O797" s="75">
        <v>-27763.4</v>
      </c>
      <c r="P797" s="75">
        <v>-18026.61</v>
      </c>
      <c r="Q797" s="75">
        <v>-41918</v>
      </c>
      <c r="R797" s="75">
        <v>-84776.25</v>
      </c>
    </row>
    <row r="798" spans="1:18" x14ac:dyDescent="0.3">
      <c r="A798">
        <v>781</v>
      </c>
      <c r="B798" s="19">
        <v>49.121699999999997</v>
      </c>
      <c r="C798" s="19">
        <v>33.235199999999999</v>
      </c>
      <c r="D798" s="19">
        <v>12.039899999999999</v>
      </c>
      <c r="E798" s="19">
        <v>254.4348</v>
      </c>
      <c r="F798" s="19">
        <v>15.4343</v>
      </c>
      <c r="G798" s="19">
        <v>363.0994</v>
      </c>
      <c r="H798" s="19">
        <v>4570.3335999999999</v>
      </c>
      <c r="I798" s="19">
        <v>9121.0306999999993</v>
      </c>
      <c r="J798" s="75">
        <v>-9166</v>
      </c>
      <c r="K798" s="75">
        <v>12403.199999999999</v>
      </c>
      <c r="L798" s="75">
        <v>31959.119999999999</v>
      </c>
      <c r="M798" s="75">
        <v>-44707.76</v>
      </c>
      <c r="N798" s="75">
        <v>-8747.7900000000009</v>
      </c>
      <c r="O798" s="75">
        <v>-12042.1</v>
      </c>
      <c r="P798" s="75">
        <v>809.88000000000011</v>
      </c>
      <c r="Q798" s="75">
        <v>142640.62</v>
      </c>
      <c r="R798" s="75">
        <v>113149.17</v>
      </c>
    </row>
    <row r="799" spans="1:18" x14ac:dyDescent="0.3">
      <c r="A799">
        <v>782</v>
      </c>
      <c r="B799" s="19">
        <v>49.711300000000001</v>
      </c>
      <c r="C799" s="19">
        <v>32.235500000000002</v>
      </c>
      <c r="D799" s="19">
        <v>11.492599999999999</v>
      </c>
      <c r="E799" s="19">
        <v>268.57279999999997</v>
      </c>
      <c r="F799" s="19">
        <v>15.894600000000001</v>
      </c>
      <c r="G799" s="19">
        <v>372.24700000000001</v>
      </c>
      <c r="H799" s="19">
        <v>4506.2487000000001</v>
      </c>
      <c r="I799" s="19">
        <v>7741.4480999999996</v>
      </c>
      <c r="J799" s="75">
        <v>2626</v>
      </c>
      <c r="K799" s="75">
        <v>-16088.25</v>
      </c>
      <c r="L799" s="75">
        <v>-16641.120000000003</v>
      </c>
      <c r="M799" s="75">
        <v>9016.64</v>
      </c>
      <c r="N799" s="75">
        <v>11827.62</v>
      </c>
      <c r="O799" s="75">
        <v>19974.5</v>
      </c>
      <c r="P799" s="75">
        <v>-18415.59</v>
      </c>
      <c r="Q799" s="75">
        <v>-133275.9</v>
      </c>
      <c r="R799" s="75">
        <v>-140976.1</v>
      </c>
    </row>
    <row r="800" spans="1:18" x14ac:dyDescent="0.3">
      <c r="A800">
        <v>783</v>
      </c>
      <c r="B800" s="19">
        <v>49.6768</v>
      </c>
      <c r="C800" s="19">
        <v>32.100499999999997</v>
      </c>
      <c r="D800" s="19">
        <v>11.401</v>
      </c>
      <c r="E800" s="19">
        <v>254.01519999999999</v>
      </c>
      <c r="F800" s="19">
        <v>15.8477</v>
      </c>
      <c r="G800" s="19">
        <v>361.16879999999998</v>
      </c>
      <c r="H800" s="19">
        <v>4600.5928999999996</v>
      </c>
      <c r="I800" s="19">
        <v>8434.098</v>
      </c>
      <c r="J800" s="75">
        <v>1936</v>
      </c>
      <c r="K800" s="75">
        <v>-19935.75</v>
      </c>
      <c r="L800" s="75">
        <v>-24775.200000000001</v>
      </c>
      <c r="M800" s="75">
        <v>-46302.239999999998</v>
      </c>
      <c r="N800" s="75">
        <v>9731.19</v>
      </c>
      <c r="O800" s="75">
        <v>-18799.2</v>
      </c>
      <c r="P800" s="75">
        <v>9887.67</v>
      </c>
      <c r="Q800" s="75">
        <v>5254.08</v>
      </c>
      <c r="R800" s="75">
        <v>-83003.45</v>
      </c>
    </row>
    <row r="801" spans="1:18" x14ac:dyDescent="0.3">
      <c r="A801">
        <v>784</v>
      </c>
      <c r="B801" s="19">
        <v>50.005699999999997</v>
      </c>
      <c r="C801" s="19">
        <v>32.095599999999997</v>
      </c>
      <c r="D801" s="19">
        <v>11.757099999999999</v>
      </c>
      <c r="E801" s="19">
        <v>281.57870000000003</v>
      </c>
      <c r="F801" s="19">
        <v>16.193100000000001</v>
      </c>
      <c r="G801" s="19">
        <v>367.7629</v>
      </c>
      <c r="H801" s="19">
        <v>4749.7628000000004</v>
      </c>
      <c r="I801" s="19">
        <v>8478.4793000000009</v>
      </c>
      <c r="J801" s="75">
        <v>8514</v>
      </c>
      <c r="K801" s="75">
        <v>-20075.400000000001</v>
      </c>
      <c r="L801" s="75">
        <v>6846.4800000000005</v>
      </c>
      <c r="M801" s="75">
        <v>58439.06</v>
      </c>
      <c r="N801" s="75">
        <v>25170.570000000003</v>
      </c>
      <c r="O801" s="75">
        <v>4280.1500000000005</v>
      </c>
      <c r="P801" s="75">
        <v>54638.640000000007</v>
      </c>
      <c r="Q801" s="75">
        <v>14130.34</v>
      </c>
      <c r="R801" s="75">
        <v>151943.84</v>
      </c>
    </row>
    <row r="802" spans="1:18" x14ac:dyDescent="0.3">
      <c r="A802">
        <v>785</v>
      </c>
      <c r="B802" s="19">
        <v>49.408799999999999</v>
      </c>
      <c r="C802" s="19">
        <v>32.433199999999999</v>
      </c>
      <c r="D802" s="19">
        <v>11.383800000000001</v>
      </c>
      <c r="E802" s="19">
        <v>254.97890000000001</v>
      </c>
      <c r="F802" s="19">
        <v>16.083600000000001</v>
      </c>
      <c r="G802" s="19">
        <v>369.10050000000001</v>
      </c>
      <c r="H802" s="19">
        <v>4615.3588</v>
      </c>
      <c r="I802" s="19">
        <v>8711.7438000000002</v>
      </c>
      <c r="J802" s="75">
        <v>-3424</v>
      </c>
      <c r="K802" s="75">
        <v>-10453.800000000001</v>
      </c>
      <c r="L802" s="75">
        <v>-26302.560000000001</v>
      </c>
      <c r="M802" s="75">
        <v>-42640.18</v>
      </c>
      <c r="N802" s="75">
        <v>20275.920000000002</v>
      </c>
      <c r="O802" s="75">
        <v>8961.75</v>
      </c>
      <c r="P802" s="75">
        <v>14317.44</v>
      </c>
      <c r="Q802" s="75">
        <v>60783.24</v>
      </c>
      <c r="R802" s="75">
        <v>21517.80999999999</v>
      </c>
    </row>
    <row r="803" spans="1:18" x14ac:dyDescent="0.3">
      <c r="A803">
        <v>786</v>
      </c>
      <c r="B803" s="19">
        <v>48.861699999999999</v>
      </c>
      <c r="C803" s="19">
        <v>32.4026</v>
      </c>
      <c r="D803" s="19">
        <v>11.726900000000001</v>
      </c>
      <c r="E803" s="19">
        <v>260.31459999999998</v>
      </c>
      <c r="F803" s="19">
        <v>15.5291</v>
      </c>
      <c r="G803" s="19">
        <v>369.96559999999999</v>
      </c>
      <c r="H803" s="19">
        <v>4462.3679000000002</v>
      </c>
      <c r="I803" s="19">
        <v>9029.1839999999993</v>
      </c>
      <c r="J803" s="75">
        <v>-14366.000000000002</v>
      </c>
      <c r="K803" s="75">
        <v>-11325.9</v>
      </c>
      <c r="L803" s="75">
        <v>4164.7199999999993</v>
      </c>
      <c r="M803" s="75">
        <v>-22364.52</v>
      </c>
      <c r="N803" s="75">
        <v>-4510.2300000000005</v>
      </c>
      <c r="O803" s="75">
        <v>11989.6</v>
      </c>
      <c r="P803" s="75">
        <v>-31579.829999999998</v>
      </c>
      <c r="Q803" s="75">
        <v>124271.28</v>
      </c>
      <c r="R803" s="75">
        <v>56279.119999999995</v>
      </c>
    </row>
    <row r="804" spans="1:18" x14ac:dyDescent="0.3">
      <c r="A804">
        <v>787</v>
      </c>
      <c r="B804" s="19">
        <v>49.560400000000001</v>
      </c>
      <c r="C804" s="19">
        <v>32.061799999999998</v>
      </c>
      <c r="D804" s="19">
        <v>11.769500000000001</v>
      </c>
      <c r="E804" s="19">
        <v>265.34469999999999</v>
      </c>
      <c r="F804" s="19">
        <v>15.5832</v>
      </c>
      <c r="G804" s="19">
        <v>372.4982</v>
      </c>
      <c r="H804" s="19">
        <v>4601.0535</v>
      </c>
      <c r="I804" s="19">
        <v>7882.6812</v>
      </c>
      <c r="J804" s="75">
        <v>-392</v>
      </c>
      <c r="K804" s="75">
        <v>-21038.7</v>
      </c>
      <c r="L804" s="75">
        <v>7947.5999999999995</v>
      </c>
      <c r="M804" s="75">
        <v>-3250.14</v>
      </c>
      <c r="N804" s="75">
        <v>-2091.96</v>
      </c>
      <c r="O804" s="75">
        <v>20853.7</v>
      </c>
      <c r="P804" s="75">
        <v>10025.85</v>
      </c>
      <c r="Q804" s="75">
        <v>-105029.28</v>
      </c>
      <c r="R804" s="75">
        <v>-92974.93</v>
      </c>
    </row>
    <row r="805" spans="1:18" x14ac:dyDescent="0.3">
      <c r="A805">
        <v>788</v>
      </c>
      <c r="B805" s="19">
        <v>48.867600000000003</v>
      </c>
      <c r="C805" s="19">
        <v>32.892200000000003</v>
      </c>
      <c r="D805" s="19">
        <v>11.595800000000001</v>
      </c>
      <c r="E805" s="19">
        <v>260.89210000000003</v>
      </c>
      <c r="F805" s="19">
        <v>15.93</v>
      </c>
      <c r="G805" s="19">
        <v>354.363</v>
      </c>
      <c r="H805" s="19">
        <v>4513.4723000000004</v>
      </c>
      <c r="I805" s="19">
        <v>8069.9026999999996</v>
      </c>
      <c r="J805" s="75">
        <v>-14248</v>
      </c>
      <c r="K805" s="75">
        <v>2627.7000000000003</v>
      </c>
      <c r="L805" s="75">
        <v>-7476.96</v>
      </c>
      <c r="M805" s="75">
        <v>-20170.02</v>
      </c>
      <c r="N805" s="75">
        <v>13410</v>
      </c>
      <c r="O805" s="75">
        <v>-42619.5</v>
      </c>
      <c r="P805" s="75">
        <v>-16248.51</v>
      </c>
      <c r="Q805" s="75">
        <v>-67584.98</v>
      </c>
      <c r="R805" s="75">
        <v>-152310.26999999999</v>
      </c>
    </row>
    <row r="806" spans="1:18" x14ac:dyDescent="0.3">
      <c r="A806">
        <v>789</v>
      </c>
      <c r="B806" s="19">
        <v>49.417499999999997</v>
      </c>
      <c r="C806" s="19">
        <v>32.769199999999998</v>
      </c>
      <c r="D806" s="19">
        <v>11.4453</v>
      </c>
      <c r="E806" s="19">
        <v>258.13290000000001</v>
      </c>
      <c r="F806" s="19">
        <v>15.3949</v>
      </c>
      <c r="G806" s="19">
        <v>363.8802</v>
      </c>
      <c r="H806" s="19">
        <v>4579.5888000000004</v>
      </c>
      <c r="I806" s="19">
        <v>8015.9618</v>
      </c>
      <c r="J806" s="75">
        <v>-3250</v>
      </c>
      <c r="K806" s="75">
        <v>-877.80000000000007</v>
      </c>
      <c r="L806" s="75">
        <v>-20841.36</v>
      </c>
      <c r="M806" s="75">
        <v>-30654.98</v>
      </c>
      <c r="N806" s="75">
        <v>-10508.97</v>
      </c>
      <c r="O806" s="75">
        <v>-9309.3000000000011</v>
      </c>
      <c r="P806" s="75">
        <v>3586.44</v>
      </c>
      <c r="Q806" s="75">
        <v>-78373.159999999989</v>
      </c>
      <c r="R806" s="75">
        <v>-150229.13</v>
      </c>
    </row>
    <row r="807" spans="1:18" x14ac:dyDescent="0.3">
      <c r="A807">
        <v>790</v>
      </c>
      <c r="B807" s="19">
        <v>49.501600000000003</v>
      </c>
      <c r="C807" s="19">
        <v>32.508099999999999</v>
      </c>
      <c r="D807" s="19">
        <v>11.9999</v>
      </c>
      <c r="E807" s="19">
        <v>264.69490000000002</v>
      </c>
      <c r="F807" s="19">
        <v>15.4496</v>
      </c>
      <c r="G807" s="19">
        <v>369.41199999999998</v>
      </c>
      <c r="H807" s="19">
        <v>4519.7983000000004</v>
      </c>
      <c r="I807" s="19">
        <v>8359.5491000000002</v>
      </c>
      <c r="J807" s="75">
        <v>-1568</v>
      </c>
      <c r="K807" s="75">
        <v>-8319.15</v>
      </c>
      <c r="L807" s="75">
        <v>28407.120000000003</v>
      </c>
      <c r="M807" s="75">
        <v>-5719.38</v>
      </c>
      <c r="N807" s="75">
        <v>-8063.88</v>
      </c>
      <c r="O807" s="75">
        <v>10052</v>
      </c>
      <c r="P807" s="75">
        <v>-14350.710000000001</v>
      </c>
      <c r="Q807" s="75">
        <v>-9655.7000000000007</v>
      </c>
      <c r="R807" s="75">
        <v>-9217.7000000000025</v>
      </c>
    </row>
    <row r="808" spans="1:18" x14ac:dyDescent="0.3">
      <c r="A808">
        <v>791</v>
      </c>
      <c r="B808" s="19">
        <v>49.326900000000002</v>
      </c>
      <c r="C808" s="19">
        <v>32.901400000000002</v>
      </c>
      <c r="D808" s="19">
        <v>11.626300000000001</v>
      </c>
      <c r="E808" s="19">
        <v>277.16149999999999</v>
      </c>
      <c r="F808" s="19">
        <v>15.459199999999999</v>
      </c>
      <c r="G808" s="19">
        <v>361.4495</v>
      </c>
      <c r="H808" s="19">
        <v>4561.0635000000002</v>
      </c>
      <c r="I808" s="19">
        <v>8095.7933999999996</v>
      </c>
      <c r="J808" s="75">
        <v>-5062</v>
      </c>
      <c r="K808" s="75">
        <v>2889.9</v>
      </c>
      <c r="L808" s="75">
        <v>-4768.5599999999995</v>
      </c>
      <c r="M808" s="75">
        <v>41653.699999999997</v>
      </c>
      <c r="N808" s="75">
        <v>-7634.76</v>
      </c>
      <c r="O808" s="75">
        <v>-17816.75</v>
      </c>
      <c r="P808" s="75">
        <v>-1971.15</v>
      </c>
      <c r="Q808" s="75">
        <v>-62406.84</v>
      </c>
      <c r="R808" s="75">
        <v>-55116.460000000006</v>
      </c>
    </row>
    <row r="809" spans="1:18" x14ac:dyDescent="0.3">
      <c r="A809">
        <v>792</v>
      </c>
      <c r="B809" s="19">
        <v>50.350200000000001</v>
      </c>
      <c r="C809" s="19">
        <v>31.7087</v>
      </c>
      <c r="D809" s="19">
        <v>11.3391</v>
      </c>
      <c r="E809" s="19">
        <v>256.6857</v>
      </c>
      <c r="F809" s="19">
        <v>15.262700000000001</v>
      </c>
      <c r="G809" s="19">
        <v>364.17840000000001</v>
      </c>
      <c r="H809" s="19">
        <v>4506.2112999999999</v>
      </c>
      <c r="I809" s="19">
        <v>8394.4488999999994</v>
      </c>
      <c r="J809" s="75">
        <v>15404</v>
      </c>
      <c r="K809" s="75">
        <v>-31102.05</v>
      </c>
      <c r="L809" s="75">
        <v>-30271.919999999998</v>
      </c>
      <c r="M809" s="75">
        <v>-36154.340000000004</v>
      </c>
      <c r="N809" s="75">
        <v>-16418.310000000001</v>
      </c>
      <c r="O809" s="75">
        <v>-8265.6</v>
      </c>
      <c r="P809" s="75">
        <v>-18426.810000000001</v>
      </c>
      <c r="Q809" s="75">
        <v>-2675.7400000000002</v>
      </c>
      <c r="R809" s="75">
        <v>-127910.77</v>
      </c>
    </row>
    <row r="810" spans="1:18" x14ac:dyDescent="0.3">
      <c r="A810">
        <v>793</v>
      </c>
      <c r="B810" s="19">
        <v>48.598199999999999</v>
      </c>
      <c r="C810" s="19">
        <v>32.713799999999999</v>
      </c>
      <c r="D810" s="19">
        <v>11.5562</v>
      </c>
      <c r="E810" s="19">
        <v>257.73169999999999</v>
      </c>
      <c r="F810" s="19">
        <v>15.783300000000001</v>
      </c>
      <c r="G810" s="19">
        <v>365.00020000000001</v>
      </c>
      <c r="H810" s="19">
        <v>4605.9677000000001</v>
      </c>
      <c r="I810" s="19">
        <v>8563.9102000000003</v>
      </c>
      <c r="J810" s="75">
        <v>-19636</v>
      </c>
      <c r="K810" s="75">
        <v>-2456.6999999999998</v>
      </c>
      <c r="L810" s="75">
        <v>-10993.439999999999</v>
      </c>
      <c r="M810" s="75">
        <v>-32179.539999999997</v>
      </c>
      <c r="N810" s="75">
        <v>6852.5099999999993</v>
      </c>
      <c r="O810" s="75">
        <v>-5389.3</v>
      </c>
      <c r="P810" s="75">
        <v>11500.11</v>
      </c>
      <c r="Q810" s="75">
        <v>31216.520000000004</v>
      </c>
      <c r="R810" s="75">
        <v>-21085.839999999989</v>
      </c>
    </row>
    <row r="811" spans="1:18" x14ac:dyDescent="0.3">
      <c r="A811">
        <v>794</v>
      </c>
      <c r="B811" s="19">
        <v>49.719299999999997</v>
      </c>
      <c r="C811" s="19">
        <v>32.095599999999997</v>
      </c>
      <c r="D811" s="19">
        <v>12.0244</v>
      </c>
      <c r="E811" s="19">
        <v>278.983</v>
      </c>
      <c r="F811" s="19">
        <v>15.573499999999999</v>
      </c>
      <c r="G811" s="19">
        <v>371.39460000000003</v>
      </c>
      <c r="H811" s="19">
        <v>4720.7556000000004</v>
      </c>
      <c r="I811" s="19">
        <v>7830.1117999999997</v>
      </c>
      <c r="J811" s="75">
        <v>2786</v>
      </c>
      <c r="K811" s="75">
        <v>-20075.400000000001</v>
      </c>
      <c r="L811" s="75">
        <v>30582.719999999998</v>
      </c>
      <c r="M811" s="75">
        <v>48575.4</v>
      </c>
      <c r="N811" s="75">
        <v>-2525.5500000000002</v>
      </c>
      <c r="O811" s="75">
        <v>16991.099999999999</v>
      </c>
      <c r="P811" s="75">
        <v>45936.480000000003</v>
      </c>
      <c r="Q811" s="75">
        <v>-115543.15999999999</v>
      </c>
      <c r="R811" s="75">
        <v>6727.5900000000111</v>
      </c>
    </row>
    <row r="812" spans="1:18" x14ac:dyDescent="0.3">
      <c r="A812">
        <v>795</v>
      </c>
      <c r="B812" s="19">
        <v>49.6783</v>
      </c>
      <c r="C812" s="19">
        <v>32.817999999999998</v>
      </c>
      <c r="D812" s="19">
        <v>11.552300000000001</v>
      </c>
      <c r="E812" s="19">
        <v>258.40870000000001</v>
      </c>
      <c r="F812" s="19">
        <v>15.766299999999999</v>
      </c>
      <c r="G812" s="19">
        <v>361.42090000000002</v>
      </c>
      <c r="H812" s="19">
        <v>4513.1162000000004</v>
      </c>
      <c r="I812" s="19">
        <v>7994.3561</v>
      </c>
      <c r="J812" s="75">
        <v>1966</v>
      </c>
      <c r="K812" s="75">
        <v>513</v>
      </c>
      <c r="L812" s="75">
        <v>-11339.76</v>
      </c>
      <c r="M812" s="75">
        <v>-29606.94</v>
      </c>
      <c r="N812" s="75">
        <v>6092.6100000000006</v>
      </c>
      <c r="O812" s="75">
        <v>-17916.850000000002</v>
      </c>
      <c r="P812" s="75">
        <v>-16355.34</v>
      </c>
      <c r="Q812" s="75">
        <v>-82694.3</v>
      </c>
      <c r="R812" s="75">
        <v>-149341.58000000002</v>
      </c>
    </row>
    <row r="813" spans="1:18" x14ac:dyDescent="0.3">
      <c r="A813">
        <v>796</v>
      </c>
      <c r="B813" s="19">
        <v>49.5899</v>
      </c>
      <c r="C813" s="19">
        <v>32.867899999999999</v>
      </c>
      <c r="D813" s="19">
        <v>11.9672</v>
      </c>
      <c r="E813" s="19">
        <v>257.2133</v>
      </c>
      <c r="F813" s="19">
        <v>15.391999999999999</v>
      </c>
      <c r="G813" s="19">
        <v>368.5514</v>
      </c>
      <c r="H813" s="19">
        <v>4499.7907999999998</v>
      </c>
      <c r="I813" s="19">
        <v>8308.6484999999993</v>
      </c>
      <c r="J813" s="75">
        <v>198.00000000000003</v>
      </c>
      <c r="K813" s="75">
        <v>1935.15</v>
      </c>
      <c r="L813" s="75">
        <v>25503.360000000001</v>
      </c>
      <c r="M813" s="75">
        <v>-34149.460000000006</v>
      </c>
      <c r="N813" s="75">
        <v>-10638.6</v>
      </c>
      <c r="O813" s="75">
        <v>7039.9000000000005</v>
      </c>
      <c r="P813" s="75">
        <v>-20352.96</v>
      </c>
      <c r="Q813" s="75">
        <v>-19835.82</v>
      </c>
      <c r="R813" s="75">
        <v>-50300.43</v>
      </c>
    </row>
    <row r="814" spans="1:18" x14ac:dyDescent="0.3">
      <c r="A814">
        <v>797</v>
      </c>
      <c r="B814" s="19">
        <v>48.744100000000003</v>
      </c>
      <c r="C814" s="19">
        <v>33.433999999999997</v>
      </c>
      <c r="D814" s="19">
        <v>11.803599999999999</v>
      </c>
      <c r="E814" s="19">
        <v>277.43189999999998</v>
      </c>
      <c r="F814" s="19">
        <v>15.5703</v>
      </c>
      <c r="G814" s="19">
        <v>381.21460000000002</v>
      </c>
      <c r="H814" s="19">
        <v>4655.3406000000004</v>
      </c>
      <c r="I814" s="19">
        <v>9180.0506000000005</v>
      </c>
      <c r="J814" s="75">
        <v>-16718</v>
      </c>
      <c r="K814" s="75">
        <v>18069</v>
      </c>
      <c r="L814" s="75">
        <v>10975.68</v>
      </c>
      <c r="M814" s="75">
        <v>42681.22</v>
      </c>
      <c r="N814" s="75">
        <v>-2668.59</v>
      </c>
      <c r="O814" s="75">
        <v>51361.1</v>
      </c>
      <c r="P814" s="75">
        <v>26311.98</v>
      </c>
      <c r="Q814" s="75">
        <v>154444.59999999998</v>
      </c>
      <c r="R814" s="75">
        <v>284456.99</v>
      </c>
    </row>
    <row r="815" spans="1:18" x14ac:dyDescent="0.3">
      <c r="A815">
        <v>798</v>
      </c>
      <c r="B815" s="19">
        <v>49.8</v>
      </c>
      <c r="C815" s="19">
        <v>32.751399999999997</v>
      </c>
      <c r="D815" s="19">
        <v>11.629</v>
      </c>
      <c r="E815" s="19">
        <v>266.83019999999999</v>
      </c>
      <c r="F815" s="19">
        <v>15.7088</v>
      </c>
      <c r="G815" s="19">
        <v>373.5523</v>
      </c>
      <c r="H815" s="19">
        <v>4516.7304999999997</v>
      </c>
      <c r="I815" s="19">
        <v>7765.6728999999996</v>
      </c>
      <c r="J815" s="75">
        <v>4400</v>
      </c>
      <c r="K815" s="75">
        <v>-1385.1</v>
      </c>
      <c r="L815" s="75">
        <v>-4528.7999999999993</v>
      </c>
      <c r="M815" s="75">
        <v>2394.7599999999998</v>
      </c>
      <c r="N815" s="75">
        <v>3522.3599999999997</v>
      </c>
      <c r="O815" s="75">
        <v>24543.05</v>
      </c>
      <c r="P815" s="75">
        <v>-15271.050000000001</v>
      </c>
      <c r="Q815" s="75">
        <v>-128430.94</v>
      </c>
      <c r="R815" s="75">
        <v>-114755.72</v>
      </c>
    </row>
    <row r="816" spans="1:18" x14ac:dyDescent="0.3">
      <c r="A816">
        <v>799</v>
      </c>
      <c r="B816" s="19">
        <v>49.346499999999999</v>
      </c>
      <c r="C816" s="19">
        <v>32.4283</v>
      </c>
      <c r="D816" s="19">
        <v>12.3056</v>
      </c>
      <c r="E816" s="19">
        <v>254.7696</v>
      </c>
      <c r="F816" s="19">
        <v>15.644600000000001</v>
      </c>
      <c r="G816" s="19">
        <v>364.48469999999998</v>
      </c>
      <c r="H816" s="19">
        <v>4476.0123000000003</v>
      </c>
      <c r="I816" s="19">
        <v>8315.7612000000008</v>
      </c>
      <c r="J816" s="75">
        <v>-4670</v>
      </c>
      <c r="K816" s="75">
        <v>-10593.449999999999</v>
      </c>
      <c r="L816" s="75">
        <v>55553.280000000006</v>
      </c>
      <c r="M816" s="75">
        <v>-43435.520000000004</v>
      </c>
      <c r="N816" s="75">
        <v>652.62</v>
      </c>
      <c r="O816" s="75">
        <v>-7193.5499999999993</v>
      </c>
      <c r="P816" s="75">
        <v>-27486.510000000002</v>
      </c>
      <c r="Q816" s="75">
        <v>-18413.28</v>
      </c>
      <c r="R816" s="75">
        <v>-55586.409999999996</v>
      </c>
    </row>
    <row r="817" spans="1:18" x14ac:dyDescent="0.3">
      <c r="A817">
        <v>800</v>
      </c>
      <c r="B817" s="19">
        <v>50.445999999999998</v>
      </c>
      <c r="C817" s="19">
        <v>34.364400000000003</v>
      </c>
      <c r="D817" s="19">
        <v>11.707000000000001</v>
      </c>
      <c r="E817" s="19">
        <v>269.08359999999999</v>
      </c>
      <c r="F817" s="19">
        <v>15.742900000000001</v>
      </c>
      <c r="G817" s="19">
        <v>357.0607</v>
      </c>
      <c r="H817" s="19">
        <v>4609.6490999999996</v>
      </c>
      <c r="I817" s="19">
        <v>8169.6632</v>
      </c>
      <c r="J817" s="75">
        <v>17320</v>
      </c>
      <c r="K817" s="75">
        <v>44585.4</v>
      </c>
      <c r="L817" s="75">
        <v>2397.6</v>
      </c>
      <c r="M817" s="75">
        <v>10957.68</v>
      </c>
      <c r="N817" s="75">
        <v>5046.63</v>
      </c>
      <c r="O817" s="75">
        <v>-33177.550000000003</v>
      </c>
      <c r="P817" s="75">
        <v>12604.529999999999</v>
      </c>
      <c r="Q817" s="75">
        <v>-47632.88</v>
      </c>
      <c r="R817" s="75">
        <v>12101.409999999996</v>
      </c>
    </row>
    <row r="818" spans="1:18" x14ac:dyDescent="0.3">
      <c r="A818">
        <v>801</v>
      </c>
      <c r="B818" s="19">
        <v>49.318199999999997</v>
      </c>
      <c r="C818" s="19">
        <v>32.558799999999998</v>
      </c>
      <c r="D818" s="19">
        <v>11.8147</v>
      </c>
      <c r="E818" s="19">
        <v>240.1241</v>
      </c>
      <c r="F818" s="19">
        <v>15.5283</v>
      </c>
      <c r="G818" s="19">
        <v>358.38060000000002</v>
      </c>
      <c r="H818" s="19">
        <v>4499.6662999999999</v>
      </c>
      <c r="I818" s="19">
        <v>8642.0010999999995</v>
      </c>
      <c r="J818" s="75">
        <v>-5235.9999999999991</v>
      </c>
      <c r="K818" s="75">
        <v>-6874.2</v>
      </c>
      <c r="L818" s="75">
        <v>11961.359999999999</v>
      </c>
      <c r="M818" s="75">
        <v>-99088.42</v>
      </c>
      <c r="N818" s="75">
        <v>-4545.99</v>
      </c>
      <c r="O818" s="75">
        <v>-28557.899999999998</v>
      </c>
      <c r="P818" s="75">
        <v>-20390.309999999998</v>
      </c>
      <c r="Q818" s="75">
        <v>46834.7</v>
      </c>
      <c r="R818" s="75">
        <v>-105896.76</v>
      </c>
    </row>
    <row r="819" spans="1:18" x14ac:dyDescent="0.3">
      <c r="A819">
        <v>802</v>
      </c>
      <c r="B819" s="19">
        <v>49.405900000000003</v>
      </c>
      <c r="C819" s="19">
        <v>32.710099999999997</v>
      </c>
      <c r="D819" s="19">
        <v>11.756</v>
      </c>
      <c r="E819" s="19">
        <v>273.1508</v>
      </c>
      <c r="F819" s="19">
        <v>15.948600000000001</v>
      </c>
      <c r="G819" s="19">
        <v>366.25009999999997</v>
      </c>
      <c r="H819" s="19">
        <v>4477.6863000000003</v>
      </c>
      <c r="I819" s="19">
        <v>7816.8078999999998</v>
      </c>
      <c r="J819" s="75">
        <v>-3482</v>
      </c>
      <c r="K819" s="75">
        <v>-2562.1499999999996</v>
      </c>
      <c r="L819" s="75">
        <v>6748.8</v>
      </c>
      <c r="M819" s="75">
        <v>26413.040000000001</v>
      </c>
      <c r="N819" s="75">
        <v>14241.42</v>
      </c>
      <c r="O819" s="75">
        <v>-1014.65</v>
      </c>
      <c r="P819" s="75">
        <v>-26984.309999999998</v>
      </c>
      <c r="Q819" s="75">
        <v>-118203.93999999999</v>
      </c>
      <c r="R819" s="75">
        <v>-104843.78999999998</v>
      </c>
    </row>
    <row r="820" spans="1:18" x14ac:dyDescent="0.3">
      <c r="A820">
        <v>803</v>
      </c>
      <c r="B820" s="19">
        <v>49.355699999999999</v>
      </c>
      <c r="C820" s="19">
        <v>33.4771</v>
      </c>
      <c r="D820" s="19">
        <v>11.895899999999999</v>
      </c>
      <c r="E820" s="19">
        <v>275.88659999999999</v>
      </c>
      <c r="F820" s="19">
        <v>15.762700000000001</v>
      </c>
      <c r="G820" s="19">
        <v>360.97140000000002</v>
      </c>
      <c r="H820" s="19">
        <v>4715.9795000000004</v>
      </c>
      <c r="I820" s="19">
        <v>9131.6301999999996</v>
      </c>
      <c r="J820" s="75">
        <v>-4486</v>
      </c>
      <c r="K820" s="75">
        <v>19297.350000000002</v>
      </c>
      <c r="L820" s="75">
        <v>19171.920000000002</v>
      </c>
      <c r="M820" s="75">
        <v>36809.08</v>
      </c>
      <c r="N820" s="75">
        <v>5931.6900000000005</v>
      </c>
      <c r="O820" s="75">
        <v>-19490.099999999999</v>
      </c>
      <c r="P820" s="75">
        <v>44503.649999999994</v>
      </c>
      <c r="Q820" s="75">
        <v>144760.51999999999</v>
      </c>
      <c r="R820" s="75">
        <v>246498.11</v>
      </c>
    </row>
    <row r="821" spans="1:18" x14ac:dyDescent="0.3">
      <c r="A821">
        <v>804</v>
      </c>
      <c r="B821" s="19">
        <v>49.393500000000003</v>
      </c>
      <c r="C821" s="19">
        <v>32.696599999999997</v>
      </c>
      <c r="D821" s="19">
        <v>11.996700000000001</v>
      </c>
      <c r="E821" s="19">
        <v>270.89609999999999</v>
      </c>
      <c r="F821" s="19">
        <v>15.600099999999999</v>
      </c>
      <c r="G821" s="19">
        <v>381.5994</v>
      </c>
      <c r="H821" s="19">
        <v>4668.8424999999997</v>
      </c>
      <c r="I821" s="19">
        <v>8773.6244000000006</v>
      </c>
      <c r="J821" s="75">
        <v>-3730</v>
      </c>
      <c r="K821" s="75">
        <v>-2946.9</v>
      </c>
      <c r="L821" s="75">
        <v>28122.959999999999</v>
      </c>
      <c r="M821" s="75">
        <v>17845.18</v>
      </c>
      <c r="N821" s="75">
        <v>-1336.53</v>
      </c>
      <c r="O821" s="75">
        <v>52707.9</v>
      </c>
      <c r="P821" s="75">
        <v>30362.55</v>
      </c>
      <c r="Q821" s="75">
        <v>73159.360000000001</v>
      </c>
      <c r="R821" s="75">
        <v>194184.52000000002</v>
      </c>
    </row>
    <row r="822" spans="1:18" x14ac:dyDescent="0.3">
      <c r="A822">
        <v>805</v>
      </c>
      <c r="B822" s="19">
        <v>49.2453</v>
      </c>
      <c r="C822" s="19">
        <v>33.124299999999998</v>
      </c>
      <c r="D822" s="19">
        <v>11.580299999999999</v>
      </c>
      <c r="E822" s="19">
        <v>269.89080000000001</v>
      </c>
      <c r="F822" s="19">
        <v>15.5128</v>
      </c>
      <c r="G822" s="19">
        <v>363.97210000000001</v>
      </c>
      <c r="H822" s="19">
        <v>4579.3410000000003</v>
      </c>
      <c r="I822" s="19">
        <v>8062.9013999999997</v>
      </c>
      <c r="J822" s="75">
        <v>-6694</v>
      </c>
      <c r="K822" s="75">
        <v>9242.5499999999993</v>
      </c>
      <c r="L822" s="75">
        <v>-8853.36</v>
      </c>
      <c r="M822" s="75">
        <v>14025.039999999999</v>
      </c>
      <c r="N822" s="75">
        <v>-5238.84</v>
      </c>
      <c r="O822" s="75">
        <v>-8987.65</v>
      </c>
      <c r="P822" s="75">
        <v>3512.1000000000004</v>
      </c>
      <c r="Q822" s="75">
        <v>-68985.240000000005</v>
      </c>
      <c r="R822" s="75">
        <v>-71979.400000000009</v>
      </c>
    </row>
    <row r="823" spans="1:18" x14ac:dyDescent="0.3">
      <c r="A823">
        <v>806</v>
      </c>
      <c r="B823" s="19">
        <v>49.654800000000002</v>
      </c>
      <c r="C823" s="19">
        <v>32.206299999999999</v>
      </c>
      <c r="D823" s="19">
        <v>11.9992</v>
      </c>
      <c r="E823" s="19">
        <v>263.34010000000001</v>
      </c>
      <c r="F823" s="19">
        <v>15.379</v>
      </c>
      <c r="G823" s="19">
        <v>374.64299999999997</v>
      </c>
      <c r="H823" s="19">
        <v>4558.2334000000001</v>
      </c>
      <c r="I823" s="19">
        <v>8342.0203000000001</v>
      </c>
      <c r="J823" s="75">
        <v>1496</v>
      </c>
      <c r="K823" s="75">
        <v>-16920.45</v>
      </c>
      <c r="L823" s="75">
        <v>28344.959999999999</v>
      </c>
      <c r="M823" s="75">
        <v>-10867.62</v>
      </c>
      <c r="N823" s="75">
        <v>-11219.7</v>
      </c>
      <c r="O823" s="75">
        <v>28360.5</v>
      </c>
      <c r="P823" s="75">
        <v>-2820.1800000000003</v>
      </c>
      <c r="Q823" s="75">
        <v>-13161.46</v>
      </c>
      <c r="R823" s="75">
        <v>3212.0499999999956</v>
      </c>
    </row>
    <row r="824" spans="1:18" x14ac:dyDescent="0.3">
      <c r="A824">
        <v>807</v>
      </c>
      <c r="B824" s="19">
        <v>49.781700000000001</v>
      </c>
      <c r="C824" s="19">
        <v>32.415500000000002</v>
      </c>
      <c r="D824" s="19">
        <v>11.8813</v>
      </c>
      <c r="E824" s="19">
        <v>272.30200000000002</v>
      </c>
      <c r="F824" s="19">
        <v>15.5909</v>
      </c>
      <c r="G824" s="19">
        <v>370.30059999999997</v>
      </c>
      <c r="H824" s="19">
        <v>4565.7653</v>
      </c>
      <c r="I824" s="19">
        <v>7752.7896000000001</v>
      </c>
      <c r="J824" s="75">
        <v>4034</v>
      </c>
      <c r="K824" s="75">
        <v>-10958.25</v>
      </c>
      <c r="L824" s="75">
        <v>17875.440000000002</v>
      </c>
      <c r="M824" s="75">
        <v>23187.600000000002</v>
      </c>
      <c r="N824" s="75">
        <v>-1747.7700000000002</v>
      </c>
      <c r="O824" s="75">
        <v>13162.1</v>
      </c>
      <c r="P824" s="75">
        <v>-560.61</v>
      </c>
      <c r="Q824" s="75">
        <v>-131007.6</v>
      </c>
      <c r="R824" s="75">
        <v>-86015.09</v>
      </c>
    </row>
    <row r="825" spans="1:18" x14ac:dyDescent="0.3">
      <c r="A825">
        <v>808</v>
      </c>
      <c r="B825" s="19">
        <v>49.289099999999998</v>
      </c>
      <c r="C825" s="19">
        <v>33.185299999999998</v>
      </c>
      <c r="D825" s="19">
        <v>11.814500000000001</v>
      </c>
      <c r="E825" s="19">
        <v>266.92410000000001</v>
      </c>
      <c r="F825" s="19">
        <v>15.7485</v>
      </c>
      <c r="G825" s="19">
        <v>357.64890000000003</v>
      </c>
      <c r="H825" s="19">
        <v>4593.6785</v>
      </c>
      <c r="I825" s="19">
        <v>8441.7428999999993</v>
      </c>
      <c r="J825" s="75">
        <v>-5818</v>
      </c>
      <c r="K825" s="75">
        <v>10981.05</v>
      </c>
      <c r="L825" s="75">
        <v>11943.6</v>
      </c>
      <c r="M825" s="75">
        <v>2751.58</v>
      </c>
      <c r="N825" s="75">
        <v>5296.95</v>
      </c>
      <c r="O825" s="75">
        <v>-31118.85</v>
      </c>
      <c r="P825" s="75">
        <v>7813.3499999999995</v>
      </c>
      <c r="Q825" s="75">
        <v>6783.06</v>
      </c>
      <c r="R825" s="75">
        <v>8632.7400000000052</v>
      </c>
    </row>
    <row r="826" spans="1:18" x14ac:dyDescent="0.3">
      <c r="A826">
        <v>809</v>
      </c>
      <c r="B826" s="19">
        <v>49.635599999999997</v>
      </c>
      <c r="C826" s="19">
        <v>32.087200000000003</v>
      </c>
      <c r="D826" s="19">
        <v>11.963699999999999</v>
      </c>
      <c r="E826" s="19">
        <v>288.29430000000002</v>
      </c>
      <c r="F826" s="19">
        <v>15.652699999999999</v>
      </c>
      <c r="G826" s="19">
        <v>363.21350000000001</v>
      </c>
      <c r="H826" s="19">
        <v>4486.0866999999998</v>
      </c>
      <c r="I826" s="19">
        <v>8594.9204000000009</v>
      </c>
      <c r="J826" s="75">
        <v>1112</v>
      </c>
      <c r="K826" s="75">
        <v>-20314.8</v>
      </c>
      <c r="L826" s="75">
        <v>25192.560000000001</v>
      </c>
      <c r="M826" s="75">
        <v>83958.34</v>
      </c>
      <c r="N826" s="75">
        <v>1014.69</v>
      </c>
      <c r="O826" s="75">
        <v>-11642.75</v>
      </c>
      <c r="P826" s="75">
        <v>-24464.190000000002</v>
      </c>
      <c r="Q826" s="75">
        <v>37418.560000000005</v>
      </c>
      <c r="R826" s="75">
        <v>92274.41</v>
      </c>
    </row>
    <row r="827" spans="1:18" x14ac:dyDescent="0.3">
      <c r="A827">
        <v>810</v>
      </c>
      <c r="B827" s="19">
        <v>49.6372</v>
      </c>
      <c r="C827" s="19">
        <v>32.403399999999998</v>
      </c>
      <c r="D827" s="19">
        <v>11.7376</v>
      </c>
      <c r="E827" s="19">
        <v>260.24329999999998</v>
      </c>
      <c r="F827" s="19">
        <v>15.4191</v>
      </c>
      <c r="G827" s="19">
        <v>370.52670000000001</v>
      </c>
      <c r="H827" s="19">
        <v>4580.3888999999999</v>
      </c>
      <c r="I827" s="19">
        <v>8360.6326000000008</v>
      </c>
      <c r="J827" s="75">
        <v>1144</v>
      </c>
      <c r="K827" s="75">
        <v>-11303.1</v>
      </c>
      <c r="L827" s="75">
        <v>5114.88</v>
      </c>
      <c r="M827" s="75">
        <v>-22635.46</v>
      </c>
      <c r="N827" s="75">
        <v>-9427.23</v>
      </c>
      <c r="O827" s="75">
        <v>13953.449999999999</v>
      </c>
      <c r="P827" s="75">
        <v>3826.47</v>
      </c>
      <c r="Q827" s="75">
        <v>-9439</v>
      </c>
      <c r="R827" s="75">
        <v>-28765.990000000005</v>
      </c>
    </row>
    <row r="828" spans="1:18" x14ac:dyDescent="0.3">
      <c r="A828">
        <v>811</v>
      </c>
      <c r="B828" s="19">
        <v>50.563499999999998</v>
      </c>
      <c r="C828" s="19">
        <v>31.966999999999999</v>
      </c>
      <c r="D828" s="19">
        <v>10.979100000000001</v>
      </c>
      <c r="E828" s="19">
        <v>272.83479999999997</v>
      </c>
      <c r="F828" s="19">
        <v>15.6892</v>
      </c>
      <c r="G828" s="19">
        <v>365.16120000000001</v>
      </c>
      <c r="H828" s="19">
        <v>4559.0817999999999</v>
      </c>
      <c r="I828" s="19">
        <v>8578.9655000000002</v>
      </c>
      <c r="J828" s="75">
        <v>19670</v>
      </c>
      <c r="K828" s="75">
        <v>-23740.5</v>
      </c>
      <c r="L828" s="75">
        <v>-62239.92</v>
      </c>
      <c r="M828" s="75">
        <v>25212.240000000002</v>
      </c>
      <c r="N828" s="75">
        <v>2646.2400000000002</v>
      </c>
      <c r="O828" s="75">
        <v>-4825.8</v>
      </c>
      <c r="P828" s="75">
        <v>-2565.66</v>
      </c>
      <c r="Q828" s="75">
        <v>34227.58</v>
      </c>
      <c r="R828" s="75">
        <v>-11615.819999999992</v>
      </c>
    </row>
    <row r="829" spans="1:18" x14ac:dyDescent="0.3">
      <c r="A829">
        <v>812</v>
      </c>
      <c r="B829" s="19">
        <v>50.191200000000002</v>
      </c>
      <c r="C829" s="19">
        <v>32.4191</v>
      </c>
      <c r="D829" s="19">
        <v>11.751799999999999</v>
      </c>
      <c r="E829" s="19">
        <v>273.44510000000002</v>
      </c>
      <c r="F829" s="19">
        <v>15.741400000000001</v>
      </c>
      <c r="G829" s="19">
        <v>372.43099999999998</v>
      </c>
      <c r="H829" s="19">
        <v>4447.5667999999996</v>
      </c>
      <c r="I829" s="19">
        <v>8935.0524000000005</v>
      </c>
      <c r="J829" s="75">
        <v>12224</v>
      </c>
      <c r="K829" s="75">
        <v>-10855.65</v>
      </c>
      <c r="L829" s="75">
        <v>6375.84</v>
      </c>
      <c r="M829" s="75">
        <v>27531.38</v>
      </c>
      <c r="N829" s="75">
        <v>4979.58</v>
      </c>
      <c r="O829" s="75">
        <v>20618.5</v>
      </c>
      <c r="P829" s="75">
        <v>-36020.160000000003</v>
      </c>
      <c r="Q829" s="75">
        <v>105444.95999999999</v>
      </c>
      <c r="R829" s="75">
        <v>130298.44999999998</v>
      </c>
    </row>
    <row r="830" spans="1:18" x14ac:dyDescent="0.3">
      <c r="A830">
        <v>813</v>
      </c>
      <c r="B830" s="19">
        <v>49.265000000000001</v>
      </c>
      <c r="C830" s="19">
        <v>32.638199999999998</v>
      </c>
      <c r="D830" s="19">
        <v>12.166499999999999</v>
      </c>
      <c r="E830" s="19">
        <v>264.69139999999999</v>
      </c>
      <c r="F830" s="19">
        <v>15.636200000000001</v>
      </c>
      <c r="G830" s="19">
        <v>376.10270000000003</v>
      </c>
      <c r="H830" s="19">
        <v>4638.6382000000003</v>
      </c>
      <c r="I830" s="19">
        <v>9289.3819000000003</v>
      </c>
      <c r="J830" s="75">
        <v>-6300</v>
      </c>
      <c r="K830" s="75">
        <v>-4611.3</v>
      </c>
      <c r="L830" s="75">
        <v>43201.2</v>
      </c>
      <c r="M830" s="75">
        <v>-5732.6799999999994</v>
      </c>
      <c r="N830" s="75">
        <v>277.14</v>
      </c>
      <c r="O830" s="75">
        <v>33469.449999999997</v>
      </c>
      <c r="P830" s="75">
        <v>21301.26</v>
      </c>
      <c r="Q830" s="75">
        <v>176310.86000000002</v>
      </c>
      <c r="R830" s="75">
        <v>257915.93</v>
      </c>
    </row>
    <row r="831" spans="1:18" x14ac:dyDescent="0.3">
      <c r="A831">
        <v>814</v>
      </c>
      <c r="B831" s="19">
        <v>49.930500000000002</v>
      </c>
      <c r="C831" s="19">
        <v>33.034500000000001</v>
      </c>
      <c r="D831" s="19">
        <v>11.4452</v>
      </c>
      <c r="E831" s="19">
        <v>265.47460000000001</v>
      </c>
      <c r="F831" s="19">
        <v>15.768000000000001</v>
      </c>
      <c r="G831" s="19">
        <v>364.09219999999999</v>
      </c>
      <c r="H831" s="19">
        <v>4597.4462000000003</v>
      </c>
      <c r="I831" s="19">
        <v>7951.6318000000001</v>
      </c>
      <c r="J831" s="75">
        <v>7010</v>
      </c>
      <c r="K831" s="75">
        <v>6683.25</v>
      </c>
      <c r="L831" s="75">
        <v>-20850.240000000002</v>
      </c>
      <c r="M831" s="75">
        <v>-2756.52</v>
      </c>
      <c r="N831" s="75">
        <v>6168.6</v>
      </c>
      <c r="O831" s="75">
        <v>-8567.2999999999993</v>
      </c>
      <c r="P831" s="75">
        <v>8943.66</v>
      </c>
      <c r="Q831" s="75">
        <v>-91239.16</v>
      </c>
      <c r="R831" s="75">
        <v>-94607.71</v>
      </c>
    </row>
    <row r="832" spans="1:18" x14ac:dyDescent="0.3">
      <c r="A832">
        <v>815</v>
      </c>
      <c r="B832" s="19">
        <v>49.870600000000003</v>
      </c>
      <c r="C832" s="19">
        <v>32.883499999999998</v>
      </c>
      <c r="D832" s="19">
        <v>11.3253</v>
      </c>
      <c r="E832" s="19">
        <v>275.22089999999997</v>
      </c>
      <c r="F832" s="19">
        <v>15.337999999999999</v>
      </c>
      <c r="G832" s="19">
        <v>358.66379999999998</v>
      </c>
      <c r="H832" s="19">
        <v>4565.3935000000001</v>
      </c>
      <c r="I832" s="19">
        <v>8906.1239000000005</v>
      </c>
      <c r="J832" s="75">
        <v>5812.0000000000009</v>
      </c>
      <c r="K832" s="75">
        <v>2379.75</v>
      </c>
      <c r="L832" s="75">
        <v>-31497.360000000001</v>
      </c>
      <c r="M832" s="75">
        <v>34279.42</v>
      </c>
      <c r="N832" s="75">
        <v>-13052.4</v>
      </c>
      <c r="O832" s="75">
        <v>-27566.7</v>
      </c>
      <c r="P832" s="75">
        <v>-672.15</v>
      </c>
      <c r="Q832" s="75">
        <v>99659.26</v>
      </c>
      <c r="R832" s="75">
        <v>69341.819999999992</v>
      </c>
    </row>
    <row r="833" spans="1:18" x14ac:dyDescent="0.3">
      <c r="A833">
        <v>816</v>
      </c>
      <c r="B833" s="19">
        <v>49.454000000000001</v>
      </c>
      <c r="C833" s="19">
        <v>33.383699999999997</v>
      </c>
      <c r="D833" s="19">
        <v>11.6434</v>
      </c>
      <c r="E833" s="19">
        <v>267.8544</v>
      </c>
      <c r="F833" s="19">
        <v>15.4497</v>
      </c>
      <c r="G833" s="19">
        <v>365.2715</v>
      </c>
      <c r="H833" s="19">
        <v>4555.4016000000001</v>
      </c>
      <c r="I833" s="19">
        <v>8500.3065999999999</v>
      </c>
      <c r="J833" s="75">
        <v>-2520</v>
      </c>
      <c r="K833" s="75">
        <v>16635.45</v>
      </c>
      <c r="L833" s="75">
        <v>-3250.08</v>
      </c>
      <c r="M833" s="75">
        <v>6286.72</v>
      </c>
      <c r="N833" s="75">
        <v>-8059.41</v>
      </c>
      <c r="O833" s="75">
        <v>-4439.75</v>
      </c>
      <c r="P833" s="75">
        <v>-3669.7200000000003</v>
      </c>
      <c r="Q833" s="75">
        <v>18495.8</v>
      </c>
      <c r="R833" s="75">
        <v>19479.009999999998</v>
      </c>
    </row>
    <row r="834" spans="1:18" x14ac:dyDescent="0.3">
      <c r="A834">
        <v>817</v>
      </c>
      <c r="B834" s="19">
        <v>49.696300000000001</v>
      </c>
      <c r="C834" s="19">
        <v>33.162599999999998</v>
      </c>
      <c r="D834" s="19">
        <v>11.817399999999999</v>
      </c>
      <c r="E834" s="19">
        <v>263.89679999999998</v>
      </c>
      <c r="F834" s="19">
        <v>15.5288</v>
      </c>
      <c r="G834" s="19">
        <v>364.5378</v>
      </c>
      <c r="H834" s="19">
        <v>4633.7003999999997</v>
      </c>
      <c r="I834" s="19">
        <v>7851.5416999999998</v>
      </c>
      <c r="J834" s="75">
        <v>2326</v>
      </c>
      <c r="K834" s="75">
        <v>10334.099999999999</v>
      </c>
      <c r="L834" s="75">
        <v>12201.119999999999</v>
      </c>
      <c r="M834" s="75">
        <v>-8752.16</v>
      </c>
      <c r="N834" s="75">
        <v>-4523.6400000000003</v>
      </c>
      <c r="O834" s="75">
        <v>-7007.7000000000007</v>
      </c>
      <c r="P834" s="75">
        <v>19819.920000000002</v>
      </c>
      <c r="Q834" s="75">
        <v>-111257.18</v>
      </c>
      <c r="R834" s="75">
        <v>-86859.54</v>
      </c>
    </row>
    <row r="835" spans="1:18" x14ac:dyDescent="0.3">
      <c r="A835">
        <v>818</v>
      </c>
      <c r="B835" s="19">
        <v>49.5473</v>
      </c>
      <c r="C835" s="19">
        <v>32.930199999999999</v>
      </c>
      <c r="D835" s="19">
        <v>11.7235</v>
      </c>
      <c r="E835" s="19">
        <v>246.3579</v>
      </c>
      <c r="F835" s="19">
        <v>15.7362</v>
      </c>
      <c r="G835" s="19">
        <v>373.0763</v>
      </c>
      <c r="H835" s="19">
        <v>4717.6858000000002</v>
      </c>
      <c r="I835" s="19">
        <v>9212.9243000000006</v>
      </c>
      <c r="J835" s="75">
        <v>-654</v>
      </c>
      <c r="K835" s="75">
        <v>3710.7000000000003</v>
      </c>
      <c r="L835" s="75">
        <v>3862.7999999999997</v>
      </c>
      <c r="M835" s="75">
        <v>-75399.98</v>
      </c>
      <c r="N835" s="75">
        <v>4747.1400000000003</v>
      </c>
      <c r="O835" s="75">
        <v>22877.05</v>
      </c>
      <c r="P835" s="75">
        <v>45015.539999999994</v>
      </c>
      <c r="Q835" s="75">
        <v>161019.34000000003</v>
      </c>
      <c r="R835" s="75">
        <v>165178.59000000003</v>
      </c>
    </row>
    <row r="836" spans="1:18" x14ac:dyDescent="0.3">
      <c r="A836">
        <v>819</v>
      </c>
      <c r="B836" s="19">
        <v>49.552500000000002</v>
      </c>
      <c r="C836" s="19">
        <v>33.079099999999997</v>
      </c>
      <c r="D836" s="19">
        <v>11.389200000000001</v>
      </c>
      <c r="E836" s="19">
        <v>256.97680000000003</v>
      </c>
      <c r="F836" s="19">
        <v>15.2494</v>
      </c>
      <c r="G836" s="19">
        <v>366.7208</v>
      </c>
      <c r="H836" s="19">
        <v>4614.8941000000004</v>
      </c>
      <c r="I836" s="19">
        <v>8130.5509000000002</v>
      </c>
      <c r="J836" s="75">
        <v>-550</v>
      </c>
      <c r="K836" s="75">
        <v>7954.35</v>
      </c>
      <c r="L836" s="75">
        <v>-25823.040000000001</v>
      </c>
      <c r="M836" s="75">
        <v>-35048.160000000003</v>
      </c>
      <c r="N836" s="75">
        <v>-17012.82</v>
      </c>
      <c r="O836" s="75">
        <v>632.79999999999995</v>
      </c>
      <c r="P836" s="75">
        <v>14178.03</v>
      </c>
      <c r="Q836" s="75">
        <v>-55455.340000000004</v>
      </c>
      <c r="R836" s="75">
        <v>-111124.18000000002</v>
      </c>
    </row>
    <row r="837" spans="1:18" x14ac:dyDescent="0.3">
      <c r="A837">
        <v>820</v>
      </c>
      <c r="B837" s="19">
        <v>49.077599999999997</v>
      </c>
      <c r="C837" s="19">
        <v>33.7166</v>
      </c>
      <c r="D837" s="19">
        <v>11.785500000000001</v>
      </c>
      <c r="E837" s="19">
        <v>259.70999999999998</v>
      </c>
      <c r="F837" s="19">
        <v>15.4453</v>
      </c>
      <c r="G837" s="19">
        <v>369.03530000000001</v>
      </c>
      <c r="H837" s="19">
        <v>4720.1500999999998</v>
      </c>
      <c r="I837" s="19">
        <v>9459.8739999999998</v>
      </c>
      <c r="J837" s="75">
        <v>-10048</v>
      </c>
      <c r="K837" s="75">
        <v>26123.1</v>
      </c>
      <c r="L837" s="75">
        <v>9368.4</v>
      </c>
      <c r="M837" s="75">
        <v>-24662</v>
      </c>
      <c r="N837" s="75">
        <v>-8256.09</v>
      </c>
      <c r="O837" s="75">
        <v>8733.5499999999993</v>
      </c>
      <c r="P837" s="75">
        <v>45754.83</v>
      </c>
      <c r="Q837" s="75">
        <v>210409.28</v>
      </c>
      <c r="R837" s="75">
        <v>257423.07</v>
      </c>
    </row>
    <row r="838" spans="1:18" x14ac:dyDescent="0.3">
      <c r="A838">
        <v>821</v>
      </c>
      <c r="B838" s="19">
        <v>50.3566</v>
      </c>
      <c r="C838" s="19">
        <v>32.4696</v>
      </c>
      <c r="D838" s="19">
        <v>11.460100000000001</v>
      </c>
      <c r="E838" s="19">
        <v>262.21969999999999</v>
      </c>
      <c r="F838" s="19">
        <v>15.370699999999999</v>
      </c>
      <c r="G838" s="19">
        <v>368.93380000000002</v>
      </c>
      <c r="H838" s="19">
        <v>4574.6714000000002</v>
      </c>
      <c r="I838" s="19">
        <v>8927.2062999999998</v>
      </c>
      <c r="J838" s="75">
        <v>15532</v>
      </c>
      <c r="K838" s="75">
        <v>-9416.4000000000015</v>
      </c>
      <c r="L838" s="75">
        <v>-19527.120000000003</v>
      </c>
      <c r="M838" s="75">
        <v>-15125.140000000001</v>
      </c>
      <c r="N838" s="75">
        <v>-11590.71</v>
      </c>
      <c r="O838" s="75">
        <v>8378.3000000000011</v>
      </c>
      <c r="P838" s="75">
        <v>2111.2199999999998</v>
      </c>
      <c r="Q838" s="75">
        <v>103875.73999999999</v>
      </c>
      <c r="R838" s="75">
        <v>74237.889999999985</v>
      </c>
    </row>
    <row r="839" spans="1:18" x14ac:dyDescent="0.3">
      <c r="A839">
        <v>822</v>
      </c>
      <c r="B839" s="19">
        <v>49.157800000000002</v>
      </c>
      <c r="C839" s="19">
        <v>32.529000000000003</v>
      </c>
      <c r="D839" s="19">
        <v>11.029</v>
      </c>
      <c r="E839" s="19">
        <v>278.3732</v>
      </c>
      <c r="F839" s="19">
        <v>15.2522</v>
      </c>
      <c r="G839" s="19">
        <v>363.35320000000002</v>
      </c>
      <c r="H839" s="19">
        <v>4620.2982000000002</v>
      </c>
      <c r="I839" s="19">
        <v>8239.7088000000003</v>
      </c>
      <c r="J839" s="75">
        <v>-8444</v>
      </c>
      <c r="K839" s="75">
        <v>-7723.5000000000009</v>
      </c>
      <c r="L839" s="75">
        <v>-57808.800000000003</v>
      </c>
      <c r="M839" s="75">
        <v>46258.159999999996</v>
      </c>
      <c r="N839" s="75">
        <v>-16887.66</v>
      </c>
      <c r="O839" s="75">
        <v>-11153.8</v>
      </c>
      <c r="P839" s="75">
        <v>15799.26</v>
      </c>
      <c r="Q839" s="75">
        <v>-33623.760000000002</v>
      </c>
      <c r="R839" s="75">
        <v>-73584.100000000006</v>
      </c>
    </row>
    <row r="840" spans="1:18" x14ac:dyDescent="0.3">
      <c r="A840">
        <v>823</v>
      </c>
      <c r="B840" s="19">
        <v>49.651200000000003</v>
      </c>
      <c r="C840" s="19">
        <v>32.886400000000002</v>
      </c>
      <c r="D840" s="19">
        <v>11.8354</v>
      </c>
      <c r="E840" s="19">
        <v>267.3569</v>
      </c>
      <c r="F840" s="19">
        <v>15.6227</v>
      </c>
      <c r="G840" s="19">
        <v>368.38249999999999</v>
      </c>
      <c r="H840" s="19">
        <v>4680.6637000000001</v>
      </c>
      <c r="I840" s="19">
        <v>9041.4452000000001</v>
      </c>
      <c r="J840" s="75">
        <v>1424</v>
      </c>
      <c r="K840" s="75">
        <v>2462.4</v>
      </c>
      <c r="L840" s="75">
        <v>13799.52</v>
      </c>
      <c r="M840" s="75">
        <v>4396.22</v>
      </c>
      <c r="N840" s="75">
        <v>-326.31</v>
      </c>
      <c r="O840" s="75">
        <v>6448.75</v>
      </c>
      <c r="P840" s="75">
        <v>33908.910000000003</v>
      </c>
      <c r="Q840" s="75">
        <v>126723.52</v>
      </c>
      <c r="R840" s="75">
        <v>188837.01</v>
      </c>
    </row>
    <row r="841" spans="1:18" x14ac:dyDescent="0.3">
      <c r="A841">
        <v>824</v>
      </c>
      <c r="B841" s="19">
        <v>49.756500000000003</v>
      </c>
      <c r="C841" s="19">
        <v>33.572299999999998</v>
      </c>
      <c r="D841" s="19">
        <v>11.5413</v>
      </c>
      <c r="E841" s="19">
        <v>271.07159999999999</v>
      </c>
      <c r="F841" s="19">
        <v>15.4351</v>
      </c>
      <c r="G841" s="19">
        <v>363.10129999999998</v>
      </c>
      <c r="H841" s="19">
        <v>4515.4656000000004</v>
      </c>
      <c r="I841" s="19">
        <v>9022.9683999999997</v>
      </c>
      <c r="J841" s="75">
        <v>3530</v>
      </c>
      <c r="K841" s="75">
        <v>22010.55</v>
      </c>
      <c r="L841" s="75">
        <v>-12316.56</v>
      </c>
      <c r="M841" s="75">
        <v>18512.079999999998</v>
      </c>
      <c r="N841" s="75">
        <v>-8712.0299999999988</v>
      </c>
      <c r="O841" s="75">
        <v>-12035.449999999999</v>
      </c>
      <c r="P841" s="75">
        <v>-15650.519999999999</v>
      </c>
      <c r="Q841" s="75">
        <v>123028.16</v>
      </c>
      <c r="R841" s="75">
        <v>118366.23000000001</v>
      </c>
    </row>
    <row r="842" spans="1:18" x14ac:dyDescent="0.3">
      <c r="A842">
        <v>825</v>
      </c>
      <c r="B842" s="19">
        <v>49.0274</v>
      </c>
      <c r="C842" s="19">
        <v>33.549799999999998</v>
      </c>
      <c r="D842" s="19">
        <v>11.274900000000001</v>
      </c>
      <c r="E842" s="19">
        <v>273.48939999999999</v>
      </c>
      <c r="F842" s="19">
        <v>15.82</v>
      </c>
      <c r="G842" s="19">
        <v>359.15379999999999</v>
      </c>
      <c r="H842" s="19">
        <v>4491.7353999999996</v>
      </c>
      <c r="I842" s="19">
        <v>8827.9531000000006</v>
      </c>
      <c r="J842" s="75">
        <v>-11052</v>
      </c>
      <c r="K842" s="75">
        <v>21369.3</v>
      </c>
      <c r="L842" s="75">
        <v>-35972.880000000005</v>
      </c>
      <c r="M842" s="75">
        <v>27699.719999999998</v>
      </c>
      <c r="N842" s="75">
        <v>8493</v>
      </c>
      <c r="O842" s="75">
        <v>-25851.699999999997</v>
      </c>
      <c r="P842" s="75">
        <v>-22769.58</v>
      </c>
      <c r="Q842" s="75">
        <v>84025.099999999991</v>
      </c>
      <c r="R842" s="75">
        <v>45940.959999999985</v>
      </c>
    </row>
    <row r="843" spans="1:18" x14ac:dyDescent="0.3">
      <c r="A843">
        <v>826</v>
      </c>
      <c r="B843" s="19">
        <v>49.720399999999998</v>
      </c>
      <c r="C843" s="19">
        <v>33.043599999999998</v>
      </c>
      <c r="D843" s="19">
        <v>11.754099999999999</v>
      </c>
      <c r="E843" s="19">
        <v>270.86430000000001</v>
      </c>
      <c r="F843" s="19">
        <v>15.8706</v>
      </c>
      <c r="G843" s="19">
        <v>376.11130000000003</v>
      </c>
      <c r="H843" s="19">
        <v>4594.7115000000003</v>
      </c>
      <c r="I843" s="19">
        <v>8318.5581999999995</v>
      </c>
      <c r="J843" s="75">
        <v>2808</v>
      </c>
      <c r="K843" s="75">
        <v>6942.6</v>
      </c>
      <c r="L843" s="75">
        <v>6580.08</v>
      </c>
      <c r="M843" s="75">
        <v>17724.34</v>
      </c>
      <c r="N843" s="75">
        <v>10754.82</v>
      </c>
      <c r="O843" s="75">
        <v>33499.550000000003</v>
      </c>
      <c r="P843" s="75">
        <v>8123.25</v>
      </c>
      <c r="Q843" s="75">
        <v>-17853.88</v>
      </c>
      <c r="R843" s="75">
        <v>68578.760000000009</v>
      </c>
    </row>
    <row r="844" spans="1:18" x14ac:dyDescent="0.3">
      <c r="A844">
        <v>827</v>
      </c>
      <c r="B844" s="19">
        <v>49.827399999999997</v>
      </c>
      <c r="C844" s="19">
        <v>32.566099999999999</v>
      </c>
      <c r="D844" s="19">
        <v>11.648400000000001</v>
      </c>
      <c r="E844" s="19">
        <v>270.13580000000002</v>
      </c>
      <c r="F844" s="19">
        <v>15.9114</v>
      </c>
      <c r="G844" s="19">
        <v>368.89</v>
      </c>
      <c r="H844" s="19">
        <v>4666.2897000000003</v>
      </c>
      <c r="I844" s="19">
        <v>8139.6423000000004</v>
      </c>
      <c r="J844" s="75">
        <v>4948</v>
      </c>
      <c r="K844" s="75">
        <v>-6666.15</v>
      </c>
      <c r="L844" s="75">
        <v>-2806.0800000000004</v>
      </c>
      <c r="M844" s="75">
        <v>14956.039999999999</v>
      </c>
      <c r="N844" s="75">
        <v>12578.58</v>
      </c>
      <c r="O844" s="75">
        <v>8225</v>
      </c>
      <c r="P844" s="75">
        <v>29596.71</v>
      </c>
      <c r="Q844" s="75">
        <v>-53637.06</v>
      </c>
      <c r="R844" s="75">
        <v>7195.0400000000009</v>
      </c>
    </row>
    <row r="845" spans="1:18" x14ac:dyDescent="0.3">
      <c r="A845">
        <v>828</v>
      </c>
      <c r="B845" s="19">
        <v>49.885199999999998</v>
      </c>
      <c r="C845" s="19">
        <v>32.190800000000003</v>
      </c>
      <c r="D845" s="19">
        <v>11.782299999999999</v>
      </c>
      <c r="E845" s="19">
        <v>258.767</v>
      </c>
      <c r="F845" s="19">
        <v>15.6774</v>
      </c>
      <c r="G845" s="19">
        <v>366.56279999999998</v>
      </c>
      <c r="H845" s="19">
        <v>4629.7461999999996</v>
      </c>
      <c r="I845" s="19">
        <v>8895.2862999999998</v>
      </c>
      <c r="J845" s="75">
        <v>6104.0000000000009</v>
      </c>
      <c r="K845" s="75">
        <v>-17362.2</v>
      </c>
      <c r="L845" s="75">
        <v>9084.24</v>
      </c>
      <c r="M845" s="75">
        <v>-28245.399999999998</v>
      </c>
      <c r="N845" s="75">
        <v>2118.7799999999997</v>
      </c>
      <c r="O845" s="75">
        <v>79.8</v>
      </c>
      <c r="P845" s="75">
        <v>18633.66</v>
      </c>
      <c r="Q845" s="75">
        <v>97491.74</v>
      </c>
      <c r="R845" s="75">
        <v>87904.62</v>
      </c>
    </row>
    <row r="846" spans="1:18" x14ac:dyDescent="0.3">
      <c r="A846">
        <v>829</v>
      </c>
      <c r="B846" s="19">
        <v>49.480200000000004</v>
      </c>
      <c r="C846" s="19">
        <v>32.779499999999999</v>
      </c>
      <c r="D846" s="19">
        <v>11.752599999999999</v>
      </c>
      <c r="E846" s="19">
        <v>255.81389999999999</v>
      </c>
      <c r="F846" s="19">
        <v>15.7241</v>
      </c>
      <c r="G846" s="19">
        <v>372.77019999999999</v>
      </c>
      <c r="H846" s="19">
        <v>4610.6066000000001</v>
      </c>
      <c r="I846" s="19">
        <v>9326.4462000000003</v>
      </c>
      <c r="J846" s="75">
        <v>-1996</v>
      </c>
      <c r="K846" s="75">
        <v>-584.25</v>
      </c>
      <c r="L846" s="75">
        <v>6446.88</v>
      </c>
      <c r="M846" s="75">
        <v>-39467.18</v>
      </c>
      <c r="N846" s="75">
        <v>4206.2700000000004</v>
      </c>
      <c r="O846" s="75">
        <v>21805.7</v>
      </c>
      <c r="P846" s="75">
        <v>12891.78</v>
      </c>
      <c r="Q846" s="75">
        <v>183723.72</v>
      </c>
      <c r="R846" s="75">
        <v>187026.92</v>
      </c>
    </row>
    <row r="847" spans="1:18" x14ac:dyDescent="0.3">
      <c r="A847">
        <v>830</v>
      </c>
      <c r="B847" s="19">
        <v>48.959600000000002</v>
      </c>
      <c r="C847" s="19">
        <v>32.107999999999997</v>
      </c>
      <c r="D847" s="19">
        <v>11.9236</v>
      </c>
      <c r="E847" s="19">
        <v>279.71370000000002</v>
      </c>
      <c r="F847" s="19">
        <v>15.808299999999999</v>
      </c>
      <c r="G847" s="19">
        <v>380.11410000000001</v>
      </c>
      <c r="H847" s="19">
        <v>4507.2179999999998</v>
      </c>
      <c r="I847" s="19">
        <v>8184.9886999999999</v>
      </c>
      <c r="J847" s="75">
        <v>-12407.999999999998</v>
      </c>
      <c r="K847" s="75">
        <v>-19722</v>
      </c>
      <c r="L847" s="75">
        <v>21631.68</v>
      </c>
      <c r="M847" s="75">
        <v>51352.06</v>
      </c>
      <c r="N847" s="75">
        <v>7970.0099999999993</v>
      </c>
      <c r="O847" s="75">
        <v>47509.35</v>
      </c>
      <c r="P847" s="75">
        <v>-18124.8</v>
      </c>
      <c r="Q847" s="75">
        <v>-44567.78</v>
      </c>
      <c r="R847" s="75">
        <v>33640.520000000004</v>
      </c>
    </row>
    <row r="848" spans="1:18" x14ac:dyDescent="0.3">
      <c r="A848">
        <v>831</v>
      </c>
      <c r="B848" s="19">
        <v>49.553800000000003</v>
      </c>
      <c r="C848" s="19">
        <v>32.488900000000001</v>
      </c>
      <c r="D848" s="19">
        <v>11.3809</v>
      </c>
      <c r="E848" s="19">
        <v>272.91660000000002</v>
      </c>
      <c r="F848" s="19">
        <v>15.734299999999999</v>
      </c>
      <c r="G848" s="19">
        <v>357.19810000000001</v>
      </c>
      <c r="H848" s="19">
        <v>4669.0802000000003</v>
      </c>
      <c r="I848" s="19">
        <v>9060.7594000000008</v>
      </c>
      <c r="J848" s="75">
        <v>-524</v>
      </c>
      <c r="K848" s="75">
        <v>-8866.35</v>
      </c>
      <c r="L848" s="75">
        <v>-26560.079999999998</v>
      </c>
      <c r="M848" s="75">
        <v>25523.079999999998</v>
      </c>
      <c r="N848" s="75">
        <v>4662.21</v>
      </c>
      <c r="O848" s="75">
        <v>-32696.65</v>
      </c>
      <c r="P848" s="75">
        <v>30433.86</v>
      </c>
      <c r="Q848" s="75">
        <v>130586.35999999999</v>
      </c>
      <c r="R848" s="75">
        <v>122558.43</v>
      </c>
    </row>
    <row r="849" spans="1:18" x14ac:dyDescent="0.3">
      <c r="A849">
        <v>832</v>
      </c>
      <c r="B849" s="19">
        <v>49.634799999999998</v>
      </c>
      <c r="C849" s="19">
        <v>32.569899999999997</v>
      </c>
      <c r="D849" s="19">
        <v>11.0427</v>
      </c>
      <c r="E849" s="19">
        <v>268.73750000000001</v>
      </c>
      <c r="F849" s="19">
        <v>15.745699999999999</v>
      </c>
      <c r="G849" s="19">
        <v>368.98579999999998</v>
      </c>
      <c r="H849" s="19">
        <v>4557.5257000000001</v>
      </c>
      <c r="I849" s="19">
        <v>8818.1630999999998</v>
      </c>
      <c r="J849" s="75">
        <v>1096</v>
      </c>
      <c r="K849" s="75">
        <v>-6557.85</v>
      </c>
      <c r="L849" s="75">
        <v>-56592.24</v>
      </c>
      <c r="M849" s="75">
        <v>9642.5</v>
      </c>
      <c r="N849" s="75">
        <v>5171.79</v>
      </c>
      <c r="O849" s="75">
        <v>8560.3000000000011</v>
      </c>
      <c r="P849" s="75">
        <v>-3032.49</v>
      </c>
      <c r="Q849" s="75">
        <v>82067.100000000006</v>
      </c>
      <c r="R849" s="75">
        <v>40355.110000000015</v>
      </c>
    </row>
    <row r="850" spans="1:18" x14ac:dyDescent="0.3">
      <c r="A850">
        <v>833</v>
      </c>
      <c r="B850" s="19">
        <v>48.886499999999998</v>
      </c>
      <c r="C850" s="19">
        <v>33.451000000000001</v>
      </c>
      <c r="D850" s="19">
        <v>11.2745</v>
      </c>
      <c r="E850" s="19">
        <v>272.9468</v>
      </c>
      <c r="F850" s="19">
        <v>15.340999999999999</v>
      </c>
      <c r="G850" s="19">
        <v>362.34469999999999</v>
      </c>
      <c r="H850" s="19">
        <v>4659.3536000000004</v>
      </c>
      <c r="I850" s="19">
        <v>8873.1856000000007</v>
      </c>
      <c r="J850" s="75">
        <v>-13870</v>
      </c>
      <c r="K850" s="75">
        <v>18553.5</v>
      </c>
      <c r="L850" s="75">
        <v>-36008.400000000001</v>
      </c>
      <c r="M850" s="75">
        <v>25637.84</v>
      </c>
      <c r="N850" s="75">
        <v>-12918.3</v>
      </c>
      <c r="O850" s="75">
        <v>-14683.55</v>
      </c>
      <c r="P850" s="75">
        <v>27515.88</v>
      </c>
      <c r="Q850" s="75">
        <v>93071.6</v>
      </c>
      <c r="R850" s="75">
        <v>87298.57</v>
      </c>
    </row>
    <row r="851" spans="1:18" x14ac:dyDescent="0.3">
      <c r="A851">
        <v>834</v>
      </c>
      <c r="B851" s="19">
        <v>49.459299999999999</v>
      </c>
      <c r="C851" s="19">
        <v>33.288899999999998</v>
      </c>
      <c r="D851" s="19">
        <v>11.7658</v>
      </c>
      <c r="E851" s="19">
        <v>260.2475</v>
      </c>
      <c r="F851" s="19">
        <v>15.3314</v>
      </c>
      <c r="G851" s="19">
        <v>365.96809999999999</v>
      </c>
      <c r="H851" s="19">
        <v>4543.5190000000002</v>
      </c>
      <c r="I851" s="19">
        <v>8514.5175999999992</v>
      </c>
      <c r="J851" s="75">
        <v>-2414</v>
      </c>
      <c r="K851" s="75">
        <v>13933.65</v>
      </c>
      <c r="L851" s="75">
        <v>7619.04</v>
      </c>
      <c r="M851" s="75">
        <v>-22619.5</v>
      </c>
      <c r="N851" s="75">
        <v>-13347.419999999998</v>
      </c>
      <c r="O851" s="75">
        <v>-2001.6499999999999</v>
      </c>
      <c r="P851" s="75">
        <v>-7234.4999999999991</v>
      </c>
      <c r="Q851" s="75">
        <v>21338</v>
      </c>
      <c r="R851" s="75">
        <v>-4726.380000000001</v>
      </c>
    </row>
    <row r="852" spans="1:18" x14ac:dyDescent="0.3">
      <c r="A852">
        <v>835</v>
      </c>
      <c r="B852" s="19">
        <v>49.046700000000001</v>
      </c>
      <c r="C852" s="19">
        <v>32.380699999999997</v>
      </c>
      <c r="D852" s="19">
        <v>11.912800000000001</v>
      </c>
      <c r="E852" s="19">
        <v>258.73320000000001</v>
      </c>
      <c r="F852" s="19">
        <v>15.366</v>
      </c>
      <c r="G852" s="19">
        <v>378.83280000000002</v>
      </c>
      <c r="H852" s="19">
        <v>4597.9209000000001</v>
      </c>
      <c r="I852" s="19">
        <v>8181.3319000000001</v>
      </c>
      <c r="J852" s="75">
        <v>-10666</v>
      </c>
      <c r="K852" s="75">
        <v>-11950.05</v>
      </c>
      <c r="L852" s="75">
        <v>20672.64</v>
      </c>
      <c r="M852" s="75">
        <v>-28373.84</v>
      </c>
      <c r="N852" s="75">
        <v>-11800.800000000001</v>
      </c>
      <c r="O852" s="75">
        <v>43024.799999999996</v>
      </c>
      <c r="P852" s="75">
        <v>9086.07</v>
      </c>
      <c r="Q852" s="75">
        <v>-45299.14</v>
      </c>
      <c r="R852" s="75">
        <v>-35306.320000000007</v>
      </c>
    </row>
    <row r="853" spans="1:18" x14ac:dyDescent="0.3">
      <c r="A853">
        <v>836</v>
      </c>
      <c r="B853" s="19">
        <v>49.102499999999999</v>
      </c>
      <c r="C853" s="19">
        <v>32.0837</v>
      </c>
      <c r="D853" s="19">
        <v>11.7774</v>
      </c>
      <c r="E853" s="19">
        <v>277.24119999999999</v>
      </c>
      <c r="F853" s="19">
        <v>15.6229</v>
      </c>
      <c r="G853" s="19">
        <v>364.03359999999998</v>
      </c>
      <c r="H853" s="19">
        <v>4851.5140000000001</v>
      </c>
      <c r="I853" s="19">
        <v>8281.9786000000004</v>
      </c>
      <c r="J853" s="75">
        <v>-9550</v>
      </c>
      <c r="K853" s="75">
        <v>-20414.550000000003</v>
      </c>
      <c r="L853" s="75">
        <v>8649.1200000000008</v>
      </c>
      <c r="M853" s="75">
        <v>41956.56</v>
      </c>
      <c r="N853" s="75">
        <v>-317.37</v>
      </c>
      <c r="O853" s="75">
        <v>-8772.4000000000015</v>
      </c>
      <c r="P853" s="75">
        <v>85164</v>
      </c>
      <c r="Q853" s="75">
        <v>-25169.8</v>
      </c>
      <c r="R853" s="75">
        <v>71545.56</v>
      </c>
    </row>
    <row r="854" spans="1:18" x14ac:dyDescent="0.3">
      <c r="A854">
        <v>837</v>
      </c>
      <c r="B854" s="19">
        <v>49.347099999999998</v>
      </c>
      <c r="C854" s="19">
        <v>32.605800000000002</v>
      </c>
      <c r="D854" s="19">
        <v>11.7746</v>
      </c>
      <c r="E854" s="19">
        <v>271.07459999999998</v>
      </c>
      <c r="F854" s="19">
        <v>16.014900000000001</v>
      </c>
      <c r="G854" s="19">
        <v>359.09980000000002</v>
      </c>
      <c r="H854" s="19">
        <v>4697.1139000000003</v>
      </c>
      <c r="I854" s="19">
        <v>8413.4781999999996</v>
      </c>
      <c r="J854" s="75">
        <v>-4658</v>
      </c>
      <c r="K854" s="75">
        <v>-5534.7000000000007</v>
      </c>
      <c r="L854" s="75">
        <v>8400.48</v>
      </c>
      <c r="M854" s="75">
        <v>18523.48</v>
      </c>
      <c r="N854" s="75">
        <v>17205.030000000002</v>
      </c>
      <c r="O854" s="75">
        <v>-26040.7</v>
      </c>
      <c r="P854" s="75">
        <v>38843.969999999994</v>
      </c>
      <c r="Q854" s="75">
        <v>1130.1199999999999</v>
      </c>
      <c r="R854" s="75">
        <v>47869.68</v>
      </c>
    </row>
    <row r="855" spans="1:18" x14ac:dyDescent="0.3">
      <c r="A855">
        <v>838</v>
      </c>
      <c r="B855" s="19">
        <v>50.563499999999998</v>
      </c>
      <c r="C855" s="19">
        <v>33.124299999999998</v>
      </c>
      <c r="D855" s="19">
        <v>11.489100000000001</v>
      </c>
      <c r="E855" s="19">
        <v>261.51220000000001</v>
      </c>
      <c r="F855" s="19">
        <v>15.4527</v>
      </c>
      <c r="G855" s="19">
        <v>362.29930000000002</v>
      </c>
      <c r="H855" s="19">
        <v>4609.6998000000003</v>
      </c>
      <c r="I855" s="19">
        <v>8724.8274999999994</v>
      </c>
      <c r="J855" s="75">
        <v>19670</v>
      </c>
      <c r="K855" s="75">
        <v>9242.5499999999993</v>
      </c>
      <c r="L855" s="75">
        <v>-16951.919999999998</v>
      </c>
      <c r="M855" s="75">
        <v>-17813.64</v>
      </c>
      <c r="N855" s="75">
        <v>-7925.31</v>
      </c>
      <c r="O855" s="75">
        <v>-14842.45</v>
      </c>
      <c r="P855" s="75">
        <v>12619.740000000002</v>
      </c>
      <c r="Q855" s="75">
        <v>63399.98</v>
      </c>
      <c r="R855" s="75">
        <v>47398.950000000004</v>
      </c>
    </row>
    <row r="856" spans="1:18" x14ac:dyDescent="0.3">
      <c r="A856">
        <v>839</v>
      </c>
      <c r="B856" s="19">
        <v>49.667499999999997</v>
      </c>
      <c r="C856" s="19">
        <v>33.627400000000002</v>
      </c>
      <c r="D856" s="19">
        <v>11.419600000000001</v>
      </c>
      <c r="E856" s="19">
        <v>272.7749</v>
      </c>
      <c r="F856" s="19">
        <v>15.661300000000001</v>
      </c>
      <c r="G856" s="19">
        <v>368.74950000000001</v>
      </c>
      <c r="H856" s="19">
        <v>4501.3023000000003</v>
      </c>
      <c r="I856" s="19">
        <v>9009.2947999999997</v>
      </c>
      <c r="J856" s="75">
        <v>1750</v>
      </c>
      <c r="K856" s="75">
        <v>23580.9</v>
      </c>
      <c r="L856" s="75">
        <v>-23123.52</v>
      </c>
      <c r="M856" s="75">
        <v>24984.620000000003</v>
      </c>
      <c r="N856" s="75">
        <v>1399.1100000000001</v>
      </c>
      <c r="O856" s="75">
        <v>7733.2499999999991</v>
      </c>
      <c r="P856" s="75">
        <v>-19899.509999999998</v>
      </c>
      <c r="Q856" s="75">
        <v>120293.44</v>
      </c>
      <c r="R856" s="75">
        <v>136718.29</v>
      </c>
    </row>
    <row r="857" spans="1:18" x14ac:dyDescent="0.3">
      <c r="A857">
        <v>840</v>
      </c>
      <c r="B857" s="19">
        <v>49.297800000000002</v>
      </c>
      <c r="C857" s="19">
        <v>32.952199999999998</v>
      </c>
      <c r="D857" s="19">
        <v>11.3378</v>
      </c>
      <c r="E857" s="19">
        <v>256.77510000000001</v>
      </c>
      <c r="F857" s="19">
        <v>15.505000000000001</v>
      </c>
      <c r="G857" s="19">
        <v>368.80970000000002</v>
      </c>
      <c r="H857" s="19">
        <v>4716.1866</v>
      </c>
      <c r="I857" s="19">
        <v>8636.2626999999993</v>
      </c>
      <c r="J857" s="75">
        <v>-5644</v>
      </c>
      <c r="K857" s="75">
        <v>4337.7</v>
      </c>
      <c r="L857" s="75">
        <v>-30387.360000000001</v>
      </c>
      <c r="M857" s="75">
        <v>-35814.619999999995</v>
      </c>
      <c r="N857" s="75">
        <v>-5587.5</v>
      </c>
      <c r="O857" s="75">
        <v>7943.95</v>
      </c>
      <c r="P857" s="75">
        <v>44565.780000000006</v>
      </c>
      <c r="Q857" s="75">
        <v>45687.020000000004</v>
      </c>
      <c r="R857" s="75">
        <v>25100.970000000008</v>
      </c>
    </row>
    <row r="858" spans="1:18" x14ac:dyDescent="0.3">
      <c r="A858">
        <v>841</v>
      </c>
      <c r="B858" s="19">
        <v>49.463500000000003</v>
      </c>
      <c r="C858" s="19">
        <v>32.739899999999999</v>
      </c>
      <c r="D858" s="19">
        <v>11.8893</v>
      </c>
      <c r="E858" s="19">
        <v>260.69529999999997</v>
      </c>
      <c r="F858" s="19">
        <v>15.778700000000001</v>
      </c>
      <c r="G858" s="19">
        <v>372.09370000000001</v>
      </c>
      <c r="H858" s="19">
        <v>4516.7741999999998</v>
      </c>
      <c r="I858" s="19">
        <v>8313.4622999999992</v>
      </c>
      <c r="J858" s="75">
        <v>-2330</v>
      </c>
      <c r="K858" s="75">
        <v>-1712.85</v>
      </c>
      <c r="L858" s="75">
        <v>18585.84</v>
      </c>
      <c r="M858" s="75">
        <v>-20917.86</v>
      </c>
      <c r="N858" s="75">
        <v>6646.89</v>
      </c>
      <c r="O858" s="75">
        <v>19437.95</v>
      </c>
      <c r="P858" s="75">
        <v>-15257.94</v>
      </c>
      <c r="Q858" s="75">
        <v>-18873.060000000001</v>
      </c>
      <c r="R858" s="75">
        <v>-14421.03</v>
      </c>
    </row>
    <row r="859" spans="1:18" x14ac:dyDescent="0.3">
      <c r="A859">
        <v>842</v>
      </c>
      <c r="B859" s="19">
        <v>49.521900000000002</v>
      </c>
      <c r="C859" s="19">
        <v>32.468400000000003</v>
      </c>
      <c r="D859" s="19">
        <v>11.928800000000001</v>
      </c>
      <c r="E859" s="19">
        <v>262.6397</v>
      </c>
      <c r="F859" s="19">
        <v>15.5199</v>
      </c>
      <c r="G859" s="19">
        <v>368.9391</v>
      </c>
      <c r="H859" s="19">
        <v>4581.1893</v>
      </c>
      <c r="I859" s="19">
        <v>8338.4156999999996</v>
      </c>
      <c r="J859" s="75">
        <v>-1162</v>
      </c>
      <c r="K859" s="75">
        <v>-9450.6</v>
      </c>
      <c r="L859" s="75">
        <v>22093.439999999999</v>
      </c>
      <c r="M859" s="75">
        <v>-13529.14</v>
      </c>
      <c r="N859" s="75">
        <v>-4921.47</v>
      </c>
      <c r="O859" s="75">
        <v>8396.8499999999985</v>
      </c>
      <c r="P859" s="75">
        <v>4066.59</v>
      </c>
      <c r="Q859" s="75">
        <v>-13882.380000000001</v>
      </c>
      <c r="R859" s="75">
        <v>-8388.7100000000028</v>
      </c>
    </row>
    <row r="860" spans="1:18" x14ac:dyDescent="0.3">
      <c r="A860">
        <v>843</v>
      </c>
      <c r="B860" s="19">
        <v>48.899000000000001</v>
      </c>
      <c r="C860" s="19">
        <v>32.421900000000001</v>
      </c>
      <c r="D860" s="19">
        <v>11.39</v>
      </c>
      <c r="E860" s="19">
        <v>278.82339999999999</v>
      </c>
      <c r="F860" s="19">
        <v>15.420400000000001</v>
      </c>
      <c r="G860" s="19">
        <v>362.32260000000002</v>
      </c>
      <c r="H860" s="19">
        <v>4583.0609999999997</v>
      </c>
      <c r="I860" s="19">
        <v>8346.652</v>
      </c>
      <c r="J860" s="75">
        <v>-13620.000000000002</v>
      </c>
      <c r="K860" s="75">
        <v>-10775.85</v>
      </c>
      <c r="L860" s="75">
        <v>-25752</v>
      </c>
      <c r="M860" s="75">
        <v>47968.92</v>
      </c>
      <c r="N860" s="75">
        <v>-9369.1200000000008</v>
      </c>
      <c r="O860" s="75">
        <v>-14760.899999999998</v>
      </c>
      <c r="P860" s="75">
        <v>4628.0999999999995</v>
      </c>
      <c r="Q860" s="75">
        <v>-12235.12</v>
      </c>
      <c r="R860" s="75">
        <v>-33915.970000000008</v>
      </c>
    </row>
    <row r="861" spans="1:18" x14ac:dyDescent="0.3">
      <c r="A861">
        <v>844</v>
      </c>
      <c r="B861" s="19">
        <v>49.509</v>
      </c>
      <c r="C861" s="19">
        <v>33.065199999999997</v>
      </c>
      <c r="D861" s="19">
        <v>11.776199999999999</v>
      </c>
      <c r="E861" s="19">
        <v>250.50919999999999</v>
      </c>
      <c r="F861" s="19">
        <v>15.8369</v>
      </c>
      <c r="G861" s="19">
        <v>368.4271</v>
      </c>
      <c r="H861" s="19">
        <v>4542.1729999999998</v>
      </c>
      <c r="I861" s="19">
        <v>8497.6957000000002</v>
      </c>
      <c r="J861" s="75">
        <v>-1419.9999999999998</v>
      </c>
      <c r="K861" s="75">
        <v>7558.2</v>
      </c>
      <c r="L861" s="75">
        <v>8542.56</v>
      </c>
      <c r="M861" s="75">
        <v>-59625.04</v>
      </c>
      <c r="N861" s="75">
        <v>9248.43</v>
      </c>
      <c r="O861" s="75">
        <v>6604.85</v>
      </c>
      <c r="P861" s="75">
        <v>-7638.2999999999993</v>
      </c>
      <c r="Q861" s="75">
        <v>17973.62</v>
      </c>
      <c r="R861" s="75">
        <v>-18755.680000000004</v>
      </c>
    </row>
    <row r="862" spans="1:18" x14ac:dyDescent="0.3">
      <c r="A862">
        <v>845</v>
      </c>
      <c r="B862" s="19">
        <v>49.486600000000003</v>
      </c>
      <c r="C862" s="19">
        <v>33.091500000000003</v>
      </c>
      <c r="D862" s="19">
        <v>11.8408</v>
      </c>
      <c r="E862" s="19">
        <v>270.60559999999998</v>
      </c>
      <c r="F862" s="19">
        <v>15.372400000000001</v>
      </c>
      <c r="G862" s="19">
        <v>369.6001</v>
      </c>
      <c r="H862" s="19">
        <v>4468.2653</v>
      </c>
      <c r="I862" s="19">
        <v>8149.0081</v>
      </c>
      <c r="J862" s="75">
        <v>-1868</v>
      </c>
      <c r="K862" s="75">
        <v>8307.75</v>
      </c>
      <c r="L862" s="75">
        <v>14279.039999999999</v>
      </c>
      <c r="M862" s="75">
        <v>16741.28</v>
      </c>
      <c r="N862" s="75">
        <v>-11514.72</v>
      </c>
      <c r="O862" s="75">
        <v>10710.349999999999</v>
      </c>
      <c r="P862" s="75">
        <v>-29810.61</v>
      </c>
      <c r="Q862" s="75">
        <v>-51763.9</v>
      </c>
      <c r="R862" s="75">
        <v>-44918.810000000005</v>
      </c>
    </row>
    <row r="863" spans="1:18" x14ac:dyDescent="0.3">
      <c r="A863">
        <v>846</v>
      </c>
      <c r="B863" s="19">
        <v>50.2395</v>
      </c>
      <c r="C863" s="19">
        <v>32.285600000000002</v>
      </c>
      <c r="D863" s="19">
        <v>11.437099999999999</v>
      </c>
      <c r="E863" s="19">
        <v>272.5557</v>
      </c>
      <c r="F863" s="19">
        <v>15.7538</v>
      </c>
      <c r="G863" s="19">
        <v>374.18189999999998</v>
      </c>
      <c r="H863" s="19">
        <v>4507.4291000000003</v>
      </c>
      <c r="I863" s="19">
        <v>8729.4508999999998</v>
      </c>
      <c r="J863" s="75">
        <v>13190</v>
      </c>
      <c r="K863" s="75">
        <v>-14660.4</v>
      </c>
      <c r="L863" s="75">
        <v>-21569.52</v>
      </c>
      <c r="M863" s="75">
        <v>24151.66</v>
      </c>
      <c r="N863" s="75">
        <v>5533.86</v>
      </c>
      <c r="O863" s="75">
        <v>26746.649999999998</v>
      </c>
      <c r="P863" s="75">
        <v>-18061.47</v>
      </c>
      <c r="Q863" s="75">
        <v>64324.659999999996</v>
      </c>
      <c r="R863" s="75">
        <v>79655.44</v>
      </c>
    </row>
    <row r="864" spans="1:18" x14ac:dyDescent="0.3">
      <c r="A864">
        <v>847</v>
      </c>
      <c r="B864" s="19">
        <v>49.295400000000001</v>
      </c>
      <c r="C864" s="19">
        <v>33.030900000000003</v>
      </c>
      <c r="D864" s="19">
        <v>11.4072</v>
      </c>
      <c r="E864" s="19">
        <v>266.60059999999999</v>
      </c>
      <c r="F864" s="19">
        <v>15.528499999999999</v>
      </c>
      <c r="G864" s="19">
        <v>360.29559999999998</v>
      </c>
      <c r="H864" s="19">
        <v>4688.8959999999997</v>
      </c>
      <c r="I864" s="19">
        <v>8624.6139999999996</v>
      </c>
      <c r="J864" s="75">
        <v>-5692</v>
      </c>
      <c r="K864" s="75">
        <v>6580.65</v>
      </c>
      <c r="L864" s="75">
        <v>-24224.639999999999</v>
      </c>
      <c r="M864" s="75">
        <v>1522.28</v>
      </c>
      <c r="N864" s="75">
        <v>-4537.05</v>
      </c>
      <c r="O864" s="75">
        <v>-21855.399999999998</v>
      </c>
      <c r="P864" s="75">
        <v>36378.6</v>
      </c>
      <c r="Q864" s="75">
        <v>43357.279999999999</v>
      </c>
      <c r="R864" s="75">
        <v>31529.72</v>
      </c>
    </row>
    <row r="865" spans="1:18" x14ac:dyDescent="0.3">
      <c r="A865">
        <v>848</v>
      </c>
      <c r="B865" s="19">
        <v>49.1511</v>
      </c>
      <c r="C865" s="19">
        <v>32.262799999999999</v>
      </c>
      <c r="D865" s="19">
        <v>11.4518</v>
      </c>
      <c r="E865" s="19">
        <v>273.9178</v>
      </c>
      <c r="F865" s="19">
        <v>15.3276</v>
      </c>
      <c r="G865" s="19">
        <v>358.17</v>
      </c>
      <c r="H865" s="19">
        <v>4481.0785999999998</v>
      </c>
      <c r="I865" s="19">
        <v>8569.7090000000007</v>
      </c>
      <c r="J865" s="75">
        <v>-8578</v>
      </c>
      <c r="K865" s="75">
        <v>-15310.2</v>
      </c>
      <c r="L865" s="75">
        <v>-20264.16</v>
      </c>
      <c r="M865" s="75">
        <v>29327.640000000003</v>
      </c>
      <c r="N865" s="75">
        <v>-13517.28</v>
      </c>
      <c r="O865" s="75">
        <v>-29294.999999999996</v>
      </c>
      <c r="P865" s="75">
        <v>-25966.620000000003</v>
      </c>
      <c r="Q865" s="75">
        <v>32376.280000000002</v>
      </c>
      <c r="R865" s="75">
        <v>-51227.34</v>
      </c>
    </row>
    <row r="866" spans="1:18" x14ac:dyDescent="0.3">
      <c r="A866">
        <v>849</v>
      </c>
      <c r="B866" s="19">
        <v>49.560699999999997</v>
      </c>
      <c r="C866" s="19">
        <v>32.471200000000003</v>
      </c>
      <c r="D866" s="19">
        <v>11.919700000000001</v>
      </c>
      <c r="E866" s="19">
        <v>244.92250000000001</v>
      </c>
      <c r="F866" s="19">
        <v>15.339499999999999</v>
      </c>
      <c r="G866" s="19">
        <v>371.6576</v>
      </c>
      <c r="H866" s="19">
        <v>4477.5020999999997</v>
      </c>
      <c r="I866" s="19">
        <v>8397.4557000000004</v>
      </c>
      <c r="J866" s="75">
        <v>-386</v>
      </c>
      <c r="K866" s="75">
        <v>-9370.7999999999993</v>
      </c>
      <c r="L866" s="75">
        <v>21285.360000000001</v>
      </c>
      <c r="M866" s="75">
        <v>-80854.5</v>
      </c>
      <c r="N866" s="75">
        <v>-12985.349999999999</v>
      </c>
      <c r="O866" s="75">
        <v>17911.600000000002</v>
      </c>
      <c r="P866" s="75">
        <v>-27039.57</v>
      </c>
      <c r="Q866" s="75">
        <v>-2074.38</v>
      </c>
      <c r="R866" s="75">
        <v>-93513.640000000014</v>
      </c>
    </row>
    <row r="867" spans="1:18" x14ac:dyDescent="0.3">
      <c r="A867">
        <v>850</v>
      </c>
      <c r="B867" s="19">
        <v>49.381599999999999</v>
      </c>
      <c r="C867" s="19">
        <v>32.747399999999999</v>
      </c>
      <c r="D867" s="19">
        <v>11.561</v>
      </c>
      <c r="E867" s="19">
        <v>253.3331</v>
      </c>
      <c r="F867" s="19">
        <v>15.120799999999999</v>
      </c>
      <c r="G867" s="19">
        <v>358.83589999999998</v>
      </c>
      <c r="H867" s="19">
        <v>4516.1180999999997</v>
      </c>
      <c r="I867" s="19">
        <v>9061.2808000000005</v>
      </c>
      <c r="J867" s="75">
        <v>-3968</v>
      </c>
      <c r="K867" s="75">
        <v>-1499.1000000000001</v>
      </c>
      <c r="L867" s="75">
        <v>-10567.199999999999</v>
      </c>
      <c r="M867" s="75">
        <v>-48894.219999999994</v>
      </c>
      <c r="N867" s="75">
        <v>-22761.239999999998</v>
      </c>
      <c r="O867" s="75">
        <v>-26964.350000000002</v>
      </c>
      <c r="P867" s="75">
        <v>-15454.77</v>
      </c>
      <c r="Q867" s="75">
        <v>130690.64000000001</v>
      </c>
      <c r="R867" s="75">
        <v>581.76000000002387</v>
      </c>
    </row>
    <row r="868" spans="1:18" x14ac:dyDescent="0.3">
      <c r="A868">
        <v>851</v>
      </c>
      <c r="B868" s="19">
        <v>49.567999999999998</v>
      </c>
      <c r="C868" s="19">
        <v>32.524299999999997</v>
      </c>
      <c r="D868" s="19">
        <v>11.738300000000001</v>
      </c>
      <c r="E868" s="19">
        <v>260.19130000000001</v>
      </c>
      <c r="F868" s="19">
        <v>15.828200000000001</v>
      </c>
      <c r="G868" s="19">
        <v>358.63929999999999</v>
      </c>
      <c r="H868" s="19">
        <v>4648.4096</v>
      </c>
      <c r="I868" s="19">
        <v>8749.3045999999995</v>
      </c>
      <c r="J868" s="75">
        <v>-240</v>
      </c>
      <c r="K868" s="75">
        <v>-7857.45</v>
      </c>
      <c r="L868" s="75">
        <v>5177.04</v>
      </c>
      <c r="M868" s="75">
        <v>-22833.06</v>
      </c>
      <c r="N868" s="75">
        <v>8859.5399999999991</v>
      </c>
      <c r="O868" s="75">
        <v>-27652.449999999997</v>
      </c>
      <c r="P868" s="75">
        <v>24232.68</v>
      </c>
      <c r="Q868" s="75">
        <v>68295.399999999994</v>
      </c>
      <c r="R868" s="75">
        <v>47981.7</v>
      </c>
    </row>
    <row r="869" spans="1:18" x14ac:dyDescent="0.3">
      <c r="A869">
        <v>852</v>
      </c>
      <c r="B869" s="19">
        <v>49.441600000000001</v>
      </c>
      <c r="C869" s="19">
        <v>33.3536</v>
      </c>
      <c r="D869" s="19">
        <v>11.412000000000001</v>
      </c>
      <c r="E869" s="19">
        <v>258.0213</v>
      </c>
      <c r="F869" s="19">
        <v>15.7684</v>
      </c>
      <c r="G869" s="19">
        <v>369.90750000000003</v>
      </c>
      <c r="H869" s="19">
        <v>4632.7184999999999</v>
      </c>
      <c r="I869" s="19">
        <v>8661.1641</v>
      </c>
      <c r="J869" s="75">
        <v>-2768</v>
      </c>
      <c r="K869" s="75">
        <v>15777.6</v>
      </c>
      <c r="L869" s="75">
        <v>-23798.400000000001</v>
      </c>
      <c r="M869" s="75">
        <v>-31079.059999999998</v>
      </c>
      <c r="N869" s="75">
        <v>6186.48</v>
      </c>
      <c r="O869" s="75">
        <v>11786.25</v>
      </c>
      <c r="P869" s="75">
        <v>19525.350000000002</v>
      </c>
      <c r="Q869" s="75">
        <v>50667.3</v>
      </c>
      <c r="R869" s="75">
        <v>46297.520000000004</v>
      </c>
    </row>
    <row r="870" spans="1:18" x14ac:dyDescent="0.3">
      <c r="A870">
        <v>853</v>
      </c>
      <c r="B870" s="19">
        <v>49.2776</v>
      </c>
      <c r="C870" s="19">
        <v>32.995399999999997</v>
      </c>
      <c r="D870" s="19">
        <v>11.238200000000001</v>
      </c>
      <c r="E870" s="19">
        <v>271.7047</v>
      </c>
      <c r="F870" s="19">
        <v>15.314399999999999</v>
      </c>
      <c r="G870" s="19">
        <v>373.70650000000001</v>
      </c>
      <c r="H870" s="19">
        <v>4594.0769</v>
      </c>
      <c r="I870" s="19">
        <v>8168.9038</v>
      </c>
      <c r="J870" s="75">
        <v>-6048</v>
      </c>
      <c r="K870" s="75">
        <v>5568.9</v>
      </c>
      <c r="L870" s="75">
        <v>-39231.840000000004</v>
      </c>
      <c r="M870" s="75">
        <v>20917.86</v>
      </c>
      <c r="N870" s="75">
        <v>-14107.32</v>
      </c>
      <c r="O870" s="75">
        <v>25082.75</v>
      </c>
      <c r="P870" s="75">
        <v>7932.8700000000008</v>
      </c>
      <c r="Q870" s="75">
        <v>-47784.76</v>
      </c>
      <c r="R870" s="75">
        <v>-47669.54</v>
      </c>
    </row>
    <row r="871" spans="1:18" x14ac:dyDescent="0.3">
      <c r="A871">
        <v>854</v>
      </c>
      <c r="B871" s="19">
        <v>48.9129</v>
      </c>
      <c r="C871" s="19">
        <v>32.960900000000002</v>
      </c>
      <c r="D871" s="19">
        <v>11.901199999999999</v>
      </c>
      <c r="E871" s="19">
        <v>274.49200000000002</v>
      </c>
      <c r="F871" s="19">
        <v>15.4323</v>
      </c>
      <c r="G871" s="19">
        <v>365.23970000000003</v>
      </c>
      <c r="H871" s="19">
        <v>4441.2110000000002</v>
      </c>
      <c r="I871" s="19">
        <v>8683.2194999999992</v>
      </c>
      <c r="J871" s="75">
        <v>-13342</v>
      </c>
      <c r="K871" s="75">
        <v>4585.6499999999996</v>
      </c>
      <c r="L871" s="75">
        <v>19642.560000000001</v>
      </c>
      <c r="M871" s="75">
        <v>31509.599999999999</v>
      </c>
      <c r="N871" s="75">
        <v>-8837.1899999999987</v>
      </c>
      <c r="O871" s="75">
        <v>-4551.05</v>
      </c>
      <c r="P871" s="75">
        <v>-37926.9</v>
      </c>
      <c r="Q871" s="75">
        <v>55078.380000000005</v>
      </c>
      <c r="R871" s="75">
        <v>46159.05</v>
      </c>
    </row>
    <row r="872" spans="1:18" x14ac:dyDescent="0.3">
      <c r="A872">
        <v>855</v>
      </c>
      <c r="B872" s="19">
        <v>49.709099999999999</v>
      </c>
      <c r="C872" s="19">
        <v>33.2759</v>
      </c>
      <c r="D872" s="19">
        <v>11.390499999999999</v>
      </c>
      <c r="E872" s="19">
        <v>260.07810000000001</v>
      </c>
      <c r="F872" s="19">
        <v>14.996600000000001</v>
      </c>
      <c r="G872" s="19">
        <v>372.02229999999997</v>
      </c>
      <c r="H872" s="19">
        <v>4697.8771999999999</v>
      </c>
      <c r="I872" s="19">
        <v>8210.7119000000002</v>
      </c>
      <c r="J872" s="75">
        <v>2582</v>
      </c>
      <c r="K872" s="75">
        <v>13563.15</v>
      </c>
      <c r="L872" s="75">
        <v>-25707.599999999999</v>
      </c>
      <c r="M872" s="75">
        <v>-23263.22</v>
      </c>
      <c r="N872" s="75">
        <v>-28312.98</v>
      </c>
      <c r="O872" s="75">
        <v>19188.050000000003</v>
      </c>
      <c r="P872" s="75">
        <v>39072.959999999999</v>
      </c>
      <c r="Q872" s="75">
        <v>-39423.14</v>
      </c>
      <c r="R872" s="75">
        <v>-42300.779999999992</v>
      </c>
    </row>
    <row r="873" spans="1:18" x14ac:dyDescent="0.3">
      <c r="A873">
        <v>856</v>
      </c>
      <c r="B873" s="19">
        <v>49.405900000000003</v>
      </c>
      <c r="C873" s="19">
        <v>32.5593</v>
      </c>
      <c r="D873" s="19">
        <v>11.7753</v>
      </c>
      <c r="E873" s="19">
        <v>265.39280000000002</v>
      </c>
      <c r="F873" s="19">
        <v>15.809799999999999</v>
      </c>
      <c r="G873" s="19">
        <v>357.27269999999999</v>
      </c>
      <c r="H873" s="19">
        <v>4658.0568999999996</v>
      </c>
      <c r="I873" s="19">
        <v>9220.3284000000003</v>
      </c>
      <c r="J873" s="75">
        <v>-3482</v>
      </c>
      <c r="K873" s="75">
        <v>-6859.95</v>
      </c>
      <c r="L873" s="75">
        <v>8462.64</v>
      </c>
      <c r="M873" s="75">
        <v>-3067.36</v>
      </c>
      <c r="N873" s="75">
        <v>8037.0599999999995</v>
      </c>
      <c r="O873" s="75">
        <v>-32435.550000000003</v>
      </c>
      <c r="P873" s="75">
        <v>27126.87</v>
      </c>
      <c r="Q873" s="75">
        <v>162500.16</v>
      </c>
      <c r="R873" s="75">
        <v>160281.87</v>
      </c>
    </row>
    <row r="874" spans="1:18" x14ac:dyDescent="0.3">
      <c r="A874">
        <v>857</v>
      </c>
      <c r="B874" s="19">
        <v>49.603999999999999</v>
      </c>
      <c r="C874" s="19">
        <v>32.578000000000003</v>
      </c>
      <c r="D874" s="19">
        <v>11.6839</v>
      </c>
      <c r="E874" s="19">
        <v>260.92189999999999</v>
      </c>
      <c r="F874" s="19">
        <v>16.018899999999999</v>
      </c>
      <c r="G874" s="19">
        <v>367.34550000000002</v>
      </c>
      <c r="H874" s="19">
        <v>4501.0747000000001</v>
      </c>
      <c r="I874" s="19">
        <v>8583.2476999999999</v>
      </c>
      <c r="J874" s="75">
        <v>480</v>
      </c>
      <c r="K874" s="75">
        <v>-6327</v>
      </c>
      <c r="L874" s="75">
        <v>346.32</v>
      </c>
      <c r="M874" s="75">
        <v>-20056.780000000002</v>
      </c>
      <c r="N874" s="75">
        <v>17383.830000000002</v>
      </c>
      <c r="O874" s="75">
        <v>2819.25</v>
      </c>
      <c r="P874" s="75">
        <v>-19967.789999999997</v>
      </c>
      <c r="Q874" s="75">
        <v>35084.019999999997</v>
      </c>
      <c r="R874" s="75">
        <v>9761.8499999999985</v>
      </c>
    </row>
    <row r="875" spans="1:18" x14ac:dyDescent="0.3">
      <c r="A875">
        <v>858</v>
      </c>
      <c r="B875" s="19">
        <v>50.061300000000003</v>
      </c>
      <c r="C875" s="19">
        <v>33.300899999999999</v>
      </c>
      <c r="D875" s="19">
        <v>11.6089</v>
      </c>
      <c r="E875" s="19">
        <v>262.51190000000003</v>
      </c>
      <c r="F875" s="19">
        <v>15.308199999999999</v>
      </c>
      <c r="G875" s="19">
        <v>363.2269</v>
      </c>
      <c r="H875" s="19">
        <v>4689.4874</v>
      </c>
      <c r="I875" s="19">
        <v>8124.0376999999999</v>
      </c>
      <c r="J875" s="75">
        <v>9626</v>
      </c>
      <c r="K875" s="75">
        <v>14275.65</v>
      </c>
      <c r="L875" s="75">
        <v>-6313.6799999999994</v>
      </c>
      <c r="M875" s="75">
        <v>-14014.78</v>
      </c>
      <c r="N875" s="75">
        <v>-14384.46</v>
      </c>
      <c r="O875" s="75">
        <v>-11595.85</v>
      </c>
      <c r="P875" s="75">
        <v>36556.019999999997</v>
      </c>
      <c r="Q875" s="75">
        <v>-56757.979999999996</v>
      </c>
      <c r="R875" s="75">
        <v>-42609.08</v>
      </c>
    </row>
    <row r="876" spans="1:18" x14ac:dyDescent="0.3">
      <c r="A876">
        <v>859</v>
      </c>
      <c r="B876" s="19">
        <v>49.4709</v>
      </c>
      <c r="C876" s="19">
        <v>33.233499999999999</v>
      </c>
      <c r="D876" s="19">
        <v>11.7883</v>
      </c>
      <c r="E876" s="19">
        <v>276.48309999999998</v>
      </c>
      <c r="F876" s="19">
        <v>15.7042</v>
      </c>
      <c r="G876" s="19">
        <v>371.80970000000002</v>
      </c>
      <c r="H876" s="19">
        <v>4601.1454999999996</v>
      </c>
      <c r="I876" s="19">
        <v>7818.9958999999999</v>
      </c>
      <c r="J876" s="75">
        <v>-2182</v>
      </c>
      <c r="K876" s="75">
        <v>12354.75</v>
      </c>
      <c r="L876" s="75">
        <v>9617.0399999999991</v>
      </c>
      <c r="M876" s="75">
        <v>39075.78</v>
      </c>
      <c r="N876" s="75">
        <v>3316.7400000000002</v>
      </c>
      <c r="O876" s="75">
        <v>18443.95</v>
      </c>
      <c r="P876" s="75">
        <v>10053.449999999999</v>
      </c>
      <c r="Q876" s="75">
        <v>-117766.34</v>
      </c>
      <c r="R876" s="75">
        <v>-27086.630000000005</v>
      </c>
    </row>
    <row r="877" spans="1:18" x14ac:dyDescent="0.3">
      <c r="A877">
        <v>860</v>
      </c>
      <c r="B877" s="19">
        <v>49.656599999999997</v>
      </c>
      <c r="C877" s="19">
        <v>33.2209</v>
      </c>
      <c r="D877" s="19">
        <v>11.662699999999999</v>
      </c>
      <c r="E877" s="19">
        <v>263.11720000000003</v>
      </c>
      <c r="F877" s="19">
        <v>15.585599999999999</v>
      </c>
      <c r="G877" s="19">
        <v>365.75569999999999</v>
      </c>
      <c r="H877" s="19">
        <v>4515.9732999999997</v>
      </c>
      <c r="I877" s="19">
        <v>8378.6717000000008</v>
      </c>
      <c r="J877" s="75">
        <v>1532</v>
      </c>
      <c r="K877" s="75">
        <v>11995.65</v>
      </c>
      <c r="L877" s="75">
        <v>-1536.24</v>
      </c>
      <c r="M877" s="75">
        <v>-11714.640000000001</v>
      </c>
      <c r="N877" s="75">
        <v>-1984.68</v>
      </c>
      <c r="O877" s="75">
        <v>-2745.05</v>
      </c>
      <c r="P877" s="75">
        <v>-15498.21</v>
      </c>
      <c r="Q877" s="75">
        <v>-5831.1799999999994</v>
      </c>
      <c r="R877" s="75">
        <v>-25782.350000000002</v>
      </c>
    </row>
    <row r="878" spans="1:18" x14ac:dyDescent="0.3">
      <c r="A878">
        <v>861</v>
      </c>
      <c r="B878" s="19">
        <v>49.424100000000003</v>
      </c>
      <c r="C878" s="19">
        <v>33.263599999999997</v>
      </c>
      <c r="D878" s="19">
        <v>11.8248</v>
      </c>
      <c r="E878" s="19">
        <v>258.7808</v>
      </c>
      <c r="F878" s="19">
        <v>15.766</v>
      </c>
      <c r="G878" s="19">
        <v>369.95440000000002</v>
      </c>
      <c r="H878" s="19">
        <v>4711.6148999999996</v>
      </c>
      <c r="I878" s="19">
        <v>8078.2295999999997</v>
      </c>
      <c r="J878" s="75">
        <v>-3118</v>
      </c>
      <c r="K878" s="75">
        <v>13212.6</v>
      </c>
      <c r="L878" s="75">
        <v>12858.240000000002</v>
      </c>
      <c r="M878" s="75">
        <v>-28192.959999999999</v>
      </c>
      <c r="N878" s="75">
        <v>6079.2000000000007</v>
      </c>
      <c r="O878" s="75">
        <v>11950.4</v>
      </c>
      <c r="P878" s="75">
        <v>43194.27</v>
      </c>
      <c r="Q878" s="75">
        <v>-65919.600000000006</v>
      </c>
      <c r="R878" s="75">
        <v>-9935.8500000000058</v>
      </c>
    </row>
    <row r="879" spans="1:18" x14ac:dyDescent="0.3">
      <c r="A879">
        <v>862</v>
      </c>
      <c r="B879" s="19">
        <v>48.877499999999998</v>
      </c>
      <c r="C879" s="19">
        <v>33.040700000000001</v>
      </c>
      <c r="D879" s="19">
        <v>12.1333</v>
      </c>
      <c r="E879" s="19">
        <v>281.95069999999998</v>
      </c>
      <c r="F879" s="19">
        <v>15.731299999999999</v>
      </c>
      <c r="G879" s="19">
        <v>363.53579999999999</v>
      </c>
      <c r="H879" s="19">
        <v>4348.2034999999996</v>
      </c>
      <c r="I879" s="19">
        <v>8150.2498999999998</v>
      </c>
      <c r="J879" s="75">
        <v>-14050</v>
      </c>
      <c r="K879" s="75">
        <v>6859.95</v>
      </c>
      <c r="L879" s="75">
        <v>40253.040000000001</v>
      </c>
      <c r="M879" s="75">
        <v>59852.66</v>
      </c>
      <c r="N879" s="75">
        <v>4528.1099999999997</v>
      </c>
      <c r="O879" s="75">
        <v>-10514.7</v>
      </c>
      <c r="P879" s="75">
        <v>-65829.149999999994</v>
      </c>
      <c r="Q879" s="75">
        <v>-51515.54</v>
      </c>
      <c r="R879" s="75">
        <v>-30415.629999999997</v>
      </c>
    </row>
    <row r="880" spans="1:18" x14ac:dyDescent="0.3">
      <c r="A880">
        <v>863</v>
      </c>
      <c r="B880" s="19">
        <v>49.027099999999997</v>
      </c>
      <c r="C880" s="19">
        <v>32.774799999999999</v>
      </c>
      <c r="D880" s="19">
        <v>11.617900000000001</v>
      </c>
      <c r="E880" s="19">
        <v>278.8304</v>
      </c>
      <c r="F880" s="19">
        <v>15.8004</v>
      </c>
      <c r="G880" s="19">
        <v>366.72910000000002</v>
      </c>
      <c r="H880" s="19">
        <v>4545.3235000000004</v>
      </c>
      <c r="I880" s="19">
        <v>8443.9330000000009</v>
      </c>
      <c r="J880" s="75">
        <v>-11057.999999999998</v>
      </c>
      <c r="K880" s="75">
        <v>-718.2</v>
      </c>
      <c r="L880" s="75">
        <v>-5514.4800000000005</v>
      </c>
      <c r="M880" s="75">
        <v>47995.519999999997</v>
      </c>
      <c r="N880" s="75">
        <v>7616.88</v>
      </c>
      <c r="O880" s="75">
        <v>661.85</v>
      </c>
      <c r="P880" s="75">
        <v>-6693.1500000000005</v>
      </c>
      <c r="Q880" s="75">
        <v>7221.0800000000008</v>
      </c>
      <c r="R880" s="75">
        <v>39511.499999999993</v>
      </c>
    </row>
    <row r="881" spans="1:18" x14ac:dyDescent="0.3">
      <c r="A881">
        <v>864</v>
      </c>
      <c r="B881" s="19">
        <v>49.1021</v>
      </c>
      <c r="C881" s="19">
        <v>32.629399999999997</v>
      </c>
      <c r="D881" s="19">
        <v>11.417299999999999</v>
      </c>
      <c r="E881" s="19">
        <v>266.43990000000002</v>
      </c>
      <c r="F881" s="19">
        <v>15.2119</v>
      </c>
      <c r="G881" s="19">
        <v>363.90179999999998</v>
      </c>
      <c r="H881" s="19">
        <v>4519.9422999999997</v>
      </c>
      <c r="I881" s="19">
        <v>8707.2646999999997</v>
      </c>
      <c r="J881" s="75">
        <v>-9558</v>
      </c>
      <c r="K881" s="75">
        <v>-4862.1000000000004</v>
      </c>
      <c r="L881" s="75">
        <v>-23327.759999999998</v>
      </c>
      <c r="M881" s="75">
        <v>911.62</v>
      </c>
      <c r="N881" s="75">
        <v>-18689.07</v>
      </c>
      <c r="O881" s="75">
        <v>-9233.6999999999989</v>
      </c>
      <c r="P881" s="75">
        <v>-14307.509999999998</v>
      </c>
      <c r="Q881" s="75">
        <v>59887.42</v>
      </c>
      <c r="R881" s="75">
        <v>-19179.099999999991</v>
      </c>
    </row>
    <row r="882" spans="1:18" x14ac:dyDescent="0.3">
      <c r="A882">
        <v>865</v>
      </c>
      <c r="B882" s="19">
        <v>49.100499999999997</v>
      </c>
      <c r="C882" s="19">
        <v>32.947899999999997</v>
      </c>
      <c r="D882" s="19">
        <v>11.7186</v>
      </c>
      <c r="E882" s="19">
        <v>255.47380000000001</v>
      </c>
      <c r="F882" s="19">
        <v>15.091100000000001</v>
      </c>
      <c r="G882" s="19">
        <v>363.55250000000001</v>
      </c>
      <c r="H882" s="19">
        <v>4577.2080999999998</v>
      </c>
      <c r="I882" s="19">
        <v>8297.2077000000008</v>
      </c>
      <c r="J882" s="75">
        <v>-9590</v>
      </c>
      <c r="K882" s="75">
        <v>4215.1500000000005</v>
      </c>
      <c r="L882" s="75">
        <v>3427.6800000000003</v>
      </c>
      <c r="M882" s="75">
        <v>-40759.560000000005</v>
      </c>
      <c r="N882" s="75">
        <v>-24088.83</v>
      </c>
      <c r="O882" s="75">
        <v>-10456.25</v>
      </c>
      <c r="P882" s="75">
        <v>2872.23</v>
      </c>
      <c r="Q882" s="75">
        <v>-22123.98</v>
      </c>
      <c r="R882" s="75">
        <v>-96503.56</v>
      </c>
    </row>
    <row r="883" spans="1:18" x14ac:dyDescent="0.3">
      <c r="A883">
        <v>866</v>
      </c>
      <c r="B883" s="19">
        <v>49.857100000000003</v>
      </c>
      <c r="C883" s="19">
        <v>32.151000000000003</v>
      </c>
      <c r="D883" s="19">
        <v>11.547800000000001</v>
      </c>
      <c r="E883" s="19">
        <v>262.89980000000003</v>
      </c>
      <c r="F883" s="19">
        <v>15.511900000000001</v>
      </c>
      <c r="G883" s="19">
        <v>375.39080000000001</v>
      </c>
      <c r="H883" s="19">
        <v>4661.8553000000002</v>
      </c>
      <c r="I883" s="19">
        <v>8377.3197999999993</v>
      </c>
      <c r="J883" s="75">
        <v>5542</v>
      </c>
      <c r="K883" s="75">
        <v>-18496.5</v>
      </c>
      <c r="L883" s="75">
        <v>-11739.36</v>
      </c>
      <c r="M883" s="75">
        <v>-12540.759999999998</v>
      </c>
      <c r="N883" s="75">
        <v>-5279.07</v>
      </c>
      <c r="O883" s="75">
        <v>30977.8</v>
      </c>
      <c r="P883" s="75">
        <v>28266.39</v>
      </c>
      <c r="Q883" s="75">
        <v>-6101.5599999999995</v>
      </c>
      <c r="R883" s="75">
        <v>10628.940000000004</v>
      </c>
    </row>
    <row r="884" spans="1:18" x14ac:dyDescent="0.3">
      <c r="A884">
        <v>867</v>
      </c>
      <c r="B884" s="19">
        <v>49.284399999999998</v>
      </c>
      <c r="C884" s="19">
        <v>32.409799999999997</v>
      </c>
      <c r="D884" s="19">
        <v>11.4999</v>
      </c>
      <c r="E884" s="19">
        <v>271.62830000000002</v>
      </c>
      <c r="F884" s="19">
        <v>14.914400000000001</v>
      </c>
      <c r="G884" s="19">
        <v>367.6302</v>
      </c>
      <c r="H884" s="19">
        <v>4605.8446000000004</v>
      </c>
      <c r="I884" s="19">
        <v>8766.3022999999994</v>
      </c>
      <c r="J884" s="75">
        <v>-5911.9999999999991</v>
      </c>
      <c r="K884" s="75">
        <v>-11120.699999999999</v>
      </c>
      <c r="L884" s="75">
        <v>-15992.880000000001</v>
      </c>
      <c r="M884" s="75">
        <v>20627.54</v>
      </c>
      <c r="N884" s="75">
        <v>-31987.32</v>
      </c>
      <c r="O884" s="75">
        <v>3815.7000000000003</v>
      </c>
      <c r="P884" s="75">
        <v>11463.18</v>
      </c>
      <c r="Q884" s="75">
        <v>71694.94</v>
      </c>
      <c r="R884" s="75">
        <v>42588.46</v>
      </c>
    </row>
    <row r="885" spans="1:18" x14ac:dyDescent="0.3">
      <c r="A885">
        <v>868</v>
      </c>
      <c r="B885" s="19">
        <v>49.088099999999997</v>
      </c>
      <c r="C885" s="19">
        <v>33.129100000000001</v>
      </c>
      <c r="D885" s="19">
        <v>11.7196</v>
      </c>
      <c r="E885" s="19">
        <v>268.62119999999999</v>
      </c>
      <c r="F885" s="19">
        <v>15.717499999999999</v>
      </c>
      <c r="G885" s="19">
        <v>368.58269999999999</v>
      </c>
      <c r="H885" s="19">
        <v>4508.0474000000004</v>
      </c>
      <c r="I885" s="19">
        <v>8214.7865999999995</v>
      </c>
      <c r="J885" s="75">
        <v>-9838</v>
      </c>
      <c r="K885" s="75">
        <v>9379.35</v>
      </c>
      <c r="L885" s="75">
        <v>3516.4800000000005</v>
      </c>
      <c r="M885" s="75">
        <v>9200.56</v>
      </c>
      <c r="N885" s="75">
        <v>3911.2499999999995</v>
      </c>
      <c r="O885" s="75">
        <v>7149.45</v>
      </c>
      <c r="P885" s="75">
        <v>-17875.98</v>
      </c>
      <c r="Q885" s="75">
        <v>-38608.199999999997</v>
      </c>
      <c r="R885" s="75">
        <v>-33165.089999999997</v>
      </c>
    </row>
    <row r="886" spans="1:18" x14ac:dyDescent="0.3">
      <c r="A886">
        <v>869</v>
      </c>
      <c r="B886" s="19">
        <v>48.814500000000002</v>
      </c>
      <c r="C886" s="19">
        <v>32.027500000000003</v>
      </c>
      <c r="D886" s="19">
        <v>11.851599999999999</v>
      </c>
      <c r="E886" s="19">
        <v>266.33280000000002</v>
      </c>
      <c r="F886" s="19">
        <v>15.6045</v>
      </c>
      <c r="G886" s="19">
        <v>363.08749999999998</v>
      </c>
      <c r="H886" s="19">
        <v>4561.4252999999999</v>
      </c>
      <c r="I886" s="19">
        <v>8761.9298999999992</v>
      </c>
      <c r="J886" s="75">
        <v>-15310</v>
      </c>
      <c r="K886" s="75">
        <v>-22016.25</v>
      </c>
      <c r="L886" s="75">
        <v>15238.08</v>
      </c>
      <c r="M886" s="75">
        <v>504.64</v>
      </c>
      <c r="N886" s="75">
        <v>-1139.8499999999999</v>
      </c>
      <c r="O886" s="75">
        <v>-12083.75</v>
      </c>
      <c r="P886" s="75">
        <v>-1862.6100000000001</v>
      </c>
      <c r="Q886" s="75">
        <v>70820.460000000006</v>
      </c>
      <c r="R886" s="75">
        <v>34150.720000000008</v>
      </c>
    </row>
    <row r="887" spans="1:18" x14ac:dyDescent="0.3">
      <c r="A887">
        <v>870</v>
      </c>
      <c r="B887" s="19">
        <v>49.769799999999996</v>
      </c>
      <c r="C887" s="19">
        <v>32.619</v>
      </c>
      <c r="D887" s="19">
        <v>11.612</v>
      </c>
      <c r="E887" s="19">
        <v>260.6986</v>
      </c>
      <c r="F887" s="19">
        <v>15.8423</v>
      </c>
      <c r="G887" s="19">
        <v>369.92329999999998</v>
      </c>
      <c r="H887" s="19">
        <v>4700.2802000000001</v>
      </c>
      <c r="I887" s="19">
        <v>8299.4837000000007</v>
      </c>
      <c r="J887" s="75">
        <v>3796</v>
      </c>
      <c r="K887" s="75">
        <v>-5158.5</v>
      </c>
      <c r="L887" s="75">
        <v>-6038.4000000000005</v>
      </c>
      <c r="M887" s="75">
        <v>-20905.32</v>
      </c>
      <c r="N887" s="75">
        <v>9489.81</v>
      </c>
      <c r="O887" s="75">
        <v>11841.550000000001</v>
      </c>
      <c r="P887" s="75">
        <v>39793.86</v>
      </c>
      <c r="Q887" s="75">
        <v>-21668.780000000002</v>
      </c>
      <c r="R887" s="75">
        <v>11150.219999999998</v>
      </c>
    </row>
    <row r="888" spans="1:18" x14ac:dyDescent="0.3">
      <c r="A888">
        <v>871</v>
      </c>
      <c r="B888" s="19">
        <v>49.988399999999999</v>
      </c>
      <c r="C888" s="19">
        <v>31.885000000000002</v>
      </c>
      <c r="D888" s="19">
        <v>11.328799999999999</v>
      </c>
      <c r="E888" s="19">
        <v>277.4237</v>
      </c>
      <c r="F888" s="19">
        <v>15.645200000000001</v>
      </c>
      <c r="G888" s="19">
        <v>365.3777</v>
      </c>
      <c r="H888" s="19">
        <v>4438.7398000000003</v>
      </c>
      <c r="I888" s="19">
        <v>8417.8847000000005</v>
      </c>
      <c r="J888" s="75">
        <v>8168</v>
      </c>
      <c r="K888" s="75">
        <v>-26077.5</v>
      </c>
      <c r="L888" s="75">
        <v>-31186.560000000001</v>
      </c>
      <c r="M888" s="75">
        <v>42650.06</v>
      </c>
      <c r="N888" s="75">
        <v>679.44</v>
      </c>
      <c r="O888" s="75">
        <v>-4068.05</v>
      </c>
      <c r="P888" s="75">
        <v>-38668.26</v>
      </c>
      <c r="Q888" s="75">
        <v>2011.42</v>
      </c>
      <c r="R888" s="75">
        <v>-46491.450000000004</v>
      </c>
    </row>
    <row r="889" spans="1:18" x14ac:dyDescent="0.3">
      <c r="A889">
        <v>872</v>
      </c>
      <c r="B889" s="19">
        <v>49.572800000000001</v>
      </c>
      <c r="C889" s="19">
        <v>33.026499999999999</v>
      </c>
      <c r="D889" s="19">
        <v>11.936400000000001</v>
      </c>
      <c r="E889" s="19">
        <v>269.34609999999998</v>
      </c>
      <c r="F889" s="19">
        <v>15.6989</v>
      </c>
      <c r="G889" s="19">
        <v>371.86250000000001</v>
      </c>
      <c r="H889" s="19">
        <v>4502.6118999999999</v>
      </c>
      <c r="I889" s="19">
        <v>8146.2452999999996</v>
      </c>
      <c r="J889" s="75">
        <v>-144</v>
      </c>
      <c r="K889" s="75">
        <v>6455.25</v>
      </c>
      <c r="L889" s="75">
        <v>22768.32</v>
      </c>
      <c r="M889" s="75">
        <v>11955.18</v>
      </c>
      <c r="N889" s="75">
        <v>3079.83</v>
      </c>
      <c r="O889" s="75">
        <v>18628.75</v>
      </c>
      <c r="P889" s="75">
        <v>-19506.629999999997</v>
      </c>
      <c r="Q889" s="75">
        <v>-52316.459999999992</v>
      </c>
      <c r="R889" s="75">
        <v>-9079.7599999999875</v>
      </c>
    </row>
    <row r="890" spans="1:18" x14ac:dyDescent="0.3">
      <c r="A890">
        <v>873</v>
      </c>
      <c r="B890" s="19">
        <v>49.915599999999998</v>
      </c>
      <c r="C890" s="19">
        <v>32.750900000000001</v>
      </c>
      <c r="D890" s="19">
        <v>11.786099999999999</v>
      </c>
      <c r="E890" s="19">
        <v>244.7895</v>
      </c>
      <c r="F890" s="19">
        <v>15.4252</v>
      </c>
      <c r="G890" s="19">
        <v>370.47739999999999</v>
      </c>
      <c r="H890" s="19">
        <v>4431.4903999999997</v>
      </c>
      <c r="I890" s="19">
        <v>8307.6839</v>
      </c>
      <c r="J890" s="75">
        <v>6712</v>
      </c>
      <c r="K890" s="75">
        <v>-1399.35</v>
      </c>
      <c r="L890" s="75">
        <v>9421.68</v>
      </c>
      <c r="M890" s="75">
        <v>-81359.899999999994</v>
      </c>
      <c r="N890" s="75">
        <v>-9154.5600000000013</v>
      </c>
      <c r="O890" s="75">
        <v>13780.9</v>
      </c>
      <c r="P890" s="75">
        <v>-40843.079999999994</v>
      </c>
      <c r="Q890" s="75">
        <v>-20028.739999999998</v>
      </c>
      <c r="R890" s="75">
        <v>-122871.04999999999</v>
      </c>
    </row>
    <row r="891" spans="1:18" x14ac:dyDescent="0.3">
      <c r="A891">
        <v>874</v>
      </c>
      <c r="B891" s="19">
        <v>50.468400000000003</v>
      </c>
      <c r="C891" s="19">
        <v>33.052500000000002</v>
      </c>
      <c r="D891" s="19">
        <v>11.7133</v>
      </c>
      <c r="E891" s="19">
        <v>258.10230000000001</v>
      </c>
      <c r="F891" s="19">
        <v>15.799300000000001</v>
      </c>
      <c r="G891" s="19">
        <v>368.50740000000002</v>
      </c>
      <c r="H891" s="19">
        <v>4603.9940999999999</v>
      </c>
      <c r="I891" s="19">
        <v>8712.1749999999993</v>
      </c>
      <c r="J891" s="75">
        <v>17768</v>
      </c>
      <c r="K891" s="75">
        <v>7196.25</v>
      </c>
      <c r="L891" s="75">
        <v>2957.0400000000004</v>
      </c>
      <c r="M891" s="75">
        <v>-30771.26</v>
      </c>
      <c r="N891" s="75">
        <v>7567.71</v>
      </c>
      <c r="O891" s="75">
        <v>6885.9000000000005</v>
      </c>
      <c r="P891" s="75">
        <v>10908.03</v>
      </c>
      <c r="Q891" s="75">
        <v>60869.479999999996</v>
      </c>
      <c r="R891" s="75">
        <v>83381.149999999994</v>
      </c>
    </row>
    <row r="892" spans="1:18" x14ac:dyDescent="0.3">
      <c r="A892">
        <v>875</v>
      </c>
      <c r="B892" s="19">
        <v>49.580599999999997</v>
      </c>
      <c r="C892" s="19">
        <v>32.704900000000002</v>
      </c>
      <c r="D892" s="19">
        <v>11.407400000000001</v>
      </c>
      <c r="E892" s="19">
        <v>256.60559999999998</v>
      </c>
      <c r="F892" s="19">
        <v>15.4589</v>
      </c>
      <c r="G892" s="19">
        <v>359.7217</v>
      </c>
      <c r="H892" s="19">
        <v>4593.6880000000001</v>
      </c>
      <c r="I892" s="19">
        <v>8161.3431</v>
      </c>
      <c r="J892" s="75">
        <v>11.999999999999998</v>
      </c>
      <c r="K892" s="75">
        <v>-2710.35</v>
      </c>
      <c r="L892" s="75">
        <v>-24206.880000000001</v>
      </c>
      <c r="M892" s="75">
        <v>-36458.720000000001</v>
      </c>
      <c r="N892" s="75">
        <v>-7648.17</v>
      </c>
      <c r="O892" s="75">
        <v>-23864.05</v>
      </c>
      <c r="P892" s="75">
        <v>7816.2</v>
      </c>
      <c r="Q892" s="75">
        <v>-49296.9</v>
      </c>
      <c r="R892" s="75">
        <v>-136356.87</v>
      </c>
    </row>
    <row r="893" spans="1:18" x14ac:dyDescent="0.3">
      <c r="A893">
        <v>876</v>
      </c>
      <c r="B893" s="19">
        <v>48.915399999999998</v>
      </c>
      <c r="C893" s="19">
        <v>32.653399999999998</v>
      </c>
      <c r="D893" s="19">
        <v>11.510199999999999</v>
      </c>
      <c r="E893" s="19">
        <v>264.12209999999999</v>
      </c>
      <c r="F893" s="19">
        <v>15.958</v>
      </c>
      <c r="G893" s="19">
        <v>366.43979999999999</v>
      </c>
      <c r="H893" s="19">
        <v>4438.7682999999997</v>
      </c>
      <c r="I893" s="19">
        <v>8200.9312000000009</v>
      </c>
      <c r="J893" s="75">
        <v>-13292</v>
      </c>
      <c r="K893" s="75">
        <v>-4178.1000000000004</v>
      </c>
      <c r="L893" s="75">
        <v>-15078.24</v>
      </c>
      <c r="M893" s="75">
        <v>-7896.02</v>
      </c>
      <c r="N893" s="75">
        <v>14661.6</v>
      </c>
      <c r="O893" s="75">
        <v>-350.7</v>
      </c>
      <c r="P893" s="75">
        <v>-38659.71</v>
      </c>
      <c r="Q893" s="75">
        <v>-41379.279999999999</v>
      </c>
      <c r="R893" s="75">
        <v>-106172.45</v>
      </c>
    </row>
    <row r="894" spans="1:18" x14ac:dyDescent="0.3">
      <c r="A894">
        <v>877</v>
      </c>
      <c r="B894" s="19">
        <v>49.690800000000003</v>
      </c>
      <c r="C894" s="19">
        <v>33.168300000000002</v>
      </c>
      <c r="D894" s="19">
        <v>11.457700000000001</v>
      </c>
      <c r="E894" s="19">
        <v>273.51549999999997</v>
      </c>
      <c r="F894" s="19">
        <v>15.293200000000001</v>
      </c>
      <c r="G894" s="19">
        <v>365.00369999999998</v>
      </c>
      <c r="H894" s="19">
        <v>4543.6000999999997</v>
      </c>
      <c r="I894" s="19">
        <v>8506.7554999999993</v>
      </c>
      <c r="J894" s="75">
        <v>2216</v>
      </c>
      <c r="K894" s="75">
        <v>10496.550000000001</v>
      </c>
      <c r="L894" s="75">
        <v>-19740.240000000002</v>
      </c>
      <c r="M894" s="75">
        <v>27798.9</v>
      </c>
      <c r="N894" s="75">
        <v>-15054.96</v>
      </c>
      <c r="O894" s="75">
        <v>-5377.05</v>
      </c>
      <c r="P894" s="75">
        <v>-7210.17</v>
      </c>
      <c r="Q894" s="75">
        <v>19785.579999999998</v>
      </c>
      <c r="R894" s="75">
        <v>12914.609999999997</v>
      </c>
    </row>
    <row r="895" spans="1:18" x14ac:dyDescent="0.3">
      <c r="A895">
        <v>878</v>
      </c>
      <c r="B895" s="19">
        <v>49.364800000000002</v>
      </c>
      <c r="C895" s="19">
        <v>33.139099999999999</v>
      </c>
      <c r="D895" s="19">
        <v>11.660399999999999</v>
      </c>
      <c r="E895" s="19">
        <v>274.18819999999999</v>
      </c>
      <c r="F895" s="19">
        <v>15.233599999999999</v>
      </c>
      <c r="G895" s="19">
        <v>371.23149999999998</v>
      </c>
      <c r="H895" s="19">
        <v>4530.7357000000002</v>
      </c>
      <c r="I895" s="19">
        <v>8303.9452999999994</v>
      </c>
      <c r="J895" s="75">
        <v>-4304</v>
      </c>
      <c r="K895" s="75">
        <v>9664.35</v>
      </c>
      <c r="L895" s="75">
        <v>-1740.48</v>
      </c>
      <c r="M895" s="75">
        <v>30355.16</v>
      </c>
      <c r="N895" s="75">
        <v>-17719.079999999998</v>
      </c>
      <c r="O895" s="75">
        <v>16420.25</v>
      </c>
      <c r="P895" s="75">
        <v>-11069.49</v>
      </c>
      <c r="Q895" s="75">
        <v>-20776.46</v>
      </c>
      <c r="R895" s="75">
        <v>830.25</v>
      </c>
    </row>
    <row r="896" spans="1:18" x14ac:dyDescent="0.3">
      <c r="A896">
        <v>879</v>
      </c>
      <c r="B896" s="19">
        <v>49.302199999999999</v>
      </c>
      <c r="C896" s="19">
        <v>32.863199999999999</v>
      </c>
      <c r="D896" s="19">
        <v>11.6479</v>
      </c>
      <c r="E896" s="19">
        <v>259.10550000000001</v>
      </c>
      <c r="F896" s="19">
        <v>15.6959</v>
      </c>
      <c r="G896" s="19">
        <v>366.70339999999999</v>
      </c>
      <c r="H896" s="19">
        <v>4504.1117999999997</v>
      </c>
      <c r="I896" s="19">
        <v>7799.47</v>
      </c>
      <c r="J896" s="75">
        <v>-5556</v>
      </c>
      <c r="K896" s="75">
        <v>1801.2000000000003</v>
      </c>
      <c r="L896" s="75">
        <v>-2850.4799999999996</v>
      </c>
      <c r="M896" s="75">
        <v>-26959.1</v>
      </c>
      <c r="N896" s="75">
        <v>2945.73</v>
      </c>
      <c r="O896" s="75">
        <v>571.9</v>
      </c>
      <c r="P896" s="75">
        <v>-19056.66</v>
      </c>
      <c r="Q896" s="75">
        <v>-121671.52</v>
      </c>
      <c r="R896" s="75">
        <v>-170774.93</v>
      </c>
    </row>
    <row r="897" spans="1:18" x14ac:dyDescent="0.3">
      <c r="A897">
        <v>880</v>
      </c>
      <c r="B897" s="19">
        <v>49.758000000000003</v>
      </c>
      <c r="C897" s="19">
        <v>32.609299999999998</v>
      </c>
      <c r="D897" s="19">
        <v>11.58</v>
      </c>
      <c r="E897" s="19">
        <v>260.3861</v>
      </c>
      <c r="F897" s="19">
        <v>15.362299999999999</v>
      </c>
      <c r="G897" s="19">
        <v>360.28160000000003</v>
      </c>
      <c r="H897" s="19">
        <v>4621.7860000000001</v>
      </c>
      <c r="I897" s="19">
        <v>8226.6429000000007</v>
      </c>
      <c r="J897" s="75">
        <v>3560</v>
      </c>
      <c r="K897" s="75">
        <v>-5434.95</v>
      </c>
      <c r="L897" s="75">
        <v>-8880</v>
      </c>
      <c r="M897" s="75">
        <v>-22092.82</v>
      </c>
      <c r="N897" s="75">
        <v>-11966.19</v>
      </c>
      <c r="O897" s="75">
        <v>-21904.400000000001</v>
      </c>
      <c r="P897" s="75">
        <v>16245.6</v>
      </c>
      <c r="Q897" s="75">
        <v>-36236.939999999995</v>
      </c>
      <c r="R897" s="75">
        <v>-86709.700000000012</v>
      </c>
    </row>
    <row r="898" spans="1:18" x14ac:dyDescent="0.3">
      <c r="A898">
        <v>881</v>
      </c>
      <c r="B898" s="19">
        <v>49.447800000000001</v>
      </c>
      <c r="C898" s="19">
        <v>32.1158</v>
      </c>
      <c r="D898" s="19">
        <v>11.9573</v>
      </c>
      <c r="E898" s="19">
        <v>263.3252</v>
      </c>
      <c r="F898" s="19">
        <v>15.7851</v>
      </c>
      <c r="G898" s="19">
        <v>364.15199999999999</v>
      </c>
      <c r="H898" s="19">
        <v>4497.6751999999997</v>
      </c>
      <c r="I898" s="19">
        <v>8310.5458999999992</v>
      </c>
      <c r="J898" s="75">
        <v>-2644.0000000000005</v>
      </c>
      <c r="K898" s="75">
        <v>-19499.7</v>
      </c>
      <c r="L898" s="75">
        <v>24624.239999999998</v>
      </c>
      <c r="M898" s="75">
        <v>-10924.24</v>
      </c>
      <c r="N898" s="75">
        <v>6932.9699999999993</v>
      </c>
      <c r="O898" s="75">
        <v>-8358</v>
      </c>
      <c r="P898" s="75">
        <v>-20987.64</v>
      </c>
      <c r="Q898" s="75">
        <v>-19456.34</v>
      </c>
      <c r="R898" s="75">
        <v>-50312.710000000006</v>
      </c>
    </row>
    <row r="899" spans="1:18" x14ac:dyDescent="0.3">
      <c r="A899">
        <v>882</v>
      </c>
      <c r="B899" s="19">
        <v>49.428100000000001</v>
      </c>
      <c r="C899" s="19">
        <v>32.848100000000002</v>
      </c>
      <c r="D899" s="19">
        <v>11.713200000000001</v>
      </c>
      <c r="E899" s="19">
        <v>258.3374</v>
      </c>
      <c r="F899" s="19">
        <v>15.4498</v>
      </c>
      <c r="G899" s="19">
        <v>362.55070000000001</v>
      </c>
      <c r="H899" s="19">
        <v>4614.4294</v>
      </c>
      <c r="I899" s="19">
        <v>8568.3590999999997</v>
      </c>
      <c r="J899" s="75">
        <v>-3038</v>
      </c>
      <c r="K899" s="75">
        <v>1370.85</v>
      </c>
      <c r="L899" s="75">
        <v>2948.16</v>
      </c>
      <c r="M899" s="75">
        <v>-29877.879999999997</v>
      </c>
      <c r="N899" s="75">
        <v>-8054.94</v>
      </c>
      <c r="O899" s="75">
        <v>-13962.550000000001</v>
      </c>
      <c r="P899" s="75">
        <v>14038.62</v>
      </c>
      <c r="Q899" s="75">
        <v>32106.3</v>
      </c>
      <c r="R899" s="75">
        <v>-4469.4399999999987</v>
      </c>
    </row>
    <row r="900" spans="1:18" x14ac:dyDescent="0.3">
      <c r="A900">
        <v>883</v>
      </c>
      <c r="B900" s="19">
        <v>49.201500000000003</v>
      </c>
      <c r="C900" s="19">
        <v>32.692799999999998</v>
      </c>
      <c r="D900" s="19">
        <v>11.8668</v>
      </c>
      <c r="E900" s="19">
        <v>264.37079999999997</v>
      </c>
      <c r="F900" s="19">
        <v>15.3917</v>
      </c>
      <c r="G900" s="19">
        <v>363.49540000000002</v>
      </c>
      <c r="H900" s="19">
        <v>4612.1499999999996</v>
      </c>
      <c r="I900" s="19">
        <v>8430.4760000000006</v>
      </c>
      <c r="J900" s="75">
        <v>-7570</v>
      </c>
      <c r="K900" s="75">
        <v>-3055.2000000000003</v>
      </c>
      <c r="L900" s="75">
        <v>16587.84</v>
      </c>
      <c r="M900" s="75">
        <v>-6950.96</v>
      </c>
      <c r="N900" s="75">
        <v>-10652.01</v>
      </c>
      <c r="O900" s="75">
        <v>-10656.1</v>
      </c>
      <c r="P900" s="75">
        <v>13354.8</v>
      </c>
      <c r="Q900" s="75">
        <v>4529.6799999999994</v>
      </c>
      <c r="R900" s="75">
        <v>-4411.9500000000016</v>
      </c>
    </row>
    <row r="901" spans="1:18" x14ac:dyDescent="0.3">
      <c r="A901">
        <v>884</v>
      </c>
      <c r="B901" s="19">
        <v>50.049100000000003</v>
      </c>
      <c r="C901" s="19">
        <v>32.599600000000002</v>
      </c>
      <c r="D901" s="19">
        <v>11.834899999999999</v>
      </c>
      <c r="E901" s="19">
        <v>256.78820000000002</v>
      </c>
      <c r="F901" s="19">
        <v>15.4779</v>
      </c>
      <c r="G901" s="19">
        <v>361.92360000000002</v>
      </c>
      <c r="H901" s="19">
        <v>4600.9907999999996</v>
      </c>
      <c r="I901" s="19">
        <v>8320.8970000000008</v>
      </c>
      <c r="J901" s="75">
        <v>9382</v>
      </c>
      <c r="K901" s="75">
        <v>-5711.4</v>
      </c>
      <c r="L901" s="75">
        <v>13755.12</v>
      </c>
      <c r="M901" s="75">
        <v>-35764.839999999997</v>
      </c>
      <c r="N901" s="75">
        <v>-6798.8700000000008</v>
      </c>
      <c r="O901" s="75">
        <v>-16157.399999999998</v>
      </c>
      <c r="P901" s="75">
        <v>10007.039999999999</v>
      </c>
      <c r="Q901" s="75">
        <v>-17386.12</v>
      </c>
      <c r="R901" s="75">
        <v>-48674.47</v>
      </c>
    </row>
    <row r="902" spans="1:18" x14ac:dyDescent="0.3">
      <c r="A902">
        <v>885</v>
      </c>
      <c r="B902" s="19">
        <v>49.112099999999998</v>
      </c>
      <c r="C902" s="19">
        <v>32.938499999999998</v>
      </c>
      <c r="D902" s="19">
        <v>11.751300000000001</v>
      </c>
      <c r="E902" s="19">
        <v>263.2774</v>
      </c>
      <c r="F902" s="19">
        <v>16.0656</v>
      </c>
      <c r="G902" s="19">
        <v>375.98349999999999</v>
      </c>
      <c r="H902" s="19">
        <v>4619.8437999999996</v>
      </c>
      <c r="I902" s="19">
        <v>7786.0245000000004</v>
      </c>
      <c r="J902" s="75">
        <v>-9358</v>
      </c>
      <c r="K902" s="75">
        <v>3947.2500000000005</v>
      </c>
      <c r="L902" s="75">
        <v>6331.4400000000005</v>
      </c>
      <c r="M902" s="75">
        <v>-11105.880000000001</v>
      </c>
      <c r="N902" s="75">
        <v>19471.32</v>
      </c>
      <c r="O902" s="75">
        <v>33052.25</v>
      </c>
      <c r="P902" s="75">
        <v>15662.94</v>
      </c>
      <c r="Q902" s="75">
        <v>-124360.62</v>
      </c>
      <c r="R902" s="75">
        <v>-66359.299999999988</v>
      </c>
    </row>
    <row r="903" spans="1:18" x14ac:dyDescent="0.3">
      <c r="A903">
        <v>886</v>
      </c>
      <c r="B903" s="19">
        <v>49.447299999999998</v>
      </c>
      <c r="C903" s="19">
        <v>32.897799999999997</v>
      </c>
      <c r="D903" s="19">
        <v>11.7873</v>
      </c>
      <c r="E903" s="19">
        <v>264.9289</v>
      </c>
      <c r="F903" s="19">
        <v>16.147200000000002</v>
      </c>
      <c r="G903" s="19">
        <v>363.07960000000003</v>
      </c>
      <c r="H903" s="19">
        <v>4595.3540999999996</v>
      </c>
      <c r="I903" s="19">
        <v>7728.6716999999999</v>
      </c>
      <c r="J903" s="75">
        <v>-2654.0000000000005</v>
      </c>
      <c r="K903" s="75">
        <v>2787.2999999999997</v>
      </c>
      <c r="L903" s="75">
        <v>9528.24</v>
      </c>
      <c r="M903" s="75">
        <v>-4830.1799999999994</v>
      </c>
      <c r="N903" s="75">
        <v>23118.84</v>
      </c>
      <c r="O903" s="75">
        <v>-12111.4</v>
      </c>
      <c r="P903" s="75">
        <v>8316.0299999999988</v>
      </c>
      <c r="Q903" s="75">
        <v>-135831.18</v>
      </c>
      <c r="R903" s="75">
        <v>-111676.34999999999</v>
      </c>
    </row>
    <row r="904" spans="1:18" x14ac:dyDescent="0.3">
      <c r="A904">
        <v>887</v>
      </c>
      <c r="B904" s="19">
        <v>49.672699999999999</v>
      </c>
      <c r="C904" s="19">
        <v>32.807299999999998</v>
      </c>
      <c r="D904" s="19">
        <v>11.769500000000001</v>
      </c>
      <c r="E904" s="19">
        <v>255.3612</v>
      </c>
      <c r="F904" s="19">
        <v>16.156600000000001</v>
      </c>
      <c r="G904" s="19">
        <v>377.17090000000002</v>
      </c>
      <c r="H904" s="19">
        <v>4615.6049999999996</v>
      </c>
      <c r="I904" s="19">
        <v>8264.0228000000006</v>
      </c>
      <c r="J904" s="75">
        <v>1854</v>
      </c>
      <c r="K904" s="75">
        <v>208.05</v>
      </c>
      <c r="L904" s="75">
        <v>7947.5999999999995</v>
      </c>
      <c r="M904" s="75">
        <v>-41187.440000000002</v>
      </c>
      <c r="N904" s="75">
        <v>23539.019999999997</v>
      </c>
      <c r="O904" s="75">
        <v>37208.15</v>
      </c>
      <c r="P904" s="75">
        <v>14391.3</v>
      </c>
      <c r="Q904" s="75">
        <v>-28760.959999999999</v>
      </c>
      <c r="R904" s="75">
        <v>15199.719999999994</v>
      </c>
    </row>
    <row r="905" spans="1:18" x14ac:dyDescent="0.3">
      <c r="A905">
        <v>888</v>
      </c>
      <c r="B905" s="19">
        <v>49.607100000000003</v>
      </c>
      <c r="C905" s="19">
        <v>33.015099999999997</v>
      </c>
      <c r="D905" s="19">
        <v>11.833399999999999</v>
      </c>
      <c r="E905" s="19">
        <v>275.9418</v>
      </c>
      <c r="F905" s="19">
        <v>15.392300000000001</v>
      </c>
      <c r="G905" s="19">
        <v>362.51190000000003</v>
      </c>
      <c r="H905" s="19">
        <v>4589.9371000000001</v>
      </c>
      <c r="I905" s="19">
        <v>7974.1343999999999</v>
      </c>
      <c r="J905" s="75">
        <v>542</v>
      </c>
      <c r="K905" s="75">
        <v>6130.35</v>
      </c>
      <c r="L905" s="75">
        <v>13621.92</v>
      </c>
      <c r="M905" s="75">
        <v>37018.839999999997</v>
      </c>
      <c r="N905" s="75">
        <v>-10625.19</v>
      </c>
      <c r="O905" s="75">
        <v>-14098.35</v>
      </c>
      <c r="P905" s="75">
        <v>6690.93</v>
      </c>
      <c r="Q905" s="75">
        <v>-86738.64</v>
      </c>
      <c r="R905" s="75">
        <v>-47458.14</v>
      </c>
    </row>
    <row r="906" spans="1:18" x14ac:dyDescent="0.3">
      <c r="A906">
        <v>889</v>
      </c>
      <c r="B906" s="19">
        <v>49.816099999999999</v>
      </c>
      <c r="C906" s="19">
        <v>32.033299999999997</v>
      </c>
      <c r="D906" s="19">
        <v>11.4001</v>
      </c>
      <c r="E906" s="19">
        <v>277.98680000000002</v>
      </c>
      <c r="F906" s="19">
        <v>15.714499999999999</v>
      </c>
      <c r="G906" s="19">
        <v>356.25290000000001</v>
      </c>
      <c r="H906" s="19">
        <v>4481.3833000000004</v>
      </c>
      <c r="I906" s="19">
        <v>8380.5779000000002</v>
      </c>
      <c r="J906" s="75">
        <v>4722</v>
      </c>
      <c r="K906" s="75">
        <v>-21850.95</v>
      </c>
      <c r="L906" s="75">
        <v>-24855.119999999999</v>
      </c>
      <c r="M906" s="75">
        <v>44789.84</v>
      </c>
      <c r="N906" s="75">
        <v>3777.15</v>
      </c>
      <c r="O906" s="75">
        <v>-36004.85</v>
      </c>
      <c r="P906" s="75">
        <v>-25875.21</v>
      </c>
      <c r="Q906" s="75">
        <v>-5449.9400000000005</v>
      </c>
      <c r="R906" s="75">
        <v>-60747.08</v>
      </c>
    </row>
    <row r="907" spans="1:18" x14ac:dyDescent="0.3">
      <c r="A907">
        <v>890</v>
      </c>
      <c r="B907" s="19">
        <v>49.057499999999997</v>
      </c>
      <c r="C907" s="19">
        <v>32.530700000000003</v>
      </c>
      <c r="D907" s="19">
        <v>12.1785</v>
      </c>
      <c r="E907" s="19">
        <v>267.78370000000001</v>
      </c>
      <c r="F907" s="19">
        <v>15.239800000000001</v>
      </c>
      <c r="G907" s="19">
        <v>368.09679999999997</v>
      </c>
      <c r="H907" s="19">
        <v>4631.5785999999998</v>
      </c>
      <c r="I907" s="19">
        <v>8254.1792999999998</v>
      </c>
      <c r="J907" s="75">
        <v>-10450</v>
      </c>
      <c r="K907" s="75">
        <v>-7675.0499999999993</v>
      </c>
      <c r="L907" s="75">
        <v>44266.8</v>
      </c>
      <c r="M907" s="75">
        <v>6018.06</v>
      </c>
      <c r="N907" s="75">
        <v>-17441.939999999999</v>
      </c>
      <c r="O907" s="75">
        <v>5448.8</v>
      </c>
      <c r="P907" s="75">
        <v>19183.38</v>
      </c>
      <c r="Q907" s="75">
        <v>-30729.66</v>
      </c>
      <c r="R907" s="75">
        <v>8620.3900000000031</v>
      </c>
    </row>
    <row r="908" spans="1:18" x14ac:dyDescent="0.3">
      <c r="A908">
        <v>891</v>
      </c>
      <c r="B908" s="19">
        <v>49.3596</v>
      </c>
      <c r="C908" s="19">
        <v>32.985599999999998</v>
      </c>
      <c r="D908" s="19">
        <v>11.7645</v>
      </c>
      <c r="E908" s="19">
        <v>265.6551</v>
      </c>
      <c r="F908" s="19">
        <v>15.704800000000001</v>
      </c>
      <c r="G908" s="19">
        <v>364.15390000000002</v>
      </c>
      <c r="H908" s="19">
        <v>4483.0641999999998</v>
      </c>
      <c r="I908" s="19">
        <v>8220.3256999999994</v>
      </c>
      <c r="J908" s="75">
        <v>-4408</v>
      </c>
      <c r="K908" s="75">
        <v>5289.5999999999995</v>
      </c>
      <c r="L908" s="75">
        <v>7503.6</v>
      </c>
      <c r="M908" s="75">
        <v>-2070.6200000000003</v>
      </c>
      <c r="N908" s="75">
        <v>3343.5600000000004</v>
      </c>
      <c r="O908" s="75">
        <v>-8351.35</v>
      </c>
      <c r="P908" s="75">
        <v>-25370.94</v>
      </c>
      <c r="Q908" s="75">
        <v>-37500.380000000005</v>
      </c>
      <c r="R908" s="75">
        <v>-61564.530000000006</v>
      </c>
    </row>
    <row r="909" spans="1:18" x14ac:dyDescent="0.3">
      <c r="A909">
        <v>892</v>
      </c>
      <c r="B909" s="19">
        <v>48.517800000000001</v>
      </c>
      <c r="C909" s="19">
        <v>33.067300000000003</v>
      </c>
      <c r="D909" s="19">
        <v>11.5741</v>
      </c>
      <c r="E909" s="19">
        <v>270.0213</v>
      </c>
      <c r="F909" s="19">
        <v>15.8505</v>
      </c>
      <c r="G909" s="19">
        <v>366.62130000000002</v>
      </c>
      <c r="H909" s="19">
        <v>4615.3262999999997</v>
      </c>
      <c r="I909" s="19">
        <v>7812.5263000000004</v>
      </c>
      <c r="J909" s="75">
        <v>-21244</v>
      </c>
      <c r="K909" s="75">
        <v>7618.0499999999993</v>
      </c>
      <c r="L909" s="75">
        <v>-9403.92</v>
      </c>
      <c r="M909" s="75">
        <v>14520.94</v>
      </c>
      <c r="N909" s="75">
        <v>9856.35</v>
      </c>
      <c r="O909" s="75">
        <v>284.55</v>
      </c>
      <c r="P909" s="75">
        <v>14307.69</v>
      </c>
      <c r="Q909" s="75">
        <v>-119060.26</v>
      </c>
      <c r="R909" s="75">
        <v>-103120.59999999999</v>
      </c>
    </row>
    <row r="910" spans="1:18" x14ac:dyDescent="0.3">
      <c r="A910">
        <v>893</v>
      </c>
      <c r="B910" s="19">
        <v>49.890099999999997</v>
      </c>
      <c r="C910" s="19">
        <v>33.2348</v>
      </c>
      <c r="D910" s="19">
        <v>12.041</v>
      </c>
      <c r="E910" s="19">
        <v>252.5968</v>
      </c>
      <c r="F910" s="19">
        <v>15.6236</v>
      </c>
      <c r="G910" s="19">
        <v>366.5718</v>
      </c>
      <c r="H910" s="19">
        <v>4603.3532999999998</v>
      </c>
      <c r="I910" s="19">
        <v>8361.1990000000005</v>
      </c>
      <c r="J910" s="75">
        <v>6202</v>
      </c>
      <c r="K910" s="75">
        <v>12391.800000000001</v>
      </c>
      <c r="L910" s="75">
        <v>32056.799999999999</v>
      </c>
      <c r="M910" s="75">
        <v>-51692.159999999996</v>
      </c>
      <c r="N910" s="75">
        <v>-286.08000000000004</v>
      </c>
      <c r="O910" s="75">
        <v>111.30000000000001</v>
      </c>
      <c r="P910" s="75">
        <v>10715.789999999999</v>
      </c>
      <c r="Q910" s="75">
        <v>-9325.7199999999993</v>
      </c>
      <c r="R910" s="75">
        <v>173.73000000000866</v>
      </c>
    </row>
    <row r="911" spans="1:18" x14ac:dyDescent="0.3">
      <c r="A911">
        <v>894</v>
      </c>
      <c r="B911" s="19">
        <v>50.161099999999998</v>
      </c>
      <c r="C911" s="19">
        <v>32.943600000000004</v>
      </c>
      <c r="D911" s="19">
        <v>11.3155</v>
      </c>
      <c r="E911" s="19">
        <v>275.97750000000002</v>
      </c>
      <c r="F911" s="19">
        <v>15.693</v>
      </c>
      <c r="G911" s="19">
        <v>357.11989999999997</v>
      </c>
      <c r="H911" s="19">
        <v>4704.3633</v>
      </c>
      <c r="I911" s="19">
        <v>8162.4916999999996</v>
      </c>
      <c r="J911" s="75">
        <v>11621.999999999998</v>
      </c>
      <c r="K911" s="75">
        <v>4092.6000000000004</v>
      </c>
      <c r="L911" s="75">
        <v>-32367.599999999999</v>
      </c>
      <c r="M911" s="75">
        <v>37154.5</v>
      </c>
      <c r="N911" s="75">
        <v>2816.1</v>
      </c>
      <c r="O911" s="75">
        <v>-32970.35</v>
      </c>
      <c r="P911" s="75">
        <v>41018.79</v>
      </c>
      <c r="Q911" s="75">
        <v>-49067.18</v>
      </c>
      <c r="R911" s="75">
        <v>-17701.14</v>
      </c>
    </row>
    <row r="912" spans="1:18" x14ac:dyDescent="0.3">
      <c r="A912">
        <v>895</v>
      </c>
      <c r="B912" s="19">
        <v>49.328699999999998</v>
      </c>
      <c r="C912" s="19">
        <v>32.032600000000002</v>
      </c>
      <c r="D912" s="19">
        <v>11.2805</v>
      </c>
      <c r="E912" s="19">
        <v>270.38690000000003</v>
      </c>
      <c r="F912" s="19">
        <v>16.037199999999999</v>
      </c>
      <c r="G912" s="19">
        <v>371.76519999999999</v>
      </c>
      <c r="H912" s="19">
        <v>4621.5173999999997</v>
      </c>
      <c r="I912" s="19">
        <v>8118.3085000000001</v>
      </c>
      <c r="J912" s="75">
        <v>-5026.0000000000009</v>
      </c>
      <c r="K912" s="75">
        <v>-21870.899999999998</v>
      </c>
      <c r="L912" s="75">
        <v>-35475.599999999999</v>
      </c>
      <c r="M912" s="75">
        <v>15910.22</v>
      </c>
      <c r="N912" s="75">
        <v>18201.84</v>
      </c>
      <c r="O912" s="75">
        <v>18288.2</v>
      </c>
      <c r="P912" s="75">
        <v>16165.02</v>
      </c>
      <c r="Q912" s="75">
        <v>-57903.819999999992</v>
      </c>
      <c r="R912" s="75">
        <v>-51711.039999999994</v>
      </c>
    </row>
    <row r="913" spans="1:18" x14ac:dyDescent="0.3">
      <c r="A913">
        <v>896</v>
      </c>
      <c r="B913" s="19">
        <v>49.2318</v>
      </c>
      <c r="C913" s="19">
        <v>32.981099999999998</v>
      </c>
      <c r="D913" s="19">
        <v>11.6638</v>
      </c>
      <c r="E913" s="19">
        <v>274.45699999999999</v>
      </c>
      <c r="F913" s="19">
        <v>15.536300000000001</v>
      </c>
      <c r="G913" s="19">
        <v>369.1087</v>
      </c>
      <c r="H913" s="19">
        <v>4620.7296999999999</v>
      </c>
      <c r="I913" s="19">
        <v>8463.2688999999991</v>
      </c>
      <c r="J913" s="75">
        <v>-6964</v>
      </c>
      <c r="K913" s="75">
        <v>5161.3500000000004</v>
      </c>
      <c r="L913" s="75">
        <v>-1438.56</v>
      </c>
      <c r="M913" s="75">
        <v>31376.6</v>
      </c>
      <c r="N913" s="75">
        <v>-4188.3900000000003</v>
      </c>
      <c r="O913" s="75">
        <v>8990.4500000000007</v>
      </c>
      <c r="P913" s="75">
        <v>15928.710000000001</v>
      </c>
      <c r="Q913" s="75">
        <v>11088.26</v>
      </c>
      <c r="R913" s="75">
        <v>59954.42</v>
      </c>
    </row>
    <row r="914" spans="1:18" x14ac:dyDescent="0.3">
      <c r="A914">
        <v>897</v>
      </c>
      <c r="B914" s="19">
        <v>50.272500000000001</v>
      </c>
      <c r="C914" s="19">
        <v>33.4221</v>
      </c>
      <c r="D914" s="19">
        <v>11.8085</v>
      </c>
      <c r="E914" s="19">
        <v>262.95150000000001</v>
      </c>
      <c r="F914" s="19">
        <v>15.5715</v>
      </c>
      <c r="G914" s="19">
        <v>369.83479999999997</v>
      </c>
      <c r="H914" s="19">
        <v>4587.7947999999997</v>
      </c>
      <c r="I914" s="19">
        <v>8483.1517999999996</v>
      </c>
      <c r="J914" s="75">
        <v>13850</v>
      </c>
      <c r="K914" s="75">
        <v>17729.849999999999</v>
      </c>
      <c r="L914" s="75">
        <v>11410.800000000001</v>
      </c>
      <c r="M914" s="75">
        <v>-12344.3</v>
      </c>
      <c r="N914" s="75">
        <v>-2614.9500000000003</v>
      </c>
      <c r="O914" s="75">
        <v>11531.8</v>
      </c>
      <c r="P914" s="75">
        <v>6048.24</v>
      </c>
      <c r="Q914" s="75">
        <v>15064.84</v>
      </c>
      <c r="R914" s="75">
        <v>60676.28</v>
      </c>
    </row>
    <row r="915" spans="1:18" x14ac:dyDescent="0.3">
      <c r="A915">
        <v>898</v>
      </c>
      <c r="B915" s="19">
        <v>49.176400000000001</v>
      </c>
      <c r="C915" s="19">
        <v>33.663800000000002</v>
      </c>
      <c r="D915" s="19">
        <v>11.582800000000001</v>
      </c>
      <c r="E915" s="19">
        <v>276.8048</v>
      </c>
      <c r="F915" s="19">
        <v>15.462</v>
      </c>
      <c r="G915" s="19">
        <v>369.64760000000001</v>
      </c>
      <c r="H915" s="19">
        <v>4561.7820000000002</v>
      </c>
      <c r="I915" s="19">
        <v>8338.8956999999991</v>
      </c>
      <c r="J915" s="75">
        <v>-8072</v>
      </c>
      <c r="K915" s="75">
        <v>24618.3</v>
      </c>
      <c r="L915" s="75">
        <v>-8631.3599999999988</v>
      </c>
      <c r="M915" s="75">
        <v>40298.239999999998</v>
      </c>
      <c r="N915" s="75">
        <v>-7509.6</v>
      </c>
      <c r="O915" s="75">
        <v>10876.6</v>
      </c>
      <c r="P915" s="75">
        <v>-1755.6000000000001</v>
      </c>
      <c r="Q915" s="75">
        <v>-13786.38</v>
      </c>
      <c r="R915" s="75">
        <v>36038.200000000004</v>
      </c>
    </row>
    <row r="916" spans="1:18" x14ac:dyDescent="0.3">
      <c r="A916">
        <v>899</v>
      </c>
      <c r="B916" s="19">
        <v>49.464399999999998</v>
      </c>
      <c r="C916" s="19">
        <v>32.939500000000002</v>
      </c>
      <c r="D916" s="19">
        <v>11.755000000000001</v>
      </c>
      <c r="E916" s="19">
        <v>259.21519999999998</v>
      </c>
      <c r="F916" s="19">
        <v>15.950900000000001</v>
      </c>
      <c r="G916" s="19">
        <v>367.47340000000003</v>
      </c>
      <c r="H916" s="19">
        <v>4626.4571999999998</v>
      </c>
      <c r="I916" s="19">
        <v>8245.5871999999999</v>
      </c>
      <c r="J916" s="75">
        <v>-2312</v>
      </c>
      <c r="K916" s="75">
        <v>3975.7500000000005</v>
      </c>
      <c r="L916" s="75">
        <v>6660</v>
      </c>
      <c r="M916" s="75">
        <v>-26542.239999999998</v>
      </c>
      <c r="N916" s="75">
        <v>14344.230000000001</v>
      </c>
      <c r="O916" s="75">
        <v>3266.9</v>
      </c>
      <c r="P916" s="75">
        <v>17646.96</v>
      </c>
      <c r="Q916" s="75">
        <v>-32448.079999999998</v>
      </c>
      <c r="R916" s="75">
        <v>-15408.479999999996</v>
      </c>
    </row>
    <row r="917" spans="1:18" x14ac:dyDescent="0.3">
      <c r="A917">
        <v>900</v>
      </c>
      <c r="B917" s="19">
        <v>49.403500000000001</v>
      </c>
      <c r="C917" s="19">
        <v>32.823399999999999</v>
      </c>
      <c r="D917" s="19">
        <v>11.776199999999999</v>
      </c>
      <c r="E917" s="19">
        <v>274.85309999999998</v>
      </c>
      <c r="F917" s="19">
        <v>15.979699999999999</v>
      </c>
      <c r="G917" s="19">
        <v>374.15069999999997</v>
      </c>
      <c r="H917" s="19">
        <v>4575.0514999999996</v>
      </c>
      <c r="I917" s="19">
        <v>8589.5444000000007</v>
      </c>
      <c r="J917" s="75">
        <v>-3530</v>
      </c>
      <c r="K917" s="75">
        <v>666.9</v>
      </c>
      <c r="L917" s="75">
        <v>8542.56</v>
      </c>
      <c r="M917" s="75">
        <v>32881.78</v>
      </c>
      <c r="N917" s="75">
        <v>15631.59</v>
      </c>
      <c r="O917" s="75">
        <v>26637.449999999997</v>
      </c>
      <c r="P917" s="75">
        <v>2225.25</v>
      </c>
      <c r="Q917" s="75">
        <v>36343.360000000001</v>
      </c>
      <c r="R917" s="75">
        <v>119398.89</v>
      </c>
    </row>
    <row r="918" spans="1:18" x14ac:dyDescent="0.3">
      <c r="A918">
        <v>901</v>
      </c>
      <c r="B918" s="19">
        <v>49.359400000000001</v>
      </c>
      <c r="C918" s="19">
        <v>33.111600000000003</v>
      </c>
      <c r="D918" s="19">
        <v>11.7224</v>
      </c>
      <c r="E918" s="19">
        <v>278.31049999999999</v>
      </c>
      <c r="F918" s="19">
        <v>15.8794</v>
      </c>
      <c r="G918" s="19">
        <v>370.4049</v>
      </c>
      <c r="H918" s="19">
        <v>4677.9206999999997</v>
      </c>
      <c r="I918" s="19">
        <v>7848.5702000000001</v>
      </c>
      <c r="J918" s="75">
        <v>-4412</v>
      </c>
      <c r="K918" s="75">
        <v>8880.6</v>
      </c>
      <c r="L918" s="75">
        <v>3765.12</v>
      </c>
      <c r="M918" s="75">
        <v>46019.9</v>
      </c>
      <c r="N918" s="75">
        <v>11148.18</v>
      </c>
      <c r="O918" s="75">
        <v>13527.15</v>
      </c>
      <c r="P918" s="75">
        <v>33086.01</v>
      </c>
      <c r="Q918" s="75">
        <v>-111851.48</v>
      </c>
      <c r="R918" s="75">
        <v>163.47999999999593</v>
      </c>
    </row>
    <row r="919" spans="1:18" x14ac:dyDescent="0.3">
      <c r="A919">
        <v>902</v>
      </c>
      <c r="B919" s="19">
        <v>50.431199999999997</v>
      </c>
      <c r="C919" s="19">
        <v>32.424999999999997</v>
      </c>
      <c r="D919" s="19">
        <v>11.8238</v>
      </c>
      <c r="E919" s="19">
        <v>267.29219999999998</v>
      </c>
      <c r="F919" s="19">
        <v>15.242599999999999</v>
      </c>
      <c r="G919" s="19">
        <v>367.68979999999999</v>
      </c>
      <c r="H919" s="19">
        <v>4585.4883</v>
      </c>
      <c r="I919" s="19">
        <v>8361.7598999999991</v>
      </c>
      <c r="J919" s="75">
        <v>17024</v>
      </c>
      <c r="K919" s="75">
        <v>-10687.5</v>
      </c>
      <c r="L919" s="75">
        <v>12769.44</v>
      </c>
      <c r="M919" s="75">
        <v>4150.3600000000006</v>
      </c>
      <c r="N919" s="75">
        <v>-17316.780000000002</v>
      </c>
      <c r="O919" s="75">
        <v>4024.2999999999997</v>
      </c>
      <c r="P919" s="75">
        <v>5356.29</v>
      </c>
      <c r="Q919" s="75">
        <v>-9213.5400000000009</v>
      </c>
      <c r="R919" s="75">
        <v>6106.57</v>
      </c>
    </row>
    <row r="920" spans="1:18" x14ac:dyDescent="0.3">
      <c r="A920">
        <v>903</v>
      </c>
      <c r="B920" s="19">
        <v>49.639600000000002</v>
      </c>
      <c r="C920" s="19">
        <v>32.905500000000004</v>
      </c>
      <c r="D920" s="19">
        <v>11.843299999999999</v>
      </c>
      <c r="E920" s="19">
        <v>262.08749999999998</v>
      </c>
      <c r="F920" s="19">
        <v>15.646100000000001</v>
      </c>
      <c r="G920" s="19">
        <v>362.13350000000003</v>
      </c>
      <c r="H920" s="19">
        <v>4511.3420999999998</v>
      </c>
      <c r="I920" s="19">
        <v>8785.8019999999997</v>
      </c>
      <c r="J920" s="75">
        <v>1192</v>
      </c>
      <c r="K920" s="75">
        <v>3006.75</v>
      </c>
      <c r="L920" s="75">
        <v>14501.04</v>
      </c>
      <c r="M920" s="75">
        <v>-15627.5</v>
      </c>
      <c r="N920" s="75">
        <v>719.67</v>
      </c>
      <c r="O920" s="75">
        <v>-15422.750000000002</v>
      </c>
      <c r="P920" s="75">
        <v>-16887.57</v>
      </c>
      <c r="Q920" s="75">
        <v>75594.880000000005</v>
      </c>
      <c r="R920" s="75">
        <v>47076.520000000004</v>
      </c>
    </row>
    <row r="921" spans="1:18" x14ac:dyDescent="0.3">
      <c r="A921">
        <v>904</v>
      </c>
      <c r="B921" s="19">
        <v>49.582700000000003</v>
      </c>
      <c r="C921" s="19">
        <v>32.769100000000002</v>
      </c>
      <c r="D921" s="19">
        <v>11.7524</v>
      </c>
      <c r="E921" s="19">
        <v>268.48200000000003</v>
      </c>
      <c r="F921" s="19">
        <v>15.221299999999999</v>
      </c>
      <c r="G921" s="19">
        <v>359.13330000000002</v>
      </c>
      <c r="H921" s="19">
        <v>4641.9926999999998</v>
      </c>
      <c r="I921" s="19">
        <v>8523.5241000000005</v>
      </c>
      <c r="J921" s="75">
        <v>54</v>
      </c>
      <c r="K921" s="75">
        <v>-880.65</v>
      </c>
      <c r="L921" s="75">
        <v>6429.1200000000008</v>
      </c>
      <c r="M921" s="75">
        <v>8671.6</v>
      </c>
      <c r="N921" s="75">
        <v>-18268.89</v>
      </c>
      <c r="O921" s="75">
        <v>-25923.45</v>
      </c>
      <c r="P921" s="75">
        <v>22307.61</v>
      </c>
      <c r="Q921" s="75">
        <v>23139.3</v>
      </c>
      <c r="R921" s="75">
        <v>15528.640000000003</v>
      </c>
    </row>
    <row r="922" spans="1:18" x14ac:dyDescent="0.3">
      <c r="A922">
        <v>905</v>
      </c>
      <c r="B922" s="19">
        <v>49.079500000000003</v>
      </c>
      <c r="C922" s="19">
        <v>32.786000000000001</v>
      </c>
      <c r="D922" s="19">
        <v>11.955399999999999</v>
      </c>
      <c r="E922" s="19">
        <v>270.089</v>
      </c>
      <c r="F922" s="19">
        <v>15.5997</v>
      </c>
      <c r="G922" s="19">
        <v>365.93630000000002</v>
      </c>
      <c r="H922" s="19">
        <v>4732.3263999999999</v>
      </c>
      <c r="I922" s="19">
        <v>7823.4309999999996</v>
      </c>
      <c r="J922" s="75">
        <v>-10009.999999999998</v>
      </c>
      <c r="K922" s="75">
        <v>-399</v>
      </c>
      <c r="L922" s="75">
        <v>24455.519999999997</v>
      </c>
      <c r="M922" s="75">
        <v>14778.199999999999</v>
      </c>
      <c r="N922" s="75">
        <v>-1354.41</v>
      </c>
      <c r="O922" s="75">
        <v>-2112.9500000000003</v>
      </c>
      <c r="P922" s="75">
        <v>49407.72</v>
      </c>
      <c r="Q922" s="75">
        <v>-116879.32</v>
      </c>
      <c r="R922" s="75">
        <v>-42114.240000000005</v>
      </c>
    </row>
    <row r="923" spans="1:18" x14ac:dyDescent="0.3">
      <c r="A923">
        <v>906</v>
      </c>
      <c r="B923" s="19">
        <v>50.100200000000001</v>
      </c>
      <c r="C923" s="19">
        <v>32.597499999999997</v>
      </c>
      <c r="D923" s="19">
        <v>11.674200000000001</v>
      </c>
      <c r="E923" s="19">
        <v>266.64920000000001</v>
      </c>
      <c r="F923" s="19">
        <v>15.4085</v>
      </c>
      <c r="G923" s="19">
        <v>365.68979999999999</v>
      </c>
      <c r="H923" s="19">
        <v>4602.8284000000003</v>
      </c>
      <c r="I923" s="19">
        <v>8254.0992999999999</v>
      </c>
      <c r="J923" s="75">
        <v>10404</v>
      </c>
      <c r="K923" s="75">
        <v>-5771.25</v>
      </c>
      <c r="L923" s="75">
        <v>-515.04</v>
      </c>
      <c r="M923" s="75">
        <v>1706.96</v>
      </c>
      <c r="N923" s="75">
        <v>-9901.0499999999993</v>
      </c>
      <c r="O923" s="75">
        <v>-2975.7</v>
      </c>
      <c r="P923" s="75">
        <v>10558.32</v>
      </c>
      <c r="Q923" s="75">
        <v>-30745.659999999996</v>
      </c>
      <c r="R923" s="75">
        <v>-27239.419999999995</v>
      </c>
    </row>
    <row r="924" spans="1:18" x14ac:dyDescent="0.3">
      <c r="A924">
        <v>907</v>
      </c>
      <c r="B924" s="19">
        <v>48.755099999999999</v>
      </c>
      <c r="C924" s="19">
        <v>32.561999999999998</v>
      </c>
      <c r="D924" s="19">
        <v>11.8005</v>
      </c>
      <c r="E924" s="19">
        <v>243.8159</v>
      </c>
      <c r="F924" s="19">
        <v>15.548999999999999</v>
      </c>
      <c r="G924" s="19">
        <v>370.67599999999999</v>
      </c>
      <c r="H924" s="19">
        <v>4513.8643000000002</v>
      </c>
      <c r="I924" s="19">
        <v>8732.3557999999994</v>
      </c>
      <c r="J924" s="75">
        <v>-16498</v>
      </c>
      <c r="K924" s="75">
        <v>-6783</v>
      </c>
      <c r="L924" s="75">
        <v>10700.4</v>
      </c>
      <c r="M924" s="75">
        <v>-85059.58</v>
      </c>
      <c r="N924" s="75">
        <v>-3620.7000000000003</v>
      </c>
      <c r="O924" s="75">
        <v>14476</v>
      </c>
      <c r="P924" s="75">
        <v>-16130.91</v>
      </c>
      <c r="Q924" s="75">
        <v>64905.640000000007</v>
      </c>
      <c r="R924" s="75">
        <v>-38010.15</v>
      </c>
    </row>
    <row r="925" spans="1:18" x14ac:dyDescent="0.3">
      <c r="A925">
        <v>908</v>
      </c>
      <c r="B925" s="19">
        <v>49.903599999999997</v>
      </c>
      <c r="C925" s="19">
        <v>32.513199999999998</v>
      </c>
      <c r="D925" s="19">
        <v>11.6059</v>
      </c>
      <c r="E925" s="19">
        <v>278.565</v>
      </c>
      <c r="F925" s="19">
        <v>15.108700000000001</v>
      </c>
      <c r="G925" s="19">
        <v>366.36630000000002</v>
      </c>
      <c r="H925" s="19">
        <v>4518.9970999999996</v>
      </c>
      <c r="I925" s="19">
        <v>7786.6826000000001</v>
      </c>
      <c r="J925" s="75">
        <v>6472</v>
      </c>
      <c r="K925" s="75">
        <v>-8173.8</v>
      </c>
      <c r="L925" s="75">
        <v>-6580.08</v>
      </c>
      <c r="M925" s="75">
        <v>46987</v>
      </c>
      <c r="N925" s="75">
        <v>-23302.11</v>
      </c>
      <c r="O925" s="75">
        <v>-607.94999999999993</v>
      </c>
      <c r="P925" s="75">
        <v>-14591.07</v>
      </c>
      <c r="Q925" s="75">
        <v>-124229</v>
      </c>
      <c r="R925" s="75">
        <v>-124025.01000000001</v>
      </c>
    </row>
    <row r="926" spans="1:18" x14ac:dyDescent="0.3">
      <c r="A926">
        <v>909</v>
      </c>
      <c r="B926" s="19">
        <v>49.802900000000001</v>
      </c>
      <c r="C926" s="19">
        <v>32.700200000000002</v>
      </c>
      <c r="D926" s="19">
        <v>11.423500000000001</v>
      </c>
      <c r="E926" s="19">
        <v>269.7319</v>
      </c>
      <c r="F926" s="19">
        <v>15.431900000000001</v>
      </c>
      <c r="G926" s="19">
        <v>378.56740000000002</v>
      </c>
      <c r="H926" s="19">
        <v>4559.6343999999999</v>
      </c>
      <c r="I926" s="19">
        <v>9051.5040000000008</v>
      </c>
      <c r="J926" s="75">
        <v>4458</v>
      </c>
      <c r="K926" s="75">
        <v>-2844.3</v>
      </c>
      <c r="L926" s="75">
        <v>-22777.200000000001</v>
      </c>
      <c r="M926" s="75">
        <v>13421.22</v>
      </c>
      <c r="N926" s="75">
        <v>-8855.07</v>
      </c>
      <c r="O926" s="75">
        <v>42095.9</v>
      </c>
      <c r="P926" s="75">
        <v>-2399.88</v>
      </c>
      <c r="Q926" s="75">
        <v>128735.27999999998</v>
      </c>
      <c r="R926" s="75">
        <v>151833.94999999998</v>
      </c>
    </row>
    <row r="927" spans="1:18" x14ac:dyDescent="0.3">
      <c r="A927">
        <v>910</v>
      </c>
      <c r="B927" s="19">
        <v>49.256999999999998</v>
      </c>
      <c r="C927" s="19">
        <v>33.247700000000002</v>
      </c>
      <c r="D927" s="19">
        <v>11.617100000000001</v>
      </c>
      <c r="E927" s="19">
        <v>277.21530000000001</v>
      </c>
      <c r="F927" s="19">
        <v>15.345499999999999</v>
      </c>
      <c r="G927" s="19">
        <v>362.41590000000002</v>
      </c>
      <c r="H927" s="19">
        <v>4486.6804000000002</v>
      </c>
      <c r="I927" s="19">
        <v>7997.3082999999997</v>
      </c>
      <c r="J927" s="75">
        <v>-6460</v>
      </c>
      <c r="K927" s="75">
        <v>12759.449999999999</v>
      </c>
      <c r="L927" s="75">
        <v>-5585.5199999999995</v>
      </c>
      <c r="M927" s="75">
        <v>41858.14</v>
      </c>
      <c r="N927" s="75">
        <v>-12717.15</v>
      </c>
      <c r="O927" s="75">
        <v>-14434.35</v>
      </c>
      <c r="P927" s="75">
        <v>-24286.079999999998</v>
      </c>
      <c r="Q927" s="75">
        <v>-82103.86</v>
      </c>
      <c r="R927" s="75">
        <v>-90969.37</v>
      </c>
    </row>
    <row r="928" spans="1:18" x14ac:dyDescent="0.3">
      <c r="A928">
        <v>911</v>
      </c>
      <c r="B928" s="19">
        <v>50.228700000000003</v>
      </c>
      <c r="C928" s="19">
        <v>32.600900000000003</v>
      </c>
      <c r="D928" s="19">
        <v>11.480700000000001</v>
      </c>
      <c r="E928" s="19">
        <v>253.02860000000001</v>
      </c>
      <c r="F928" s="19">
        <v>15.1541</v>
      </c>
      <c r="G928" s="19">
        <v>363.21159999999998</v>
      </c>
      <c r="H928" s="19">
        <v>4560.0769</v>
      </c>
      <c r="I928" s="19">
        <v>7980.1656000000003</v>
      </c>
      <c r="J928" s="75">
        <v>12974.000000000002</v>
      </c>
      <c r="K928" s="75">
        <v>-5674.35</v>
      </c>
      <c r="L928" s="75">
        <v>-17697.84</v>
      </c>
      <c r="M928" s="75">
        <v>-50051.32</v>
      </c>
      <c r="N928" s="75">
        <v>-21272.73</v>
      </c>
      <c r="O928" s="75">
        <v>-11649.4</v>
      </c>
      <c r="P928" s="75">
        <v>-2267.13</v>
      </c>
      <c r="Q928" s="75">
        <v>-85532.4</v>
      </c>
      <c r="R928" s="75">
        <v>-181171.16999999998</v>
      </c>
    </row>
    <row r="929" spans="1:18" x14ac:dyDescent="0.3">
      <c r="A929">
        <v>912</v>
      </c>
      <c r="B929" s="19">
        <v>49.5184</v>
      </c>
      <c r="C929" s="19">
        <v>32.130600000000001</v>
      </c>
      <c r="D929" s="19">
        <v>11.670500000000001</v>
      </c>
      <c r="E929" s="19">
        <v>263.39400000000001</v>
      </c>
      <c r="F929" s="19">
        <v>15.919600000000001</v>
      </c>
      <c r="G929" s="19">
        <v>359.36880000000002</v>
      </c>
      <c r="H929" s="19">
        <v>4613.9168</v>
      </c>
      <c r="I929" s="19">
        <v>7814.7699000000002</v>
      </c>
      <c r="J929" s="75">
        <v>-1232</v>
      </c>
      <c r="K929" s="75">
        <v>-19077.900000000001</v>
      </c>
      <c r="L929" s="75">
        <v>-843.6</v>
      </c>
      <c r="M929" s="75">
        <v>-10662.800000000001</v>
      </c>
      <c r="N929" s="75">
        <v>12945.12</v>
      </c>
      <c r="O929" s="75">
        <v>-25099.200000000001</v>
      </c>
      <c r="P929" s="75">
        <v>13884.84</v>
      </c>
      <c r="Q929" s="75">
        <v>-118611.54</v>
      </c>
      <c r="R929" s="75">
        <v>-148697.07999999999</v>
      </c>
    </row>
    <row r="930" spans="1:18" x14ac:dyDescent="0.3">
      <c r="A930">
        <v>913</v>
      </c>
      <c r="B930" s="19">
        <v>49.809100000000001</v>
      </c>
      <c r="C930" s="19">
        <v>32.964100000000002</v>
      </c>
      <c r="D930" s="19">
        <v>11.506600000000001</v>
      </c>
      <c r="E930" s="19">
        <v>274.91370000000001</v>
      </c>
      <c r="F930" s="19">
        <v>15.6409</v>
      </c>
      <c r="G930" s="19">
        <v>365.42579999999998</v>
      </c>
      <c r="H930" s="19">
        <v>4538.6675999999998</v>
      </c>
      <c r="I930" s="19">
        <v>8116.1316999999999</v>
      </c>
      <c r="J930" s="75">
        <v>4582</v>
      </c>
      <c r="K930" s="75">
        <v>4676.8499999999995</v>
      </c>
      <c r="L930" s="75">
        <v>-15397.92</v>
      </c>
      <c r="M930" s="75">
        <v>33112.06</v>
      </c>
      <c r="N930" s="75">
        <v>487.23</v>
      </c>
      <c r="O930" s="75">
        <v>-3899.7000000000003</v>
      </c>
      <c r="P930" s="75">
        <v>-8689.92</v>
      </c>
      <c r="Q930" s="75">
        <v>-58339.18</v>
      </c>
      <c r="R930" s="75">
        <v>-43468.58</v>
      </c>
    </row>
    <row r="931" spans="1:18" x14ac:dyDescent="0.3">
      <c r="A931">
        <v>914</v>
      </c>
      <c r="B931" s="19">
        <v>49.4422</v>
      </c>
      <c r="C931" s="19">
        <v>32.966799999999999</v>
      </c>
      <c r="D931" s="19">
        <v>11.3926</v>
      </c>
      <c r="E931" s="19">
        <v>256.3836</v>
      </c>
      <c r="F931" s="19">
        <v>15.2814</v>
      </c>
      <c r="G931" s="19">
        <v>356.64789999999999</v>
      </c>
      <c r="H931" s="19">
        <v>4456.4016000000001</v>
      </c>
      <c r="I931" s="19">
        <v>8777.2793999999994</v>
      </c>
      <c r="J931" s="75">
        <v>-2756</v>
      </c>
      <c r="K931" s="75">
        <v>4753.8</v>
      </c>
      <c r="L931" s="75">
        <v>-25521.119999999999</v>
      </c>
      <c r="M931" s="75">
        <v>-37302.32</v>
      </c>
      <c r="N931" s="75">
        <v>-15582.42</v>
      </c>
      <c r="O931" s="75">
        <v>-34622.35</v>
      </c>
      <c r="P931" s="75">
        <v>-33369.72</v>
      </c>
      <c r="Q931" s="75">
        <v>73890.36</v>
      </c>
      <c r="R931" s="75">
        <v>-70509.77</v>
      </c>
    </row>
    <row r="932" spans="1:18" x14ac:dyDescent="0.3">
      <c r="A932">
        <v>915</v>
      </c>
      <c r="B932" s="19">
        <v>49.240200000000002</v>
      </c>
      <c r="C932" s="19">
        <v>33.152900000000002</v>
      </c>
      <c r="D932" s="19">
        <v>11.5718</v>
      </c>
      <c r="E932" s="19">
        <v>262.31970000000001</v>
      </c>
      <c r="F932" s="19">
        <v>16.077400000000001</v>
      </c>
      <c r="G932" s="19">
        <v>370.83670000000001</v>
      </c>
      <c r="H932" s="19">
        <v>4682.0316999999995</v>
      </c>
      <c r="I932" s="19">
        <v>9069.7273000000005</v>
      </c>
      <c r="J932" s="75">
        <v>-6796</v>
      </c>
      <c r="K932" s="75">
        <v>10057.65</v>
      </c>
      <c r="L932" s="75">
        <v>-9608.16</v>
      </c>
      <c r="M932" s="75">
        <v>-14745.14</v>
      </c>
      <c r="N932" s="75">
        <v>19998.780000000002</v>
      </c>
      <c r="O932" s="75">
        <v>15038.45</v>
      </c>
      <c r="P932" s="75">
        <v>34319.31</v>
      </c>
      <c r="Q932" s="75">
        <v>132379.94</v>
      </c>
      <c r="R932" s="75">
        <v>180644.83000000002</v>
      </c>
    </row>
    <row r="933" spans="1:18" x14ac:dyDescent="0.3">
      <c r="A933">
        <v>916</v>
      </c>
      <c r="B933" s="19">
        <v>49.665700000000001</v>
      </c>
      <c r="C933" s="19">
        <v>32.697099999999999</v>
      </c>
      <c r="D933" s="19">
        <v>11.7181</v>
      </c>
      <c r="E933" s="19">
        <v>257.5163</v>
      </c>
      <c r="F933" s="19">
        <v>15.055300000000001</v>
      </c>
      <c r="G933" s="19">
        <v>362.56330000000003</v>
      </c>
      <c r="H933" s="19">
        <v>4594.4793</v>
      </c>
      <c r="I933" s="19">
        <v>9342.1533999999992</v>
      </c>
      <c r="J933" s="75">
        <v>1714</v>
      </c>
      <c r="K933" s="75">
        <v>-2932.65</v>
      </c>
      <c r="L933" s="75">
        <v>3383.28</v>
      </c>
      <c r="M933" s="75">
        <v>-32998.06</v>
      </c>
      <c r="N933" s="75">
        <v>-25689.09</v>
      </c>
      <c r="O933" s="75">
        <v>-13918.45</v>
      </c>
      <c r="P933" s="75">
        <v>8053.59</v>
      </c>
      <c r="Q933" s="75">
        <v>186865.16</v>
      </c>
      <c r="R933" s="75">
        <v>124477.78</v>
      </c>
    </row>
    <row r="934" spans="1:18" x14ac:dyDescent="0.3">
      <c r="A934">
        <v>917</v>
      </c>
      <c r="B934" s="19">
        <v>49.609200000000001</v>
      </c>
      <c r="C934" s="19">
        <v>31.951599999999999</v>
      </c>
      <c r="D934" s="19">
        <v>11.939399999999999</v>
      </c>
      <c r="E934" s="19">
        <v>253.81540000000001</v>
      </c>
      <c r="F934" s="19">
        <v>15.6822</v>
      </c>
      <c r="G934" s="19">
        <v>370.7242</v>
      </c>
      <c r="H934" s="19">
        <v>4631.3121000000001</v>
      </c>
      <c r="I934" s="19">
        <v>8147.1801999999998</v>
      </c>
      <c r="J934" s="75">
        <v>584</v>
      </c>
      <c r="K934" s="75">
        <v>-24179.4</v>
      </c>
      <c r="L934" s="75">
        <v>23034.720000000001</v>
      </c>
      <c r="M934" s="75">
        <v>-47061.48</v>
      </c>
      <c r="N934" s="75">
        <v>2333.34</v>
      </c>
      <c r="O934" s="75">
        <v>14644.699999999999</v>
      </c>
      <c r="P934" s="75">
        <v>19103.43</v>
      </c>
      <c r="Q934" s="75">
        <v>-52129.48</v>
      </c>
      <c r="R934" s="75">
        <v>-63670.170000000013</v>
      </c>
    </row>
    <row r="935" spans="1:18" x14ac:dyDescent="0.3">
      <c r="A935">
        <v>918</v>
      </c>
      <c r="B935" s="19">
        <v>49.512900000000002</v>
      </c>
      <c r="C935" s="19">
        <v>32.702100000000002</v>
      </c>
      <c r="D935" s="19">
        <v>11.9069</v>
      </c>
      <c r="E935" s="19">
        <v>288.5342</v>
      </c>
      <c r="F935" s="19">
        <v>15.7035</v>
      </c>
      <c r="G935" s="19">
        <v>361.44369999999998</v>
      </c>
      <c r="H935" s="19">
        <v>4593.9044000000004</v>
      </c>
      <c r="I935" s="19">
        <v>8380.6208000000006</v>
      </c>
      <c r="J935" s="75">
        <v>-1342.0000000000002</v>
      </c>
      <c r="K935" s="75">
        <v>-2790.15</v>
      </c>
      <c r="L935" s="75">
        <v>20148.719999999998</v>
      </c>
      <c r="M935" s="75">
        <v>84869.959999999992</v>
      </c>
      <c r="N935" s="75">
        <v>3285.45</v>
      </c>
      <c r="O935" s="75">
        <v>-17837.05</v>
      </c>
      <c r="P935" s="75">
        <v>7881.12</v>
      </c>
      <c r="Q935" s="75">
        <v>-5441.3600000000006</v>
      </c>
      <c r="R935" s="75">
        <v>88774.689999999973</v>
      </c>
    </row>
    <row r="936" spans="1:18" x14ac:dyDescent="0.3">
      <c r="A936">
        <v>919</v>
      </c>
      <c r="B936" s="19">
        <v>49.718499999999999</v>
      </c>
      <c r="C936" s="19">
        <v>33.164200000000001</v>
      </c>
      <c r="D936" s="19">
        <v>11.696899999999999</v>
      </c>
      <c r="E936" s="19">
        <v>262.17829999999998</v>
      </c>
      <c r="F936" s="19">
        <v>15.6646</v>
      </c>
      <c r="G936" s="19">
        <v>362.17899999999997</v>
      </c>
      <c r="H936" s="19">
        <v>4533.0147999999999</v>
      </c>
      <c r="I936" s="19">
        <v>8182.1632</v>
      </c>
      <c r="J936" s="75">
        <v>2770.0000000000005</v>
      </c>
      <c r="K936" s="75">
        <v>10379.700000000001</v>
      </c>
      <c r="L936" s="75">
        <v>1500.7199999999998</v>
      </c>
      <c r="M936" s="75">
        <v>-15282.460000000001</v>
      </c>
      <c r="N936" s="75">
        <v>1546.62</v>
      </c>
      <c r="O936" s="75">
        <v>-15263.5</v>
      </c>
      <c r="P936" s="75">
        <v>-10385.76</v>
      </c>
      <c r="Q936" s="75">
        <v>-45132.88</v>
      </c>
      <c r="R936" s="75">
        <v>-69867.56</v>
      </c>
    </row>
    <row r="937" spans="1:18" x14ac:dyDescent="0.3">
      <c r="A937">
        <v>920</v>
      </c>
      <c r="B937" s="19">
        <v>49.865299999999998</v>
      </c>
      <c r="C937" s="19">
        <v>32.8459</v>
      </c>
      <c r="D937" s="19">
        <v>11.327999999999999</v>
      </c>
      <c r="E937" s="19">
        <v>266.5247</v>
      </c>
      <c r="F937" s="19">
        <v>15.2012</v>
      </c>
      <c r="G937" s="19">
        <v>364.21319999999997</v>
      </c>
      <c r="H937" s="19">
        <v>4693.3454000000002</v>
      </c>
      <c r="I937" s="19">
        <v>8836.9783000000007</v>
      </c>
      <c r="J937" s="75">
        <v>5706</v>
      </c>
      <c r="K937" s="75">
        <v>1308.1500000000001</v>
      </c>
      <c r="L937" s="75">
        <v>-31257.599999999999</v>
      </c>
      <c r="M937" s="75">
        <v>1233.8599999999999</v>
      </c>
      <c r="N937" s="75">
        <v>-19167.36</v>
      </c>
      <c r="O937" s="75">
        <v>-8143.8</v>
      </c>
      <c r="P937" s="75">
        <v>37713.42</v>
      </c>
      <c r="Q937" s="75">
        <v>85830.14</v>
      </c>
      <c r="R937" s="75">
        <v>73222.81</v>
      </c>
    </row>
    <row r="938" spans="1:18" x14ac:dyDescent="0.3">
      <c r="A938">
        <v>921</v>
      </c>
      <c r="B938" s="19">
        <v>48.9056</v>
      </c>
      <c r="C938" s="19">
        <v>32.776800000000001</v>
      </c>
      <c r="D938" s="19">
        <v>11.5319</v>
      </c>
      <c r="E938" s="19">
        <v>259.12329999999997</v>
      </c>
      <c r="F938" s="19">
        <v>15.455399999999999</v>
      </c>
      <c r="G938" s="19">
        <v>357.54770000000002</v>
      </c>
      <c r="H938" s="19">
        <v>4555.4075000000003</v>
      </c>
      <c r="I938" s="19">
        <v>8556.4132000000009</v>
      </c>
      <c r="J938" s="75">
        <v>-13488</v>
      </c>
      <c r="K938" s="75">
        <v>-661.19999999999993</v>
      </c>
      <c r="L938" s="75">
        <v>-13151.28</v>
      </c>
      <c r="M938" s="75">
        <v>-26891.46</v>
      </c>
      <c r="N938" s="75">
        <v>-7804.62</v>
      </c>
      <c r="O938" s="75">
        <v>-31473.05</v>
      </c>
      <c r="P938" s="75">
        <v>-3667.95</v>
      </c>
      <c r="Q938" s="75">
        <v>29717.119999999999</v>
      </c>
      <c r="R938" s="75">
        <v>-67420.44</v>
      </c>
    </row>
    <row r="939" spans="1:18" x14ac:dyDescent="0.3">
      <c r="A939">
        <v>922</v>
      </c>
      <c r="B939" s="19">
        <v>49.122900000000001</v>
      </c>
      <c r="C939" s="19">
        <v>33.258200000000002</v>
      </c>
      <c r="D939" s="19">
        <v>11.4787</v>
      </c>
      <c r="E939" s="19">
        <v>259.97829999999999</v>
      </c>
      <c r="F939" s="19">
        <v>15.615500000000001</v>
      </c>
      <c r="G939" s="19">
        <v>368.68130000000002</v>
      </c>
      <c r="H939" s="19">
        <v>4662.3724000000002</v>
      </c>
      <c r="I939" s="19">
        <v>8427.5730999999996</v>
      </c>
      <c r="J939" s="75">
        <v>-9142</v>
      </c>
      <c r="K939" s="75">
        <v>13058.7</v>
      </c>
      <c r="L939" s="75">
        <v>-17875.440000000002</v>
      </c>
      <c r="M939" s="75">
        <v>-23642.46</v>
      </c>
      <c r="N939" s="75">
        <v>-648.15</v>
      </c>
      <c r="O939" s="75">
        <v>7494.5500000000011</v>
      </c>
      <c r="P939" s="75">
        <v>28421.52</v>
      </c>
      <c r="Q939" s="75">
        <v>3949.1</v>
      </c>
      <c r="R939" s="75">
        <v>1615.8200000000047</v>
      </c>
    </row>
    <row r="940" spans="1:18" x14ac:dyDescent="0.3">
      <c r="A940">
        <v>923</v>
      </c>
      <c r="B940" s="19">
        <v>49.005299999999998</v>
      </c>
      <c r="C940" s="19">
        <v>32.793100000000003</v>
      </c>
      <c r="D940" s="19">
        <v>12.391400000000001</v>
      </c>
      <c r="E940" s="19">
        <v>253.80699999999999</v>
      </c>
      <c r="F940" s="19">
        <v>15.641400000000001</v>
      </c>
      <c r="G940" s="19">
        <v>375.05739999999997</v>
      </c>
      <c r="H940" s="19">
        <v>4449.2957999999999</v>
      </c>
      <c r="I940" s="19">
        <v>8501.0987999999998</v>
      </c>
      <c r="J940" s="75">
        <v>-11494</v>
      </c>
      <c r="K940" s="75">
        <v>-196.65</v>
      </c>
      <c r="L940" s="75">
        <v>63172.32</v>
      </c>
      <c r="M940" s="75">
        <v>-47093.4</v>
      </c>
      <c r="N940" s="75">
        <v>509.58000000000004</v>
      </c>
      <c r="O940" s="75">
        <v>29810.9</v>
      </c>
      <c r="P940" s="75">
        <v>-35501.46</v>
      </c>
      <c r="Q940" s="75">
        <v>18654.239999999998</v>
      </c>
      <c r="R940" s="75">
        <v>17861.53</v>
      </c>
    </row>
    <row r="941" spans="1:18" x14ac:dyDescent="0.3">
      <c r="A941">
        <v>924</v>
      </c>
      <c r="B941" s="19">
        <v>48.854199999999999</v>
      </c>
      <c r="C941" s="19">
        <v>33.313000000000002</v>
      </c>
      <c r="D941" s="19">
        <v>11.532299999999999</v>
      </c>
      <c r="E941" s="19">
        <v>258.55630000000002</v>
      </c>
      <c r="F941" s="19">
        <v>15.7699</v>
      </c>
      <c r="G941" s="19">
        <v>369.70819999999998</v>
      </c>
      <c r="H941" s="19">
        <v>4477.8531000000003</v>
      </c>
      <c r="I941" s="19">
        <v>8690.4112999999998</v>
      </c>
      <c r="J941" s="75">
        <v>-14516</v>
      </c>
      <c r="K941" s="75">
        <v>14620.5</v>
      </c>
      <c r="L941" s="75">
        <v>-13115.76</v>
      </c>
      <c r="M941" s="75">
        <v>-29046.06</v>
      </c>
      <c r="N941" s="75">
        <v>6253.53</v>
      </c>
      <c r="O941" s="75">
        <v>11088.7</v>
      </c>
      <c r="P941" s="75">
        <v>-26934.27</v>
      </c>
      <c r="Q941" s="75">
        <v>56516.740000000005</v>
      </c>
      <c r="R941" s="75">
        <v>4867.3800000000047</v>
      </c>
    </row>
    <row r="942" spans="1:18" x14ac:dyDescent="0.3">
      <c r="A942">
        <v>925</v>
      </c>
      <c r="B942" s="19">
        <v>49.603299999999997</v>
      </c>
      <c r="C942" s="19">
        <v>32.609099999999998</v>
      </c>
      <c r="D942" s="19">
        <v>11.425700000000001</v>
      </c>
      <c r="E942" s="19">
        <v>268.767</v>
      </c>
      <c r="F942" s="19">
        <v>16.003299999999999</v>
      </c>
      <c r="G942" s="19">
        <v>359.01600000000002</v>
      </c>
      <c r="H942" s="19">
        <v>4593.2745999999997</v>
      </c>
      <c r="I942" s="19">
        <v>8579.0012999999999</v>
      </c>
      <c r="J942" s="75">
        <v>466</v>
      </c>
      <c r="K942" s="75">
        <v>-5440.65</v>
      </c>
      <c r="L942" s="75">
        <v>-22581.840000000004</v>
      </c>
      <c r="M942" s="75">
        <v>9754.6</v>
      </c>
      <c r="N942" s="75">
        <v>16686.510000000002</v>
      </c>
      <c r="O942" s="75">
        <v>-26334</v>
      </c>
      <c r="P942" s="75">
        <v>7692.1799999999994</v>
      </c>
      <c r="Q942" s="75">
        <v>34234.74</v>
      </c>
      <c r="R942" s="75">
        <v>14477.539999999994</v>
      </c>
    </row>
    <row r="943" spans="1:18" x14ac:dyDescent="0.3">
      <c r="A943">
        <v>926</v>
      </c>
      <c r="B943" s="19">
        <v>50.290700000000001</v>
      </c>
      <c r="C943" s="19">
        <v>32.272300000000001</v>
      </c>
      <c r="D943" s="19">
        <v>11.616400000000001</v>
      </c>
      <c r="E943" s="19">
        <v>279.67309999999998</v>
      </c>
      <c r="F943" s="19">
        <v>15.921099999999999</v>
      </c>
      <c r="G943" s="19">
        <v>367.97430000000003</v>
      </c>
      <c r="H943" s="19">
        <v>4529.7557999999999</v>
      </c>
      <c r="I943" s="19">
        <v>8496.0321000000004</v>
      </c>
      <c r="J943" s="75">
        <v>14214</v>
      </c>
      <c r="K943" s="75">
        <v>-15039.449999999999</v>
      </c>
      <c r="L943" s="75">
        <v>-5647.68</v>
      </c>
      <c r="M943" s="75">
        <v>51197.78</v>
      </c>
      <c r="N943" s="75">
        <v>13012.170000000002</v>
      </c>
      <c r="O943" s="75">
        <v>5020.0499999999993</v>
      </c>
      <c r="P943" s="75">
        <v>-11363.46</v>
      </c>
      <c r="Q943" s="75">
        <v>17640.899999999998</v>
      </c>
      <c r="R943" s="75">
        <v>69034.310000000012</v>
      </c>
    </row>
    <row r="944" spans="1:18" x14ac:dyDescent="0.3">
      <c r="A944">
        <v>927</v>
      </c>
      <c r="B944" s="19">
        <v>49.231900000000003</v>
      </c>
      <c r="C944" s="19">
        <v>32.197299999999998</v>
      </c>
      <c r="D944" s="19">
        <v>11.4716</v>
      </c>
      <c r="E944" s="19">
        <v>259.26440000000002</v>
      </c>
      <c r="F944" s="19">
        <v>15.5686</v>
      </c>
      <c r="G944" s="19">
        <v>359.09710000000001</v>
      </c>
      <c r="H944" s="19">
        <v>4467.3297000000002</v>
      </c>
      <c r="I944" s="19">
        <v>8093.9858999999997</v>
      </c>
      <c r="J944" s="75">
        <v>-6962</v>
      </c>
      <c r="K944" s="75">
        <v>-17176.95</v>
      </c>
      <c r="L944" s="75">
        <v>-18505.920000000002</v>
      </c>
      <c r="M944" s="75">
        <v>-26355.279999999999</v>
      </c>
      <c r="N944" s="75">
        <v>-2744.58</v>
      </c>
      <c r="O944" s="75">
        <v>-26050.149999999998</v>
      </c>
      <c r="P944" s="75">
        <v>-30091.29</v>
      </c>
      <c r="Q944" s="75">
        <v>-62768.340000000004</v>
      </c>
      <c r="R944" s="75">
        <v>-190654.50999999998</v>
      </c>
    </row>
    <row r="945" spans="1:18" x14ac:dyDescent="0.3">
      <c r="A945">
        <v>928</v>
      </c>
      <c r="B945" s="19">
        <v>49.384999999999998</v>
      </c>
      <c r="C945" s="19">
        <v>33.048000000000002</v>
      </c>
      <c r="D945" s="19">
        <v>11.7155</v>
      </c>
      <c r="E945" s="19">
        <v>257.12619999999998</v>
      </c>
      <c r="F945" s="19">
        <v>15.3063</v>
      </c>
      <c r="G945" s="19">
        <v>360.06229999999999</v>
      </c>
      <c r="H945" s="19">
        <v>4536.0964000000004</v>
      </c>
      <c r="I945" s="19">
        <v>8600.8204000000005</v>
      </c>
      <c r="J945" s="75">
        <v>-3900</v>
      </c>
      <c r="K945" s="75">
        <v>7068</v>
      </c>
      <c r="L945" s="75">
        <v>3152.3999999999996</v>
      </c>
      <c r="M945" s="75">
        <v>-34480.44</v>
      </c>
      <c r="N945" s="75">
        <v>-14469.39</v>
      </c>
      <c r="O945" s="75">
        <v>-22671.949999999997</v>
      </c>
      <c r="P945" s="75">
        <v>-9461.2800000000007</v>
      </c>
      <c r="Q945" s="75">
        <v>38598.559999999998</v>
      </c>
      <c r="R945" s="75">
        <v>-36164.100000000006</v>
      </c>
    </row>
    <row r="946" spans="1:18" x14ac:dyDescent="0.3">
      <c r="A946">
        <v>929</v>
      </c>
      <c r="B946" s="19">
        <v>50.0809</v>
      </c>
      <c r="C946" s="19">
        <v>32.213299999999997</v>
      </c>
      <c r="D946" s="19">
        <v>11.9465</v>
      </c>
      <c r="E946" s="19">
        <v>278.45740000000001</v>
      </c>
      <c r="F946" s="19">
        <v>15.7768</v>
      </c>
      <c r="G946" s="19">
        <v>372.09809999999999</v>
      </c>
      <c r="H946" s="19">
        <v>4557.0433999999996</v>
      </c>
      <c r="I946" s="19">
        <v>8850.1579000000002</v>
      </c>
      <c r="J946" s="75">
        <v>10018</v>
      </c>
      <c r="K946" s="75">
        <v>-16720.95</v>
      </c>
      <c r="L946" s="75">
        <v>23665.200000000001</v>
      </c>
      <c r="M946" s="75">
        <v>46578.12</v>
      </c>
      <c r="N946" s="75">
        <v>6561.9600000000009</v>
      </c>
      <c r="O946" s="75">
        <v>19453.349999999999</v>
      </c>
      <c r="P946" s="75">
        <v>-3177.1800000000003</v>
      </c>
      <c r="Q946" s="75">
        <v>88466.06</v>
      </c>
      <c r="R946" s="75">
        <v>174844.56</v>
      </c>
    </row>
    <row r="947" spans="1:18" x14ac:dyDescent="0.3">
      <c r="A947">
        <v>930</v>
      </c>
      <c r="B947" s="19">
        <v>49.533299999999997</v>
      </c>
      <c r="C947" s="19">
        <v>32.415700000000001</v>
      </c>
      <c r="D947" s="19">
        <v>11.729200000000001</v>
      </c>
      <c r="E947" s="19">
        <v>270.26929999999999</v>
      </c>
      <c r="F947" s="19">
        <v>15.78</v>
      </c>
      <c r="G947" s="19">
        <v>366.64429999999999</v>
      </c>
      <c r="H947" s="19">
        <v>4660.7102999999997</v>
      </c>
      <c r="I947" s="19">
        <v>8175.2047000000002</v>
      </c>
      <c r="J947" s="75">
        <v>-934</v>
      </c>
      <c r="K947" s="75">
        <v>-10952.55</v>
      </c>
      <c r="L947" s="75">
        <v>4368.96</v>
      </c>
      <c r="M947" s="75">
        <v>15463.34</v>
      </c>
      <c r="N947" s="75">
        <v>6705</v>
      </c>
      <c r="O947" s="75">
        <v>365.05</v>
      </c>
      <c r="P947" s="75">
        <v>27922.89</v>
      </c>
      <c r="Q947" s="75">
        <v>-46524.579999999994</v>
      </c>
      <c r="R947" s="75">
        <v>-3585.8899999999921</v>
      </c>
    </row>
    <row r="948" spans="1:18" x14ac:dyDescent="0.3">
      <c r="A948">
        <v>931</v>
      </c>
      <c r="B948" s="19">
        <v>49.240200000000002</v>
      </c>
      <c r="C948" s="19">
        <v>32.112699999999997</v>
      </c>
      <c r="D948" s="19">
        <v>11.809200000000001</v>
      </c>
      <c r="E948" s="19">
        <v>259.82589999999999</v>
      </c>
      <c r="F948" s="19">
        <v>15.608700000000001</v>
      </c>
      <c r="G948" s="19">
        <v>368.5197</v>
      </c>
      <c r="H948" s="19">
        <v>4582.4494000000004</v>
      </c>
      <c r="I948" s="19">
        <v>8335.7811000000002</v>
      </c>
      <c r="J948" s="75">
        <v>-6796</v>
      </c>
      <c r="K948" s="75">
        <v>-19588.05</v>
      </c>
      <c r="L948" s="75">
        <v>11472.960000000001</v>
      </c>
      <c r="M948" s="75">
        <v>-24221.58</v>
      </c>
      <c r="N948" s="75">
        <v>-952.11</v>
      </c>
      <c r="O948" s="75">
        <v>6928.95</v>
      </c>
      <c r="P948" s="75">
        <v>4444.62</v>
      </c>
      <c r="Q948" s="75">
        <v>-14409.3</v>
      </c>
      <c r="R948" s="75">
        <v>-43120.51</v>
      </c>
    </row>
    <row r="949" spans="1:18" x14ac:dyDescent="0.3">
      <c r="A949">
        <v>932</v>
      </c>
      <c r="B949" s="19">
        <v>49.997999999999998</v>
      </c>
      <c r="C949" s="19">
        <v>32.686900000000001</v>
      </c>
      <c r="D949" s="19">
        <v>12.1275</v>
      </c>
      <c r="E949" s="19">
        <v>269.62979999999999</v>
      </c>
      <c r="F949" s="19">
        <v>15.534000000000001</v>
      </c>
      <c r="G949" s="19">
        <v>361.09969999999998</v>
      </c>
      <c r="H949" s="19">
        <v>4680.4504999999999</v>
      </c>
      <c r="I949" s="19">
        <v>8447.4598000000005</v>
      </c>
      <c r="J949" s="75">
        <v>8360</v>
      </c>
      <c r="K949" s="75">
        <v>-3223.3500000000004</v>
      </c>
      <c r="L949" s="75">
        <v>39738</v>
      </c>
      <c r="M949" s="75">
        <v>13033.240000000002</v>
      </c>
      <c r="N949" s="75">
        <v>-4291.2</v>
      </c>
      <c r="O949" s="75">
        <v>-19041.05</v>
      </c>
      <c r="P949" s="75">
        <v>33844.950000000004</v>
      </c>
      <c r="Q949" s="75">
        <v>7926.44</v>
      </c>
      <c r="R949" s="75">
        <v>76347.03</v>
      </c>
    </row>
    <row r="950" spans="1:18" x14ac:dyDescent="0.3">
      <c r="A950">
        <v>933</v>
      </c>
      <c r="B950" s="19">
        <v>48.916800000000002</v>
      </c>
      <c r="C950" s="19">
        <v>32.596299999999999</v>
      </c>
      <c r="D950" s="19">
        <v>12.191000000000001</v>
      </c>
      <c r="E950" s="19">
        <v>276.89920000000001</v>
      </c>
      <c r="F950" s="19">
        <v>16.034199999999998</v>
      </c>
      <c r="G950" s="19">
        <v>364.46089999999998</v>
      </c>
      <c r="H950" s="19">
        <v>4520.0132000000003</v>
      </c>
      <c r="I950" s="19">
        <v>8030.8531999999996</v>
      </c>
      <c r="J950" s="75">
        <v>-13264</v>
      </c>
      <c r="K950" s="75">
        <v>-5805.45</v>
      </c>
      <c r="L950" s="75">
        <v>45376.800000000003</v>
      </c>
      <c r="M950" s="75">
        <v>40656.959999999999</v>
      </c>
      <c r="N950" s="75">
        <v>18067.740000000002</v>
      </c>
      <c r="O950" s="75">
        <v>-7276.8499999999995</v>
      </c>
      <c r="P950" s="75">
        <v>-14286.240000000002</v>
      </c>
      <c r="Q950" s="75">
        <v>-75394.880000000005</v>
      </c>
      <c r="R950" s="75">
        <v>-11925.920000000013</v>
      </c>
    </row>
    <row r="951" spans="1:18" x14ac:dyDescent="0.3">
      <c r="A951">
        <v>934</v>
      </c>
      <c r="B951" s="19">
        <v>49.077599999999997</v>
      </c>
      <c r="C951" s="19">
        <v>32.932000000000002</v>
      </c>
      <c r="D951" s="19">
        <v>11.689399999999999</v>
      </c>
      <c r="E951" s="19">
        <v>265.28230000000002</v>
      </c>
      <c r="F951" s="19">
        <v>15.547000000000001</v>
      </c>
      <c r="G951" s="19">
        <v>358.87430000000001</v>
      </c>
      <c r="H951" s="19">
        <v>4630.7915000000003</v>
      </c>
      <c r="I951" s="19">
        <v>8181.9893000000002</v>
      </c>
      <c r="J951" s="75">
        <v>-10048</v>
      </c>
      <c r="K951" s="75">
        <v>3762</v>
      </c>
      <c r="L951" s="75">
        <v>834.72</v>
      </c>
      <c r="M951" s="75">
        <v>-3487.2599999999998</v>
      </c>
      <c r="N951" s="75">
        <v>-3710.1000000000004</v>
      </c>
      <c r="O951" s="75">
        <v>-26829.95</v>
      </c>
      <c r="P951" s="75">
        <v>18947.25</v>
      </c>
      <c r="Q951" s="75">
        <v>-45167.66</v>
      </c>
      <c r="R951" s="75">
        <v>-65699</v>
      </c>
    </row>
    <row r="952" spans="1:18" x14ac:dyDescent="0.3">
      <c r="A952">
        <v>935</v>
      </c>
      <c r="B952" s="19">
        <v>50.326599999999999</v>
      </c>
      <c r="C952" s="19">
        <v>33.262</v>
      </c>
      <c r="D952" s="19">
        <v>11.5982</v>
      </c>
      <c r="E952" s="19">
        <v>256.75110000000001</v>
      </c>
      <c r="F952" s="19">
        <v>15.7736</v>
      </c>
      <c r="G952" s="19">
        <v>362.31659999999999</v>
      </c>
      <c r="H952" s="19">
        <v>4652.8883999999998</v>
      </c>
      <c r="I952" s="19">
        <v>7997.3370999999997</v>
      </c>
      <c r="J952" s="75">
        <v>14932</v>
      </c>
      <c r="K952" s="75">
        <v>13167</v>
      </c>
      <c r="L952" s="75">
        <v>-7263.84</v>
      </c>
      <c r="M952" s="75">
        <v>-35905.82</v>
      </c>
      <c r="N952" s="75">
        <v>6418.92</v>
      </c>
      <c r="O952" s="75">
        <v>-14781.9</v>
      </c>
      <c r="P952" s="75">
        <v>25576.32</v>
      </c>
      <c r="Q952" s="75">
        <v>-82098.100000000006</v>
      </c>
      <c r="R952" s="75">
        <v>-79955.420000000013</v>
      </c>
    </row>
    <row r="953" spans="1:18" x14ac:dyDescent="0.3">
      <c r="A953">
        <v>936</v>
      </c>
      <c r="B953" s="19">
        <v>49.969799999999999</v>
      </c>
      <c r="C953" s="19">
        <v>32.858699999999999</v>
      </c>
      <c r="D953" s="19">
        <v>11.9642</v>
      </c>
      <c r="E953" s="19">
        <v>267.17160000000001</v>
      </c>
      <c r="F953" s="19">
        <v>15.4307</v>
      </c>
      <c r="G953" s="19">
        <v>359.1</v>
      </c>
      <c r="H953" s="19">
        <v>4532.6350000000002</v>
      </c>
      <c r="I953" s="19">
        <v>8287.8034000000007</v>
      </c>
      <c r="J953" s="75">
        <v>7796</v>
      </c>
      <c r="K953" s="75">
        <v>1672.95</v>
      </c>
      <c r="L953" s="75">
        <v>25236.959999999999</v>
      </c>
      <c r="M953" s="75">
        <v>3692.08</v>
      </c>
      <c r="N953" s="75">
        <v>-8908.7100000000009</v>
      </c>
      <c r="O953" s="75">
        <v>-26040</v>
      </c>
      <c r="P953" s="75">
        <v>-10499.7</v>
      </c>
      <c r="Q953" s="75">
        <v>-24004.84</v>
      </c>
      <c r="R953" s="75">
        <v>-31055.259999999995</v>
      </c>
    </row>
    <row r="954" spans="1:18" x14ac:dyDescent="0.3">
      <c r="A954">
        <v>937</v>
      </c>
      <c r="B954" s="19">
        <v>49.952100000000002</v>
      </c>
      <c r="C954" s="19">
        <v>33.6736</v>
      </c>
      <c r="D954" s="19">
        <v>11.9016</v>
      </c>
      <c r="E954" s="19">
        <v>269.71629999999999</v>
      </c>
      <c r="F954" s="19">
        <v>15.8764</v>
      </c>
      <c r="G954" s="19">
        <v>364.75580000000002</v>
      </c>
      <c r="H954" s="19">
        <v>4563.8773000000001</v>
      </c>
      <c r="I954" s="19">
        <v>8804.0944999999992</v>
      </c>
      <c r="J954" s="75">
        <v>7442</v>
      </c>
      <c r="K954" s="75">
        <v>24897.600000000002</v>
      </c>
      <c r="L954" s="75">
        <v>19678.079999999998</v>
      </c>
      <c r="M954" s="75">
        <v>13361.94</v>
      </c>
      <c r="N954" s="75">
        <v>11014.08</v>
      </c>
      <c r="O954" s="75">
        <v>-6244.7</v>
      </c>
      <c r="P954" s="75">
        <v>-1127.01</v>
      </c>
      <c r="Q954" s="75">
        <v>79253.38</v>
      </c>
      <c r="R954" s="75">
        <v>148275.37</v>
      </c>
    </row>
    <row r="955" spans="1:18" x14ac:dyDescent="0.3">
      <c r="A955">
        <v>938</v>
      </c>
      <c r="B955" s="19">
        <v>50.716799999999999</v>
      </c>
      <c r="C955" s="19">
        <v>33.732700000000001</v>
      </c>
      <c r="D955" s="19">
        <v>11.6416</v>
      </c>
      <c r="E955" s="19">
        <v>258.26150000000001</v>
      </c>
      <c r="F955" s="19">
        <v>15.630100000000001</v>
      </c>
      <c r="G955" s="19">
        <v>373.84530000000001</v>
      </c>
      <c r="H955" s="19">
        <v>4530.0246999999999</v>
      </c>
      <c r="I955" s="19">
        <v>8775.5728999999992</v>
      </c>
      <c r="J955" s="75">
        <v>22736</v>
      </c>
      <c r="K955" s="75">
        <v>26581.95</v>
      </c>
      <c r="L955" s="75">
        <v>-3409.9199999999996</v>
      </c>
      <c r="M955" s="75">
        <v>-30166.300000000003</v>
      </c>
      <c r="N955" s="75">
        <v>4.4700000000000006</v>
      </c>
      <c r="O955" s="75">
        <v>25568.55</v>
      </c>
      <c r="P955" s="75">
        <v>-11282.789999999999</v>
      </c>
      <c r="Q955" s="75">
        <v>73549.06</v>
      </c>
      <c r="R955" s="75">
        <v>103581.01999999999</v>
      </c>
    </row>
    <row r="956" spans="1:18" x14ac:dyDescent="0.3">
      <c r="A956">
        <v>939</v>
      </c>
      <c r="B956" s="19">
        <v>49.250100000000003</v>
      </c>
      <c r="C956" s="19">
        <v>32.839100000000002</v>
      </c>
      <c r="D956" s="19">
        <v>11.672800000000001</v>
      </c>
      <c r="E956" s="19">
        <v>260.363</v>
      </c>
      <c r="F956" s="19">
        <v>15.4376</v>
      </c>
      <c r="G956" s="19">
        <v>370.1198</v>
      </c>
      <c r="H956" s="19">
        <v>4476.3913000000002</v>
      </c>
      <c r="I956" s="19">
        <v>8652.3978000000006</v>
      </c>
      <c r="J956" s="75">
        <v>-6598.0000000000009</v>
      </c>
      <c r="K956" s="75">
        <v>1114.3500000000001</v>
      </c>
      <c r="L956" s="75">
        <v>-639.36</v>
      </c>
      <c r="M956" s="75">
        <v>-22180.6</v>
      </c>
      <c r="N956" s="75">
        <v>-8600.2799999999988</v>
      </c>
      <c r="O956" s="75">
        <v>12529.300000000001</v>
      </c>
      <c r="P956" s="75">
        <v>-27372.81</v>
      </c>
      <c r="Q956" s="75">
        <v>48914.04</v>
      </c>
      <c r="R956" s="75">
        <v>-2833.3599999999933</v>
      </c>
    </row>
    <row r="957" spans="1:18" x14ac:dyDescent="0.3">
      <c r="A957">
        <v>940</v>
      </c>
      <c r="B957" s="19">
        <v>49.734200000000001</v>
      </c>
      <c r="C957" s="19">
        <v>32.695999999999998</v>
      </c>
      <c r="D957" s="19">
        <v>11.4048</v>
      </c>
      <c r="E957" s="19">
        <v>269.87520000000001</v>
      </c>
      <c r="F957" s="19">
        <v>15.4162</v>
      </c>
      <c r="G957" s="19">
        <v>368.70179999999999</v>
      </c>
      <c r="H957" s="19">
        <v>4699.5944</v>
      </c>
      <c r="I957" s="19">
        <v>8979.8521000000001</v>
      </c>
      <c r="J957" s="75">
        <v>3084</v>
      </c>
      <c r="K957" s="75">
        <v>-2964</v>
      </c>
      <c r="L957" s="75">
        <v>-24437.759999999998</v>
      </c>
      <c r="M957" s="75">
        <v>13965.759999999998</v>
      </c>
      <c r="N957" s="75">
        <v>-9556.8599999999988</v>
      </c>
      <c r="O957" s="75">
        <v>7566.3</v>
      </c>
      <c r="P957" s="75">
        <v>39588.119999999995</v>
      </c>
      <c r="Q957" s="75">
        <v>114404.9</v>
      </c>
      <c r="R957" s="75">
        <v>141650.46</v>
      </c>
    </row>
    <row r="958" spans="1:18" x14ac:dyDescent="0.3">
      <c r="A958">
        <v>941</v>
      </c>
      <c r="B958" s="19">
        <v>49.692</v>
      </c>
      <c r="C958" s="19">
        <v>32.894199999999998</v>
      </c>
      <c r="D958" s="19">
        <v>11.7111</v>
      </c>
      <c r="E958" s="19">
        <v>257.98230000000001</v>
      </c>
      <c r="F958" s="19">
        <v>15.5936</v>
      </c>
      <c r="G958" s="19">
        <v>364.63630000000001</v>
      </c>
      <c r="H958" s="19">
        <v>4514.1921000000002</v>
      </c>
      <c r="I958" s="19">
        <v>8187.4243999999999</v>
      </c>
      <c r="J958" s="75">
        <v>2240</v>
      </c>
      <c r="K958" s="75">
        <v>2684.7000000000003</v>
      </c>
      <c r="L958" s="75">
        <v>2761.68</v>
      </c>
      <c r="M958" s="75">
        <v>-31227.260000000002</v>
      </c>
      <c r="N958" s="75">
        <v>-1627.0800000000002</v>
      </c>
      <c r="O958" s="75">
        <v>-6662.95</v>
      </c>
      <c r="P958" s="75">
        <v>-16032.57</v>
      </c>
      <c r="Q958" s="75">
        <v>-44080.639999999999</v>
      </c>
      <c r="R958" s="75">
        <v>-91944.12</v>
      </c>
    </row>
    <row r="959" spans="1:18" x14ac:dyDescent="0.3">
      <c r="A959">
        <v>942</v>
      </c>
      <c r="B959" s="19">
        <v>50.364800000000002</v>
      </c>
      <c r="C959" s="19">
        <v>32.923000000000002</v>
      </c>
      <c r="D959" s="19">
        <v>11.493499999999999</v>
      </c>
      <c r="E959" s="19">
        <v>261.62029999999999</v>
      </c>
      <c r="F959" s="19">
        <v>15.390499999999999</v>
      </c>
      <c r="G959" s="19">
        <v>368.38889999999998</v>
      </c>
      <c r="H959" s="19">
        <v>4423.5382</v>
      </c>
      <c r="I959" s="19">
        <v>8282.7657999999992</v>
      </c>
      <c r="J959" s="75">
        <v>15696.000000000002</v>
      </c>
      <c r="K959" s="75">
        <v>3505.5</v>
      </c>
      <c r="L959" s="75">
        <v>-16561.2</v>
      </c>
      <c r="M959" s="75">
        <v>-17402.86</v>
      </c>
      <c r="N959" s="75">
        <v>-10705.65</v>
      </c>
      <c r="O959" s="75">
        <v>6471.15</v>
      </c>
      <c r="P959" s="75">
        <v>-43228.74</v>
      </c>
      <c r="Q959" s="75">
        <v>-25012.36</v>
      </c>
      <c r="R959" s="75">
        <v>-87238.16</v>
      </c>
    </row>
    <row r="960" spans="1:18" x14ac:dyDescent="0.3">
      <c r="A960">
        <v>943</v>
      </c>
      <c r="B960" s="19">
        <v>49.468400000000003</v>
      </c>
      <c r="C960" s="19">
        <v>32.402200000000001</v>
      </c>
      <c r="D960" s="19">
        <v>11.6957</v>
      </c>
      <c r="E960" s="19">
        <v>260.90069999999997</v>
      </c>
      <c r="F960" s="19">
        <v>15.8718</v>
      </c>
      <c r="G960" s="19">
        <v>369.61610000000002</v>
      </c>
      <c r="H960" s="19">
        <v>4634.2884000000004</v>
      </c>
      <c r="I960" s="19">
        <v>7814.8266000000003</v>
      </c>
      <c r="J960" s="75">
        <v>-2232</v>
      </c>
      <c r="K960" s="75">
        <v>-11337.3</v>
      </c>
      <c r="L960" s="75">
        <v>1394.1599999999999</v>
      </c>
      <c r="M960" s="75">
        <v>-20137.34</v>
      </c>
      <c r="N960" s="75">
        <v>10808.46</v>
      </c>
      <c r="O960" s="75">
        <v>10766.349999999999</v>
      </c>
      <c r="P960" s="75">
        <v>19996.32</v>
      </c>
      <c r="Q960" s="75">
        <v>-118600.2</v>
      </c>
      <c r="R960" s="75">
        <v>-109341.55</v>
      </c>
    </row>
    <row r="961" spans="1:18" x14ac:dyDescent="0.3">
      <c r="A961">
        <v>944</v>
      </c>
      <c r="B961" s="19">
        <v>48.875500000000002</v>
      </c>
      <c r="C961" s="19">
        <v>33.274799999999999</v>
      </c>
      <c r="D961" s="19">
        <v>11.4316</v>
      </c>
      <c r="E961" s="19">
        <v>271.24200000000002</v>
      </c>
      <c r="F961" s="19">
        <v>15.839499999999999</v>
      </c>
      <c r="G961" s="19">
        <v>367.26249999999999</v>
      </c>
      <c r="H961" s="19">
        <v>4588.3864000000003</v>
      </c>
      <c r="I961" s="19">
        <v>8391.4603999999999</v>
      </c>
      <c r="J961" s="75">
        <v>-14090</v>
      </c>
      <c r="K961" s="75">
        <v>13531.8</v>
      </c>
      <c r="L961" s="75">
        <v>-22057.920000000002</v>
      </c>
      <c r="M961" s="75">
        <v>19159.599999999999</v>
      </c>
      <c r="N961" s="75">
        <v>9364.65</v>
      </c>
      <c r="O961" s="75">
        <v>2528.75</v>
      </c>
      <c r="P961" s="75">
        <v>6225.72</v>
      </c>
      <c r="Q961" s="75">
        <v>-3273.44</v>
      </c>
      <c r="R961" s="75">
        <v>11389.159999999994</v>
      </c>
    </row>
    <row r="962" spans="1:18" x14ac:dyDescent="0.3">
      <c r="A962">
        <v>945</v>
      </c>
      <c r="B962" s="19">
        <v>50.054099999999998</v>
      </c>
      <c r="C962" s="19">
        <v>32.613100000000003</v>
      </c>
      <c r="D962" s="19">
        <v>11.558999999999999</v>
      </c>
      <c r="E962" s="19">
        <v>276.15969999999999</v>
      </c>
      <c r="F962" s="19">
        <v>16.003900000000002</v>
      </c>
      <c r="G962" s="19">
        <v>365.5976</v>
      </c>
      <c r="H962" s="19">
        <v>4731.884</v>
      </c>
      <c r="I962" s="19">
        <v>8291.8811000000005</v>
      </c>
      <c r="J962" s="75">
        <v>9482</v>
      </c>
      <c r="K962" s="75">
        <v>-5326.6500000000005</v>
      </c>
      <c r="L962" s="75">
        <v>-10744.8</v>
      </c>
      <c r="M962" s="75">
        <v>37846.86</v>
      </c>
      <c r="N962" s="75">
        <v>16713.330000000002</v>
      </c>
      <c r="O962" s="75">
        <v>-3298.4</v>
      </c>
      <c r="P962" s="75">
        <v>49275</v>
      </c>
      <c r="Q962" s="75">
        <v>-23189.3</v>
      </c>
      <c r="R962" s="75">
        <v>70758.039999999994</v>
      </c>
    </row>
    <row r="963" spans="1:18" x14ac:dyDescent="0.3">
      <c r="A963">
        <v>946</v>
      </c>
      <c r="B963" s="19">
        <v>49.1327</v>
      </c>
      <c r="C963" s="19">
        <v>32.821899999999999</v>
      </c>
      <c r="D963" s="19">
        <v>11.8314</v>
      </c>
      <c r="E963" s="19">
        <v>270.3682</v>
      </c>
      <c r="F963" s="19">
        <v>15.5288</v>
      </c>
      <c r="G963" s="19">
        <v>363.84399999999999</v>
      </c>
      <c r="H963" s="19">
        <v>4511.4026000000003</v>
      </c>
      <c r="I963" s="19">
        <v>8210.9588000000003</v>
      </c>
      <c r="J963" s="75">
        <v>-8946</v>
      </c>
      <c r="K963" s="75">
        <v>624.15</v>
      </c>
      <c r="L963" s="75">
        <v>13444.32</v>
      </c>
      <c r="M963" s="75">
        <v>15839.159999999998</v>
      </c>
      <c r="N963" s="75">
        <v>-4523.6400000000003</v>
      </c>
      <c r="O963" s="75">
        <v>-9436</v>
      </c>
      <c r="P963" s="75">
        <v>-16869.420000000002</v>
      </c>
      <c r="Q963" s="75">
        <v>-39373.760000000002</v>
      </c>
      <c r="R963" s="75">
        <v>-49241.19</v>
      </c>
    </row>
    <row r="964" spans="1:18" x14ac:dyDescent="0.3">
      <c r="A964">
        <v>947</v>
      </c>
      <c r="B964" s="19">
        <v>49.263800000000003</v>
      </c>
      <c r="C964" s="19">
        <v>31.525400000000001</v>
      </c>
      <c r="D964" s="19">
        <v>11.942600000000001</v>
      </c>
      <c r="E964" s="19">
        <v>268.72519999999997</v>
      </c>
      <c r="F964" s="19">
        <v>15.8096</v>
      </c>
      <c r="G964" s="19">
        <v>358.42880000000002</v>
      </c>
      <c r="H964" s="19">
        <v>4500.1854999999996</v>
      </c>
      <c r="I964" s="19">
        <v>8802.3714999999993</v>
      </c>
      <c r="J964" s="75">
        <v>-6324</v>
      </c>
      <c r="K964" s="75">
        <v>-36326.1</v>
      </c>
      <c r="L964" s="75">
        <v>23318.880000000001</v>
      </c>
      <c r="M964" s="75">
        <v>9595.76</v>
      </c>
      <c r="N964" s="75">
        <v>8028.1200000000008</v>
      </c>
      <c r="O964" s="75">
        <v>-28389.200000000001</v>
      </c>
      <c r="P964" s="75">
        <v>-20234.55</v>
      </c>
      <c r="Q964" s="75">
        <v>78908.78</v>
      </c>
      <c r="R964" s="75">
        <v>28577.690000000002</v>
      </c>
    </row>
    <row r="965" spans="1:18" x14ac:dyDescent="0.3">
      <c r="A965">
        <v>948</v>
      </c>
      <c r="B965" s="19">
        <v>49.671599999999998</v>
      </c>
      <c r="C965" s="19">
        <v>32.261800000000001</v>
      </c>
      <c r="D965" s="19">
        <v>11.7499</v>
      </c>
      <c r="E965" s="19">
        <v>260.65039999999999</v>
      </c>
      <c r="F965" s="19">
        <v>16.027799999999999</v>
      </c>
      <c r="G965" s="19">
        <v>372.31180000000001</v>
      </c>
      <c r="H965" s="19">
        <v>4617.9493000000002</v>
      </c>
      <c r="I965" s="19">
        <v>8526.7083999999995</v>
      </c>
      <c r="J965" s="75">
        <v>1832</v>
      </c>
      <c r="K965" s="75">
        <v>-15338.7</v>
      </c>
      <c r="L965" s="75">
        <v>6207.12</v>
      </c>
      <c r="M965" s="75">
        <v>-21088.48</v>
      </c>
      <c r="N965" s="75">
        <v>17781.66</v>
      </c>
      <c r="O965" s="75">
        <v>20201.3</v>
      </c>
      <c r="P965" s="75">
        <v>15094.59</v>
      </c>
      <c r="Q965" s="75">
        <v>23776.16</v>
      </c>
      <c r="R965" s="75">
        <v>48465.649999999994</v>
      </c>
    </row>
    <row r="966" spans="1:18" x14ac:dyDescent="0.3">
      <c r="A966">
        <v>949</v>
      </c>
      <c r="B966" s="19">
        <v>49.406500000000001</v>
      </c>
      <c r="C966" s="19">
        <v>33.208199999999998</v>
      </c>
      <c r="D966" s="19">
        <v>11.7775</v>
      </c>
      <c r="E966" s="19">
        <v>272.74340000000001</v>
      </c>
      <c r="F966" s="19">
        <v>15.9651</v>
      </c>
      <c r="G966" s="19">
        <v>361.02539999999999</v>
      </c>
      <c r="H966" s="19">
        <v>4604.2807000000003</v>
      </c>
      <c r="I966" s="19">
        <v>8614.134</v>
      </c>
      <c r="J966" s="75">
        <v>-3469.9999999999995</v>
      </c>
      <c r="K966" s="75">
        <v>11633.7</v>
      </c>
      <c r="L966" s="75">
        <v>8658</v>
      </c>
      <c r="M966" s="75">
        <v>24864.920000000002</v>
      </c>
      <c r="N966" s="75">
        <v>14978.970000000001</v>
      </c>
      <c r="O966" s="75">
        <v>-19301.099999999999</v>
      </c>
      <c r="P966" s="75">
        <v>10994.01</v>
      </c>
      <c r="Q966" s="75">
        <v>41261.279999999999</v>
      </c>
      <c r="R966" s="75">
        <v>89619.78</v>
      </c>
    </row>
    <row r="967" spans="1:18" x14ac:dyDescent="0.3">
      <c r="A967">
        <v>950</v>
      </c>
      <c r="B967" s="19">
        <v>49.5852</v>
      </c>
      <c r="C967" s="19">
        <v>32.716999999999999</v>
      </c>
      <c r="D967" s="19">
        <v>11.7218</v>
      </c>
      <c r="E967" s="19">
        <v>273.70060000000001</v>
      </c>
      <c r="F967" s="19">
        <v>15.567399999999999</v>
      </c>
      <c r="G967" s="19">
        <v>365.95749999999998</v>
      </c>
      <c r="H967" s="19">
        <v>4537.3828000000003</v>
      </c>
      <c r="I967" s="19">
        <v>8190.9362000000001</v>
      </c>
      <c r="J967" s="75">
        <v>104</v>
      </c>
      <c r="K967" s="75">
        <v>-2365.5</v>
      </c>
      <c r="L967" s="75">
        <v>3711.8399999999997</v>
      </c>
      <c r="M967" s="75">
        <v>28502.280000000002</v>
      </c>
      <c r="N967" s="75">
        <v>-2798.2200000000003</v>
      </c>
      <c r="O967" s="75">
        <v>-2038.75</v>
      </c>
      <c r="P967" s="75">
        <v>-9075.36</v>
      </c>
      <c r="Q967" s="75">
        <v>-43378.28</v>
      </c>
      <c r="R967" s="75">
        <v>-27337.989999999998</v>
      </c>
    </row>
    <row r="968" spans="1:18" x14ac:dyDescent="0.3">
      <c r="A968">
        <v>951</v>
      </c>
      <c r="B968" s="19">
        <v>50.151800000000001</v>
      </c>
      <c r="C968" s="19">
        <v>33.159100000000002</v>
      </c>
      <c r="D968" s="19">
        <v>11.991899999999999</v>
      </c>
      <c r="E968" s="19">
        <v>249.86109999999999</v>
      </c>
      <c r="F968" s="19">
        <v>15.9443</v>
      </c>
      <c r="G968" s="19">
        <v>371.28809999999999</v>
      </c>
      <c r="H968" s="19">
        <v>4701.1603999999998</v>
      </c>
      <c r="I968" s="19">
        <v>8132.0387000000001</v>
      </c>
      <c r="J968" s="75">
        <v>11436</v>
      </c>
      <c r="K968" s="75">
        <v>10234.349999999999</v>
      </c>
      <c r="L968" s="75">
        <v>27696.720000000001</v>
      </c>
      <c r="M968" s="75">
        <v>-62087.819999999992</v>
      </c>
      <c r="N968" s="75">
        <v>14049.210000000001</v>
      </c>
      <c r="O968" s="75">
        <v>16618.349999999999</v>
      </c>
      <c r="P968" s="75">
        <v>40057.919999999998</v>
      </c>
      <c r="Q968" s="75">
        <v>-55157.78</v>
      </c>
      <c r="R968" s="75">
        <v>2846.9500000000044</v>
      </c>
    </row>
    <row r="969" spans="1:18" x14ac:dyDescent="0.3">
      <c r="A969">
        <v>952</v>
      </c>
      <c r="B969" s="19">
        <v>49.604300000000002</v>
      </c>
      <c r="C969" s="19">
        <v>32.735300000000002</v>
      </c>
      <c r="D969" s="19">
        <v>11.4391</v>
      </c>
      <c r="E969" s="19">
        <v>276.33819999999997</v>
      </c>
      <c r="F969" s="19">
        <v>15.955</v>
      </c>
      <c r="G969" s="19">
        <v>373.85700000000003</v>
      </c>
      <c r="H969" s="19">
        <v>4569.3617999999997</v>
      </c>
      <c r="I969" s="19">
        <v>8693.5516000000007</v>
      </c>
      <c r="J969" s="75">
        <v>486</v>
      </c>
      <c r="K969" s="75">
        <v>-1843.9499999999998</v>
      </c>
      <c r="L969" s="75">
        <v>-21391.920000000002</v>
      </c>
      <c r="M969" s="75">
        <v>38525.159999999996</v>
      </c>
      <c r="N969" s="75">
        <v>14527.5</v>
      </c>
      <c r="O969" s="75">
        <v>25609.5</v>
      </c>
      <c r="P969" s="75">
        <v>518.34</v>
      </c>
      <c r="Q969" s="75">
        <v>57144.799999999996</v>
      </c>
      <c r="R969" s="75">
        <v>113575.43</v>
      </c>
    </row>
    <row r="970" spans="1:18" x14ac:dyDescent="0.3">
      <c r="A970">
        <v>953</v>
      </c>
      <c r="B970" s="19">
        <v>50.303100000000001</v>
      </c>
      <c r="C970" s="19">
        <v>32.073300000000003</v>
      </c>
      <c r="D970" s="19">
        <v>11.5975</v>
      </c>
      <c r="E970" s="19">
        <v>266.0994</v>
      </c>
      <c r="F970" s="19">
        <v>15.428000000000001</v>
      </c>
      <c r="G970" s="19">
        <v>383.84530000000001</v>
      </c>
      <c r="H970" s="19">
        <v>4555.5929999999998</v>
      </c>
      <c r="I970" s="19">
        <v>8541.6713</v>
      </c>
      <c r="J970" s="75">
        <v>14462</v>
      </c>
      <c r="K970" s="75">
        <v>-20710.95</v>
      </c>
      <c r="L970" s="75">
        <v>-7326</v>
      </c>
      <c r="M970" s="75">
        <v>-382.28</v>
      </c>
      <c r="N970" s="75">
        <v>-9029.4000000000015</v>
      </c>
      <c r="O970" s="75">
        <v>60568.549999999996</v>
      </c>
      <c r="P970" s="75">
        <v>-3612.3</v>
      </c>
      <c r="Q970" s="75">
        <v>26768.74</v>
      </c>
      <c r="R970" s="75">
        <v>60738.359999999986</v>
      </c>
    </row>
    <row r="971" spans="1:18" x14ac:dyDescent="0.3">
      <c r="A971">
        <v>954</v>
      </c>
      <c r="B971" s="19">
        <v>49.863300000000002</v>
      </c>
      <c r="C971" s="19">
        <v>32.418700000000001</v>
      </c>
      <c r="D971" s="19">
        <v>11.889799999999999</v>
      </c>
      <c r="E971" s="19">
        <v>253.87649999999999</v>
      </c>
      <c r="F971" s="19">
        <v>15.312200000000001</v>
      </c>
      <c r="G971" s="19">
        <v>360.90870000000001</v>
      </c>
      <c r="H971" s="19">
        <v>4383.4503000000004</v>
      </c>
      <c r="I971" s="19">
        <v>8449.6069000000007</v>
      </c>
      <c r="J971" s="75">
        <v>5666</v>
      </c>
      <c r="K971" s="75">
        <v>-10867.05</v>
      </c>
      <c r="L971" s="75">
        <v>18630.239999999998</v>
      </c>
      <c r="M971" s="75">
        <v>-46829.299999999996</v>
      </c>
      <c r="N971" s="75">
        <v>-14205.660000000002</v>
      </c>
      <c r="O971" s="75">
        <v>-19709.550000000003</v>
      </c>
      <c r="P971" s="75">
        <v>-55255.109999999993</v>
      </c>
      <c r="Q971" s="75">
        <v>8355.86</v>
      </c>
      <c r="R971" s="75">
        <v>-114214.56999999999</v>
      </c>
    </row>
    <row r="972" spans="1:18" x14ac:dyDescent="0.3">
      <c r="A972">
        <v>955</v>
      </c>
      <c r="B972" s="19">
        <v>49.451000000000001</v>
      </c>
      <c r="C972" s="19">
        <v>31.851600000000001</v>
      </c>
      <c r="D972" s="19">
        <v>11.614100000000001</v>
      </c>
      <c r="E972" s="19">
        <v>263.03109999999998</v>
      </c>
      <c r="F972" s="19">
        <v>16.177099999999999</v>
      </c>
      <c r="G972" s="19">
        <v>361.2312</v>
      </c>
      <c r="H972" s="19">
        <v>4456.9996000000001</v>
      </c>
      <c r="I972" s="19">
        <v>8495.7528000000002</v>
      </c>
      <c r="J972" s="75">
        <v>-2580</v>
      </c>
      <c r="K972" s="75">
        <v>-27029.4</v>
      </c>
      <c r="L972" s="75">
        <v>-5851.92</v>
      </c>
      <c r="M972" s="75">
        <v>-12041.82</v>
      </c>
      <c r="N972" s="75">
        <v>24455.370000000003</v>
      </c>
      <c r="O972" s="75">
        <v>-18580.8</v>
      </c>
      <c r="P972" s="75">
        <v>-33190.32</v>
      </c>
      <c r="Q972" s="75">
        <v>17585.04</v>
      </c>
      <c r="R972" s="75">
        <v>-57233.849999999984</v>
      </c>
    </row>
    <row r="973" spans="1:18" x14ac:dyDescent="0.3">
      <c r="A973">
        <v>956</v>
      </c>
      <c r="B973" s="19">
        <v>49.851500000000001</v>
      </c>
      <c r="C973" s="19">
        <v>32.470100000000002</v>
      </c>
      <c r="D973" s="19">
        <v>11.568099999999999</v>
      </c>
      <c r="E973" s="19">
        <v>276.88819999999998</v>
      </c>
      <c r="F973" s="19">
        <v>15.381500000000001</v>
      </c>
      <c r="G973" s="19">
        <v>355.54669999999999</v>
      </c>
      <c r="H973" s="19">
        <v>4593.0590000000002</v>
      </c>
      <c r="I973" s="19">
        <v>8506.2446</v>
      </c>
      <c r="J973" s="75">
        <v>5430</v>
      </c>
      <c r="K973" s="75">
        <v>-9402.1500000000015</v>
      </c>
      <c r="L973" s="75">
        <v>-9936.7199999999993</v>
      </c>
      <c r="M973" s="75">
        <v>40615.160000000003</v>
      </c>
      <c r="N973" s="75">
        <v>-11107.95</v>
      </c>
      <c r="O973" s="75">
        <v>-38476.549999999996</v>
      </c>
      <c r="P973" s="75">
        <v>7627.5</v>
      </c>
      <c r="Q973" s="75">
        <v>19683.400000000001</v>
      </c>
      <c r="R973" s="75">
        <v>4432.690000000006</v>
      </c>
    </row>
    <row r="974" spans="1:18" x14ac:dyDescent="0.3">
      <c r="A974">
        <v>957</v>
      </c>
      <c r="B974" s="19">
        <v>49.633899999999997</v>
      </c>
      <c r="C974" s="19">
        <v>32.6111</v>
      </c>
      <c r="D974" s="19">
        <v>11.5198</v>
      </c>
      <c r="E974" s="19">
        <v>272.76609999999999</v>
      </c>
      <c r="F974" s="19">
        <v>15.971299999999999</v>
      </c>
      <c r="G974" s="19">
        <v>366.47230000000002</v>
      </c>
      <c r="H974" s="19">
        <v>4624.3953000000001</v>
      </c>
      <c r="I974" s="19">
        <v>8699.0877</v>
      </c>
      <c r="J974" s="75">
        <v>1078</v>
      </c>
      <c r="K974" s="75">
        <v>-5383.6500000000005</v>
      </c>
      <c r="L974" s="75">
        <v>-14225.76</v>
      </c>
      <c r="M974" s="75">
        <v>24951.18</v>
      </c>
      <c r="N974" s="75">
        <v>15256.109999999999</v>
      </c>
      <c r="O974" s="75">
        <v>-236.95</v>
      </c>
      <c r="P974" s="75">
        <v>17028.39</v>
      </c>
      <c r="Q974" s="75">
        <v>58252.020000000004</v>
      </c>
      <c r="R974" s="75">
        <v>96719.34</v>
      </c>
    </row>
    <row r="975" spans="1:18" x14ac:dyDescent="0.3">
      <c r="A975">
        <v>958</v>
      </c>
      <c r="B975" s="19">
        <v>49.494900000000001</v>
      </c>
      <c r="C975" s="19">
        <v>32.810299999999998</v>
      </c>
      <c r="D975" s="19">
        <v>11.5304</v>
      </c>
      <c r="E975" s="19">
        <v>265.5018</v>
      </c>
      <c r="F975" s="19">
        <v>15.805099999999999</v>
      </c>
      <c r="G975" s="19">
        <v>358.83879999999999</v>
      </c>
      <c r="H975" s="19">
        <v>4536.1052</v>
      </c>
      <c r="I975" s="19">
        <v>8429.9639000000006</v>
      </c>
      <c r="J975" s="75">
        <v>-1702</v>
      </c>
      <c r="K975" s="75">
        <v>293.55</v>
      </c>
      <c r="L975" s="75">
        <v>-13284.480000000001</v>
      </c>
      <c r="M975" s="75">
        <v>-2653.1600000000003</v>
      </c>
      <c r="N975" s="75">
        <v>7826.97</v>
      </c>
      <c r="O975" s="75">
        <v>-26954.2</v>
      </c>
      <c r="P975" s="75">
        <v>-9458.64</v>
      </c>
      <c r="Q975" s="75">
        <v>4427.2599999999993</v>
      </c>
      <c r="R975" s="75">
        <v>-41504.700000000004</v>
      </c>
    </row>
    <row r="976" spans="1:18" x14ac:dyDescent="0.3">
      <c r="A976">
        <v>959</v>
      </c>
      <c r="B976" s="19">
        <v>48.83</v>
      </c>
      <c r="C976" s="19">
        <v>33.224800000000002</v>
      </c>
      <c r="D976" s="19">
        <v>12.3104</v>
      </c>
      <c r="E976" s="19">
        <v>269.05399999999997</v>
      </c>
      <c r="F976" s="19">
        <v>15.4908</v>
      </c>
      <c r="G976" s="19">
        <v>368.6345</v>
      </c>
      <c r="H976" s="19">
        <v>4614.2335000000003</v>
      </c>
      <c r="I976" s="19">
        <v>8543.1597999999994</v>
      </c>
      <c r="J976" s="75">
        <v>-15000</v>
      </c>
      <c r="K976" s="75">
        <v>12106.800000000001</v>
      </c>
      <c r="L976" s="75">
        <v>55979.519999999997</v>
      </c>
      <c r="M976" s="75">
        <v>10845.2</v>
      </c>
      <c r="N976" s="75">
        <v>-6222.24</v>
      </c>
      <c r="O976" s="75">
        <v>7330.75</v>
      </c>
      <c r="P976" s="75">
        <v>13979.85</v>
      </c>
      <c r="Q976" s="75">
        <v>27066.44</v>
      </c>
      <c r="R976" s="75">
        <v>106086.32</v>
      </c>
    </row>
    <row r="977" spans="1:18" x14ac:dyDescent="0.3">
      <c r="A977">
        <v>960</v>
      </c>
      <c r="B977" s="19">
        <v>48.796599999999998</v>
      </c>
      <c r="C977" s="19">
        <v>32.024700000000003</v>
      </c>
      <c r="D977" s="19">
        <v>12.0206</v>
      </c>
      <c r="E977" s="19">
        <v>279.04880000000003</v>
      </c>
      <c r="F977" s="19">
        <v>15.8886</v>
      </c>
      <c r="G977" s="19">
        <v>364.32580000000002</v>
      </c>
      <c r="H977" s="19">
        <v>4597.5276999999996</v>
      </c>
      <c r="I977" s="19">
        <v>8652.1944000000003</v>
      </c>
      <c r="J977" s="75">
        <v>-15668</v>
      </c>
      <c r="K977" s="75">
        <v>-22096.05</v>
      </c>
      <c r="L977" s="75">
        <v>30245.280000000002</v>
      </c>
      <c r="M977" s="75">
        <v>48825.440000000002</v>
      </c>
      <c r="N977" s="75">
        <v>11559.42</v>
      </c>
      <c r="O977" s="75">
        <v>-7749.7</v>
      </c>
      <c r="P977" s="75">
        <v>8968.11</v>
      </c>
      <c r="Q977" s="75">
        <v>48873.36</v>
      </c>
      <c r="R977" s="75">
        <v>102957.86</v>
      </c>
    </row>
    <row r="978" spans="1:18" x14ac:dyDescent="0.3">
      <c r="A978">
        <v>961</v>
      </c>
      <c r="B978" s="19">
        <v>49.4041</v>
      </c>
      <c r="C978" s="19">
        <v>33.0227</v>
      </c>
      <c r="D978" s="19">
        <v>11.6541</v>
      </c>
      <c r="E978" s="19">
        <v>260.94380000000001</v>
      </c>
      <c r="F978" s="19">
        <v>15.5129</v>
      </c>
      <c r="G978" s="19">
        <v>356.82170000000002</v>
      </c>
      <c r="H978" s="19">
        <v>4569.5511999999999</v>
      </c>
      <c r="I978" s="19">
        <v>8641.2518999999993</v>
      </c>
      <c r="J978" s="75">
        <v>-3518</v>
      </c>
      <c r="K978" s="75">
        <v>6346.95</v>
      </c>
      <c r="L978" s="75">
        <v>-2299.92</v>
      </c>
      <c r="M978" s="75">
        <v>-19973.559999999998</v>
      </c>
      <c r="N978" s="75">
        <v>-5234.37</v>
      </c>
      <c r="O978" s="75">
        <v>-34014.049999999996</v>
      </c>
      <c r="P978" s="75">
        <v>575.16</v>
      </c>
      <c r="Q978" s="75">
        <v>46684.86</v>
      </c>
      <c r="R978" s="75">
        <v>-11432.929999999993</v>
      </c>
    </row>
    <row r="979" spans="1:18" x14ac:dyDescent="0.3">
      <c r="A979">
        <v>962</v>
      </c>
      <c r="B979" s="19">
        <v>49.463200000000001</v>
      </c>
      <c r="C979" s="19">
        <v>33.001300000000001</v>
      </c>
      <c r="D979" s="19">
        <v>11.8781</v>
      </c>
      <c r="E979" s="19">
        <v>265.87119999999999</v>
      </c>
      <c r="F979" s="19">
        <v>15.610200000000001</v>
      </c>
      <c r="G979" s="19">
        <v>359.9821</v>
      </c>
      <c r="H979" s="19">
        <v>4679.8535000000002</v>
      </c>
      <c r="I979" s="19">
        <v>8698.9922000000006</v>
      </c>
      <c r="J979" s="75">
        <v>-2336</v>
      </c>
      <c r="K979" s="75">
        <v>5737.05</v>
      </c>
      <c r="L979" s="75">
        <v>17591.28</v>
      </c>
      <c r="M979" s="75">
        <v>-1249.4399999999998</v>
      </c>
      <c r="N979" s="75">
        <v>-885.06000000000006</v>
      </c>
      <c r="O979" s="75">
        <v>-22952.65</v>
      </c>
      <c r="P979" s="75">
        <v>33665.85</v>
      </c>
      <c r="Q979" s="75">
        <v>58232.92</v>
      </c>
      <c r="R979" s="75">
        <v>87803.95</v>
      </c>
    </row>
    <row r="980" spans="1:18" x14ac:dyDescent="0.3">
      <c r="A980">
        <v>963</v>
      </c>
      <c r="B980" s="19">
        <v>49.406700000000001</v>
      </c>
      <c r="C980" s="19">
        <v>32.428600000000003</v>
      </c>
      <c r="D980" s="19">
        <v>11.4137</v>
      </c>
      <c r="E980" s="19">
        <v>265.4144</v>
      </c>
      <c r="F980" s="19">
        <v>15.5601</v>
      </c>
      <c r="G980" s="19">
        <v>365.36380000000003</v>
      </c>
      <c r="H980" s="19">
        <v>4617.8360000000002</v>
      </c>
      <c r="I980" s="19">
        <v>8668.5735999999997</v>
      </c>
      <c r="J980" s="75">
        <v>-3466</v>
      </c>
      <c r="K980" s="75">
        <v>-10584.9</v>
      </c>
      <c r="L980" s="75">
        <v>-23647.439999999999</v>
      </c>
      <c r="M980" s="75">
        <v>-2985.2799999999997</v>
      </c>
      <c r="N980" s="75">
        <v>-3124.53</v>
      </c>
      <c r="O980" s="75">
        <v>-4116.7</v>
      </c>
      <c r="P980" s="75">
        <v>15060.599999999999</v>
      </c>
      <c r="Q980" s="75">
        <v>52149.2</v>
      </c>
      <c r="R980" s="75">
        <v>19284.950000000004</v>
      </c>
    </row>
    <row r="981" spans="1:18" x14ac:dyDescent="0.3">
      <c r="A981">
        <v>964</v>
      </c>
      <c r="B981" s="19">
        <v>49.697600000000001</v>
      </c>
      <c r="C981" s="19">
        <v>32.729100000000003</v>
      </c>
      <c r="D981" s="19">
        <v>11.6922</v>
      </c>
      <c r="E981" s="19">
        <v>253.20330000000001</v>
      </c>
      <c r="F981" s="19">
        <v>14.933400000000001</v>
      </c>
      <c r="G981" s="19">
        <v>367.26530000000002</v>
      </c>
      <c r="H981" s="19">
        <v>4569.3096999999998</v>
      </c>
      <c r="I981" s="19">
        <v>8861.0501999999997</v>
      </c>
      <c r="J981" s="75">
        <v>2352</v>
      </c>
      <c r="K981" s="75">
        <v>-2020.65</v>
      </c>
      <c r="L981" s="75">
        <v>1083.3600000000001</v>
      </c>
      <c r="M981" s="75">
        <v>-49387.46</v>
      </c>
      <c r="N981" s="75">
        <v>-31138.02</v>
      </c>
      <c r="O981" s="75">
        <v>2538.5499999999997</v>
      </c>
      <c r="P981" s="75">
        <v>502.71</v>
      </c>
      <c r="Q981" s="75">
        <v>90644.52</v>
      </c>
      <c r="R981" s="75">
        <v>14575.010000000009</v>
      </c>
    </row>
    <row r="982" spans="1:18" x14ac:dyDescent="0.3">
      <c r="A982">
        <v>965</v>
      </c>
      <c r="B982" s="19">
        <v>49.161299999999997</v>
      </c>
      <c r="C982" s="19">
        <v>33.138199999999998</v>
      </c>
      <c r="D982" s="19">
        <v>11.9788</v>
      </c>
      <c r="E982" s="19">
        <v>262.52550000000002</v>
      </c>
      <c r="F982" s="19">
        <v>15.766500000000001</v>
      </c>
      <c r="G982" s="19">
        <v>357.77550000000002</v>
      </c>
      <c r="H982" s="19">
        <v>4553.3885</v>
      </c>
      <c r="I982" s="19">
        <v>9080.4732000000004</v>
      </c>
      <c r="J982" s="75">
        <v>-8374</v>
      </c>
      <c r="K982" s="75">
        <v>9638.7000000000007</v>
      </c>
      <c r="L982" s="75">
        <v>26533.440000000002</v>
      </c>
      <c r="M982" s="75">
        <v>-13963.1</v>
      </c>
      <c r="N982" s="75">
        <v>6101.55</v>
      </c>
      <c r="O982" s="75">
        <v>-30675.75</v>
      </c>
      <c r="P982" s="75">
        <v>-4273.6499999999996</v>
      </c>
      <c r="Q982" s="75">
        <v>134529.12</v>
      </c>
      <c r="R982" s="75">
        <v>119516.31</v>
      </c>
    </row>
    <row r="983" spans="1:18" x14ac:dyDescent="0.3">
      <c r="A983">
        <v>966</v>
      </c>
      <c r="B983" s="19">
        <v>49.483199999999997</v>
      </c>
      <c r="C983" s="19">
        <v>33.241399999999999</v>
      </c>
      <c r="D983" s="19">
        <v>11.2537</v>
      </c>
      <c r="E983" s="19">
        <v>260.5335</v>
      </c>
      <c r="F983" s="19">
        <v>16.1829</v>
      </c>
      <c r="G983" s="19">
        <v>368.76339999999999</v>
      </c>
      <c r="H983" s="19">
        <v>4654.7952999999998</v>
      </c>
      <c r="I983" s="19">
        <v>8001.2055</v>
      </c>
      <c r="J983" s="75">
        <v>-1936</v>
      </c>
      <c r="K983" s="75">
        <v>12579.9</v>
      </c>
      <c r="L983" s="75">
        <v>-37855.440000000002</v>
      </c>
      <c r="M983" s="75">
        <v>-21532.7</v>
      </c>
      <c r="N983" s="75">
        <v>24714.629999999997</v>
      </c>
      <c r="O983" s="75">
        <v>7781.9</v>
      </c>
      <c r="P983" s="75">
        <v>26148.39</v>
      </c>
      <c r="Q983" s="75">
        <v>-81324.42</v>
      </c>
      <c r="R983" s="75">
        <v>-71423.740000000005</v>
      </c>
    </row>
    <row r="984" spans="1:18" x14ac:dyDescent="0.3">
      <c r="A984">
        <v>967</v>
      </c>
      <c r="B984" s="19">
        <v>49.121299999999998</v>
      </c>
      <c r="C984" s="19">
        <v>33.374499999999998</v>
      </c>
      <c r="D984" s="19">
        <v>11.2925</v>
      </c>
      <c r="E984" s="19">
        <v>266.90679999999998</v>
      </c>
      <c r="F984" s="19">
        <v>15.4343</v>
      </c>
      <c r="G984" s="19">
        <v>368.24090000000001</v>
      </c>
      <c r="H984" s="19">
        <v>4423.6706000000004</v>
      </c>
      <c r="I984" s="19">
        <v>8466.6298000000006</v>
      </c>
      <c r="J984" s="75">
        <v>-9174</v>
      </c>
      <c r="K984" s="75">
        <v>16373.25</v>
      </c>
      <c r="L984" s="75">
        <v>-34410</v>
      </c>
      <c r="M984" s="75">
        <v>2685.84</v>
      </c>
      <c r="N984" s="75">
        <v>-8747.7900000000009</v>
      </c>
      <c r="O984" s="75">
        <v>5953.1500000000005</v>
      </c>
      <c r="P984" s="75">
        <v>-43189.020000000004</v>
      </c>
      <c r="Q984" s="75">
        <v>11760.44</v>
      </c>
      <c r="R984" s="75">
        <v>-58748.130000000005</v>
      </c>
    </row>
    <row r="985" spans="1:18" x14ac:dyDescent="0.3">
      <c r="A985">
        <v>968</v>
      </c>
      <c r="B985" s="19">
        <v>50.364100000000001</v>
      </c>
      <c r="C985" s="19">
        <v>32.710299999999997</v>
      </c>
      <c r="D985" s="19">
        <v>11.4655</v>
      </c>
      <c r="E985" s="19">
        <v>284.6044</v>
      </c>
      <c r="F985" s="19">
        <v>15.712899999999999</v>
      </c>
      <c r="G985" s="19">
        <v>363.95830000000001</v>
      </c>
      <c r="H985" s="19">
        <v>4519.3567000000003</v>
      </c>
      <c r="I985" s="19">
        <v>7632.9902000000002</v>
      </c>
      <c r="J985" s="75">
        <v>15682</v>
      </c>
      <c r="K985" s="75">
        <v>-2556.4500000000003</v>
      </c>
      <c r="L985" s="75">
        <v>-19047.599999999999</v>
      </c>
      <c r="M985" s="75">
        <v>69936.72</v>
      </c>
      <c r="N985" s="75">
        <v>3705.63</v>
      </c>
      <c r="O985" s="75">
        <v>-9035.9500000000007</v>
      </c>
      <c r="P985" s="75">
        <v>-14483.189999999999</v>
      </c>
      <c r="Q985" s="75">
        <v>-154967.48000000001</v>
      </c>
      <c r="R985" s="75">
        <v>-110766.32</v>
      </c>
    </row>
    <row r="986" spans="1:18" x14ac:dyDescent="0.3">
      <c r="A986">
        <v>969</v>
      </c>
      <c r="B986" s="19">
        <v>49.297499999999999</v>
      </c>
      <c r="C986" s="19">
        <v>32.4495</v>
      </c>
      <c r="D986" s="19">
        <v>12.027799999999999</v>
      </c>
      <c r="E986" s="19">
        <v>263.43079999999998</v>
      </c>
      <c r="F986" s="19">
        <v>15.8003</v>
      </c>
      <c r="G986" s="19">
        <v>374.928</v>
      </c>
      <c r="H986" s="19">
        <v>4654.7363999999998</v>
      </c>
      <c r="I986" s="19">
        <v>8000.6544999999996</v>
      </c>
      <c r="J986" s="75">
        <v>-5649.9999999999991</v>
      </c>
      <c r="K986" s="75">
        <v>-9989.25</v>
      </c>
      <c r="L986" s="75">
        <v>30884.639999999999</v>
      </c>
      <c r="M986" s="75">
        <v>-10522.960000000001</v>
      </c>
      <c r="N986" s="75">
        <v>7612.4100000000008</v>
      </c>
      <c r="O986" s="75">
        <v>29358</v>
      </c>
      <c r="P986" s="75">
        <v>26130.720000000001</v>
      </c>
      <c r="Q986" s="75">
        <v>-81434.62</v>
      </c>
      <c r="R986" s="75">
        <v>-13611.059999999998</v>
      </c>
    </row>
    <row r="987" spans="1:18" x14ac:dyDescent="0.3">
      <c r="A987">
        <v>970</v>
      </c>
      <c r="B987" s="19">
        <v>48.883200000000002</v>
      </c>
      <c r="C987" s="19">
        <v>32.573300000000003</v>
      </c>
      <c r="D987" s="19">
        <v>11.46</v>
      </c>
      <c r="E987" s="19">
        <v>277.03480000000002</v>
      </c>
      <c r="F987" s="19">
        <v>15.5768</v>
      </c>
      <c r="G987" s="19">
        <v>370.66230000000002</v>
      </c>
      <c r="H987" s="19">
        <v>4555.1593000000003</v>
      </c>
      <c r="I987" s="19">
        <v>7837.4732000000004</v>
      </c>
      <c r="J987" s="75">
        <v>-13936</v>
      </c>
      <c r="K987" s="75">
        <v>-6460.9500000000007</v>
      </c>
      <c r="L987" s="75">
        <v>-19536</v>
      </c>
      <c r="M987" s="75">
        <v>41172.239999999998</v>
      </c>
      <c r="N987" s="75">
        <v>-2378.04</v>
      </c>
      <c r="O987" s="75">
        <v>14428.050000000001</v>
      </c>
      <c r="P987" s="75">
        <v>-3742.4100000000003</v>
      </c>
      <c r="Q987" s="75">
        <v>-114070.88</v>
      </c>
      <c r="R987" s="75">
        <v>-104523.99</v>
      </c>
    </row>
    <row r="988" spans="1:18" x14ac:dyDescent="0.3">
      <c r="A988">
        <v>971</v>
      </c>
      <c r="B988" s="19">
        <v>49.922199999999997</v>
      </c>
      <c r="C988" s="19">
        <v>33.127899999999997</v>
      </c>
      <c r="D988" s="19">
        <v>11.4428</v>
      </c>
      <c r="E988" s="19">
        <v>265.83249999999998</v>
      </c>
      <c r="F988" s="19">
        <v>15.613899999999999</v>
      </c>
      <c r="G988" s="19">
        <v>369.96170000000001</v>
      </c>
      <c r="H988" s="19">
        <v>4685.5866999999998</v>
      </c>
      <c r="I988" s="19">
        <v>8619.9516999999996</v>
      </c>
      <c r="J988" s="75">
        <v>6844</v>
      </c>
      <c r="K988" s="75">
        <v>9345.1500000000015</v>
      </c>
      <c r="L988" s="75">
        <v>-21063.360000000001</v>
      </c>
      <c r="M988" s="75">
        <v>-1396.5</v>
      </c>
      <c r="N988" s="75">
        <v>-719.67</v>
      </c>
      <c r="O988" s="75">
        <v>11975.95</v>
      </c>
      <c r="P988" s="75">
        <v>35385.81</v>
      </c>
      <c r="Q988" s="75">
        <v>42424.82</v>
      </c>
      <c r="R988" s="75">
        <v>82796.2</v>
      </c>
    </row>
    <row r="989" spans="1:18" x14ac:dyDescent="0.3">
      <c r="A989">
        <v>972</v>
      </c>
      <c r="B989" s="19">
        <v>49.7913</v>
      </c>
      <c r="C989" s="19">
        <v>33.293799999999997</v>
      </c>
      <c r="D989" s="19">
        <v>11.673500000000001</v>
      </c>
      <c r="E989" s="19">
        <v>269.12</v>
      </c>
      <c r="F989" s="19">
        <v>15.6136</v>
      </c>
      <c r="G989" s="19">
        <v>376.78449999999998</v>
      </c>
      <c r="H989" s="19">
        <v>4496.8982999999998</v>
      </c>
      <c r="I989" s="19">
        <v>9044.3032000000003</v>
      </c>
      <c r="J989" s="75">
        <v>4226</v>
      </c>
      <c r="K989" s="75">
        <v>14073.300000000001</v>
      </c>
      <c r="L989" s="75">
        <v>-577.19999999999993</v>
      </c>
      <c r="M989" s="75">
        <v>11096</v>
      </c>
      <c r="N989" s="75">
        <v>-733.08</v>
      </c>
      <c r="O989" s="75">
        <v>35855.75</v>
      </c>
      <c r="P989" s="75">
        <v>-21220.71</v>
      </c>
      <c r="Q989" s="75">
        <v>127295.12</v>
      </c>
      <c r="R989" s="75">
        <v>170015.18</v>
      </c>
    </row>
    <row r="990" spans="1:18" x14ac:dyDescent="0.3">
      <c r="A990">
        <v>973</v>
      </c>
      <c r="B990" s="19">
        <v>49.267699999999998</v>
      </c>
      <c r="C990" s="19">
        <v>32.311300000000003</v>
      </c>
      <c r="D990" s="19">
        <v>11.577400000000001</v>
      </c>
      <c r="E990" s="19">
        <v>259.7398</v>
      </c>
      <c r="F990" s="19">
        <v>15.741300000000001</v>
      </c>
      <c r="G990" s="19">
        <v>365.91419999999999</v>
      </c>
      <c r="H990" s="19">
        <v>4613.9117999999999</v>
      </c>
      <c r="I990" s="19">
        <v>8336.6116999999995</v>
      </c>
      <c r="J990" s="75">
        <v>-6246</v>
      </c>
      <c r="K990" s="75">
        <v>-13927.95</v>
      </c>
      <c r="L990" s="75">
        <v>-9110.8799999999992</v>
      </c>
      <c r="M990" s="75">
        <v>-24548.760000000002</v>
      </c>
      <c r="N990" s="75">
        <v>4975.1099999999997</v>
      </c>
      <c r="O990" s="75">
        <v>-2190.3000000000002</v>
      </c>
      <c r="P990" s="75">
        <v>13883.34</v>
      </c>
      <c r="Q990" s="75">
        <v>-14243.18</v>
      </c>
      <c r="R990" s="75">
        <v>-51408.62</v>
      </c>
    </row>
    <row r="991" spans="1:18" x14ac:dyDescent="0.3">
      <c r="A991">
        <v>974</v>
      </c>
      <c r="B991" s="19">
        <v>49.900199999999998</v>
      </c>
      <c r="C991" s="19">
        <v>32.668199999999999</v>
      </c>
      <c r="D991" s="19">
        <v>11.484299999999999</v>
      </c>
      <c r="E991" s="19">
        <v>260.77679999999998</v>
      </c>
      <c r="F991" s="19">
        <v>15.612</v>
      </c>
      <c r="G991" s="19">
        <v>359.4599</v>
      </c>
      <c r="H991" s="19">
        <v>4524.4155000000001</v>
      </c>
      <c r="I991" s="19">
        <v>8241.9033999999992</v>
      </c>
      <c r="J991" s="75">
        <v>6404</v>
      </c>
      <c r="K991" s="75">
        <v>-3756.3</v>
      </c>
      <c r="L991" s="75">
        <v>-17378.16</v>
      </c>
      <c r="M991" s="75">
        <v>-20608.16</v>
      </c>
      <c r="N991" s="75">
        <v>-804.59999999999991</v>
      </c>
      <c r="O991" s="75">
        <v>-24780.35</v>
      </c>
      <c r="P991" s="75">
        <v>-12965.55</v>
      </c>
      <c r="Q991" s="75">
        <v>-33184.840000000004</v>
      </c>
      <c r="R991" s="75">
        <v>-107073.95999999999</v>
      </c>
    </row>
    <row r="992" spans="1:18" x14ac:dyDescent="0.3">
      <c r="A992">
        <v>975</v>
      </c>
      <c r="B992" s="19">
        <v>50.037300000000002</v>
      </c>
      <c r="C992" s="19">
        <v>32.534500000000001</v>
      </c>
      <c r="D992" s="19">
        <v>11.735900000000001</v>
      </c>
      <c r="E992" s="19">
        <v>280.2285</v>
      </c>
      <c r="F992" s="19">
        <v>15.303000000000001</v>
      </c>
      <c r="G992" s="19">
        <v>372.60300000000001</v>
      </c>
      <c r="H992" s="19">
        <v>4548.7021999999997</v>
      </c>
      <c r="I992" s="19">
        <v>7581.7637000000004</v>
      </c>
      <c r="J992" s="75">
        <v>9146</v>
      </c>
      <c r="K992" s="75">
        <v>-7566.75</v>
      </c>
      <c r="L992" s="75">
        <v>4963.92</v>
      </c>
      <c r="M992" s="75">
        <v>53308.299999999996</v>
      </c>
      <c r="N992" s="75">
        <v>-14616.900000000001</v>
      </c>
      <c r="O992" s="75">
        <v>21220.5</v>
      </c>
      <c r="P992" s="75">
        <v>-5679.54</v>
      </c>
      <c r="Q992" s="75">
        <v>-165212.78</v>
      </c>
      <c r="R992" s="75">
        <v>-104437.25</v>
      </c>
    </row>
    <row r="993" spans="1:18" x14ac:dyDescent="0.3">
      <c r="A993">
        <v>976</v>
      </c>
      <c r="B993" s="19">
        <v>50.470199999999998</v>
      </c>
      <c r="C993" s="19">
        <v>32.305500000000002</v>
      </c>
      <c r="D993" s="19">
        <v>11.9171</v>
      </c>
      <c r="E993" s="19">
        <v>274.90269999999998</v>
      </c>
      <c r="F993" s="19">
        <v>15.5991</v>
      </c>
      <c r="G993" s="19">
        <v>374.80919999999998</v>
      </c>
      <c r="H993" s="19">
        <v>4673.2790000000005</v>
      </c>
      <c r="I993" s="19">
        <v>7716.7673999999997</v>
      </c>
      <c r="J993" s="75">
        <v>17804</v>
      </c>
      <c r="K993" s="75">
        <v>-14093.25</v>
      </c>
      <c r="L993" s="75">
        <v>21054.48</v>
      </c>
      <c r="M993" s="75">
        <v>33070.26</v>
      </c>
      <c r="N993" s="75">
        <v>-1381.23</v>
      </c>
      <c r="O993" s="75">
        <v>28942.199999999997</v>
      </c>
      <c r="P993" s="75">
        <v>31693.5</v>
      </c>
      <c r="Q993" s="75">
        <v>-138212.04</v>
      </c>
      <c r="R993" s="75">
        <v>-21122.080000000016</v>
      </c>
    </row>
    <row r="994" spans="1:18" x14ac:dyDescent="0.3">
      <c r="A994">
        <v>977</v>
      </c>
      <c r="B994" s="19">
        <v>49.2928</v>
      </c>
      <c r="C994" s="19">
        <v>32.9587</v>
      </c>
      <c r="D994" s="19">
        <v>11.6831</v>
      </c>
      <c r="E994" s="19">
        <v>275.44929999999999</v>
      </c>
      <c r="F994" s="19">
        <v>15.529299999999999</v>
      </c>
      <c r="G994" s="19">
        <v>371.40989999999999</v>
      </c>
      <c r="H994" s="19">
        <v>4585.7116999999998</v>
      </c>
      <c r="I994" s="19">
        <v>8163.3522999999996</v>
      </c>
      <c r="J994" s="75">
        <v>-5744</v>
      </c>
      <c r="K994" s="75">
        <v>4522.95</v>
      </c>
      <c r="L994" s="75">
        <v>275.27999999999997</v>
      </c>
      <c r="M994" s="75">
        <v>35147.339999999997</v>
      </c>
      <c r="N994" s="75">
        <v>-4501.29</v>
      </c>
      <c r="O994" s="75">
        <v>17044.650000000001</v>
      </c>
      <c r="P994" s="75">
        <v>5423.31</v>
      </c>
      <c r="Q994" s="75">
        <v>-48895.06</v>
      </c>
      <c r="R994" s="75">
        <v>3273.1800000000003</v>
      </c>
    </row>
    <row r="995" spans="1:18" x14ac:dyDescent="0.3">
      <c r="A995">
        <v>978</v>
      </c>
      <c r="B995" s="19">
        <v>49.514299999999999</v>
      </c>
      <c r="C995" s="19">
        <v>31.367899999999999</v>
      </c>
      <c r="D995" s="19">
        <v>11.5105</v>
      </c>
      <c r="E995" s="19">
        <v>269.67329999999998</v>
      </c>
      <c r="F995" s="19">
        <v>15.8483</v>
      </c>
      <c r="G995" s="19">
        <v>372.08539999999999</v>
      </c>
      <c r="H995" s="19">
        <v>4669.0659999999998</v>
      </c>
      <c r="I995" s="19">
        <v>8739.3809999999994</v>
      </c>
      <c r="J995" s="75">
        <v>-1314</v>
      </c>
      <c r="K995" s="75">
        <v>-40814.85</v>
      </c>
      <c r="L995" s="75">
        <v>-15051.6</v>
      </c>
      <c r="M995" s="75">
        <v>13198.54</v>
      </c>
      <c r="N995" s="75">
        <v>9758.01</v>
      </c>
      <c r="O995" s="75">
        <v>19408.899999999998</v>
      </c>
      <c r="P995" s="75">
        <v>30429.600000000002</v>
      </c>
      <c r="Q995" s="75">
        <v>66310.680000000008</v>
      </c>
      <c r="R995" s="75">
        <v>81925.280000000013</v>
      </c>
    </row>
    <row r="996" spans="1:18" x14ac:dyDescent="0.3">
      <c r="A996">
        <v>979</v>
      </c>
      <c r="B996" s="19">
        <v>50.136699999999998</v>
      </c>
      <c r="C996" s="19">
        <v>33.105800000000002</v>
      </c>
      <c r="D996" s="19">
        <v>11.341699999999999</v>
      </c>
      <c r="E996" s="19">
        <v>280.39010000000002</v>
      </c>
      <c r="F996" s="19">
        <v>15.4322</v>
      </c>
      <c r="G996" s="19">
        <v>383.09800000000001</v>
      </c>
      <c r="H996" s="19">
        <v>4489.2210999999998</v>
      </c>
      <c r="I996" s="19">
        <v>8742.0179000000007</v>
      </c>
      <c r="J996" s="75">
        <v>11134</v>
      </c>
      <c r="K996" s="75">
        <v>8715.3000000000011</v>
      </c>
      <c r="L996" s="75">
        <v>-30041.040000000001</v>
      </c>
      <c r="M996" s="75">
        <v>53922.38</v>
      </c>
      <c r="N996" s="75">
        <v>-8841.66</v>
      </c>
      <c r="O996" s="75">
        <v>57953</v>
      </c>
      <c r="P996" s="75">
        <v>-23523.87</v>
      </c>
      <c r="Q996" s="75">
        <v>66838.06</v>
      </c>
      <c r="R996" s="75">
        <v>136156.16999999998</v>
      </c>
    </row>
    <row r="997" spans="1:18" x14ac:dyDescent="0.3">
      <c r="A997">
        <v>980</v>
      </c>
      <c r="B997" s="19">
        <v>50.165399999999998</v>
      </c>
      <c r="C997" s="19">
        <v>32.790500000000002</v>
      </c>
      <c r="D997" s="19">
        <v>12.0387</v>
      </c>
      <c r="E997" s="19">
        <v>265.60079999999999</v>
      </c>
      <c r="F997" s="19">
        <v>15.2424</v>
      </c>
      <c r="G997" s="19">
        <v>376.61520000000002</v>
      </c>
      <c r="H997" s="19">
        <v>4722.6367</v>
      </c>
      <c r="I997" s="19">
        <v>8142.9643999999998</v>
      </c>
      <c r="J997" s="75">
        <v>11708</v>
      </c>
      <c r="K997" s="75">
        <v>-270.75</v>
      </c>
      <c r="L997" s="75">
        <v>31852.560000000001</v>
      </c>
      <c r="M997" s="75">
        <v>-2276.96</v>
      </c>
      <c r="N997" s="75">
        <v>-17325.72</v>
      </c>
      <c r="O997" s="75">
        <v>35263.200000000004</v>
      </c>
      <c r="P997" s="75">
        <v>46500.81</v>
      </c>
      <c r="Q997" s="75">
        <v>-52972.639999999999</v>
      </c>
      <c r="R997" s="75">
        <v>52478.5</v>
      </c>
    </row>
    <row r="998" spans="1:18" x14ac:dyDescent="0.3">
      <c r="A998">
        <v>981</v>
      </c>
      <c r="B998" s="19">
        <v>49.554200000000002</v>
      </c>
      <c r="C998" s="19">
        <v>33.278700000000001</v>
      </c>
      <c r="D998" s="19">
        <v>12.0167</v>
      </c>
      <c r="E998" s="19">
        <v>264.14830000000001</v>
      </c>
      <c r="F998" s="19">
        <v>15.872999999999999</v>
      </c>
      <c r="G998" s="19">
        <v>360.73099999999999</v>
      </c>
      <c r="H998" s="19">
        <v>4522.6292000000003</v>
      </c>
      <c r="I998" s="19">
        <v>8270.4997000000003</v>
      </c>
      <c r="J998" s="75">
        <v>-516</v>
      </c>
      <c r="K998" s="75">
        <v>13642.95</v>
      </c>
      <c r="L998" s="75">
        <v>29898.959999999999</v>
      </c>
      <c r="M998" s="75">
        <v>-7796.4599999999991</v>
      </c>
      <c r="N998" s="75">
        <v>10862.1</v>
      </c>
      <c r="O998" s="75">
        <v>-20331.5</v>
      </c>
      <c r="P998" s="75">
        <v>-13501.44</v>
      </c>
      <c r="Q998" s="75">
        <v>-27465.58</v>
      </c>
      <c r="R998" s="75">
        <v>-15206.97</v>
      </c>
    </row>
    <row r="999" spans="1:18" x14ac:dyDescent="0.3">
      <c r="A999">
        <v>982</v>
      </c>
      <c r="B999" s="19">
        <v>50.067500000000003</v>
      </c>
      <c r="C999" s="19">
        <v>33.458500000000001</v>
      </c>
      <c r="D999" s="19">
        <v>11.464600000000001</v>
      </c>
      <c r="E999" s="19">
        <v>257.88069999999999</v>
      </c>
      <c r="F999" s="19">
        <v>15.728899999999999</v>
      </c>
      <c r="G999" s="19">
        <v>363.58269999999999</v>
      </c>
      <c r="H999" s="19">
        <v>4454.2263000000003</v>
      </c>
      <c r="I999" s="19">
        <v>8702.3871999999992</v>
      </c>
      <c r="J999" s="75">
        <v>9750</v>
      </c>
      <c r="K999" s="75">
        <v>18767.25</v>
      </c>
      <c r="L999" s="75">
        <v>-19127.52</v>
      </c>
      <c r="M999" s="75">
        <v>-31613.34</v>
      </c>
      <c r="N999" s="75">
        <v>4420.83</v>
      </c>
      <c r="O999" s="75">
        <v>-10350.549999999999</v>
      </c>
      <c r="P999" s="75">
        <v>-34022.310000000005</v>
      </c>
      <c r="Q999" s="75">
        <v>58911.92</v>
      </c>
      <c r="R999" s="75">
        <v>-3263.7200000000012</v>
      </c>
    </row>
    <row r="1000" spans="1:18" x14ac:dyDescent="0.3">
      <c r="A1000">
        <v>983</v>
      </c>
      <c r="B1000" s="19">
        <v>49.632399999999997</v>
      </c>
      <c r="C1000" s="19">
        <v>32.994399999999999</v>
      </c>
      <c r="D1000" s="19">
        <v>12.0344</v>
      </c>
      <c r="E1000" s="19">
        <v>264.23009999999999</v>
      </c>
      <c r="F1000" s="19">
        <v>15.337300000000001</v>
      </c>
      <c r="G1000" s="19">
        <v>370.55180000000001</v>
      </c>
      <c r="H1000" s="19">
        <v>4635.6252000000004</v>
      </c>
      <c r="I1000" s="19">
        <v>8300.3621999999996</v>
      </c>
      <c r="J1000" s="75">
        <v>1048</v>
      </c>
      <c r="K1000" s="75">
        <v>5540.4</v>
      </c>
      <c r="L1000" s="75">
        <v>31470.720000000001</v>
      </c>
      <c r="M1000" s="75">
        <v>-7485.62</v>
      </c>
      <c r="N1000" s="75">
        <v>-13083.69</v>
      </c>
      <c r="O1000" s="75">
        <v>14041.3</v>
      </c>
      <c r="P1000" s="75">
        <v>20397.36</v>
      </c>
      <c r="Q1000" s="75">
        <v>-21493.08</v>
      </c>
      <c r="R1000" s="75">
        <v>30435.39</v>
      </c>
    </row>
    <row r="1001" spans="1:18" x14ac:dyDescent="0.3">
      <c r="A1001">
        <v>984</v>
      </c>
      <c r="B1001" s="19">
        <v>49.47</v>
      </c>
      <c r="C1001" s="19">
        <v>33.5852</v>
      </c>
      <c r="D1001" s="19">
        <v>11.700799999999999</v>
      </c>
      <c r="E1001" s="19">
        <v>267.1035</v>
      </c>
      <c r="F1001" s="19">
        <v>15.4382</v>
      </c>
      <c r="G1001" s="19">
        <v>365.13299999999998</v>
      </c>
      <c r="H1001" s="19">
        <v>4620.9292999999998</v>
      </c>
      <c r="I1001" s="19">
        <v>8270.7607000000007</v>
      </c>
      <c r="J1001" s="75">
        <v>-2200</v>
      </c>
      <c r="K1001" s="75">
        <v>22378.2</v>
      </c>
      <c r="L1001" s="75">
        <v>1847.04</v>
      </c>
      <c r="M1001" s="75">
        <v>3433.2999999999997</v>
      </c>
      <c r="N1001" s="75">
        <v>-8573.4599999999991</v>
      </c>
      <c r="O1001" s="75">
        <v>-4924.5</v>
      </c>
      <c r="P1001" s="75">
        <v>15988.59</v>
      </c>
      <c r="Q1001" s="75">
        <v>-27413.38</v>
      </c>
      <c r="R1001" s="75">
        <v>535.79000000000087</v>
      </c>
    </row>
    <row r="1002" spans="1:18" x14ac:dyDescent="0.3">
      <c r="A1002">
        <v>985</v>
      </c>
      <c r="B1002" s="19">
        <v>49.945399999999999</v>
      </c>
      <c r="C1002" s="19">
        <v>32.327300000000001</v>
      </c>
      <c r="D1002" s="19">
        <v>11.894600000000001</v>
      </c>
      <c r="E1002" s="19">
        <v>259.56439999999998</v>
      </c>
      <c r="F1002" s="19">
        <v>16.027699999999999</v>
      </c>
      <c r="G1002" s="19">
        <v>362.72109999999998</v>
      </c>
      <c r="H1002" s="19">
        <v>4584.3338000000003</v>
      </c>
      <c r="I1002" s="19">
        <v>8756.3557999999994</v>
      </c>
      <c r="J1002" s="75">
        <v>7308</v>
      </c>
      <c r="K1002" s="75">
        <v>-13471.95</v>
      </c>
      <c r="L1002" s="75">
        <v>19056.48</v>
      </c>
      <c r="M1002" s="75">
        <v>-25215.279999999999</v>
      </c>
      <c r="N1002" s="75">
        <v>17777.189999999999</v>
      </c>
      <c r="O1002" s="75">
        <v>-13366.150000000001</v>
      </c>
      <c r="P1002" s="75">
        <v>5009.9399999999996</v>
      </c>
      <c r="Q1002" s="75">
        <v>69705.64</v>
      </c>
      <c r="R1002" s="75">
        <v>66803.87</v>
      </c>
    </row>
    <row r="1003" spans="1:18" x14ac:dyDescent="0.3">
      <c r="A1003">
        <v>986</v>
      </c>
      <c r="B1003" s="19">
        <v>49.812600000000003</v>
      </c>
      <c r="C1003" s="19">
        <v>32.474800000000002</v>
      </c>
      <c r="D1003" s="19">
        <v>11.7476</v>
      </c>
      <c r="E1003" s="19">
        <v>276.36959999999999</v>
      </c>
      <c r="F1003" s="19">
        <v>15.8178</v>
      </c>
      <c r="G1003" s="19">
        <v>354.1481</v>
      </c>
      <c r="H1003" s="19">
        <v>4391.2272999999996</v>
      </c>
      <c r="I1003" s="19">
        <v>8070.2092000000002</v>
      </c>
      <c r="J1003" s="75">
        <v>4652</v>
      </c>
      <c r="K1003" s="75">
        <v>-9268.1999999999989</v>
      </c>
      <c r="L1003" s="75">
        <v>6002.8799999999992</v>
      </c>
      <c r="M1003" s="75">
        <v>38644.480000000003</v>
      </c>
      <c r="N1003" s="75">
        <v>8394.66</v>
      </c>
      <c r="O1003" s="75">
        <v>-43371.65</v>
      </c>
      <c r="P1003" s="75">
        <v>-52922.01</v>
      </c>
      <c r="Q1003" s="75">
        <v>-67523.680000000008</v>
      </c>
      <c r="R1003" s="75">
        <v>-115391.52</v>
      </c>
    </row>
    <row r="1004" spans="1:18" x14ac:dyDescent="0.3">
      <c r="A1004">
        <v>987</v>
      </c>
      <c r="B1004" s="19">
        <v>50.092700000000001</v>
      </c>
      <c r="C1004" s="19">
        <v>33.291499999999999</v>
      </c>
      <c r="D1004" s="19">
        <v>11.672800000000001</v>
      </c>
      <c r="E1004" s="19">
        <v>280.70589999999999</v>
      </c>
      <c r="F1004" s="19">
        <v>15.7432</v>
      </c>
      <c r="G1004" s="19">
        <v>372.19110000000001</v>
      </c>
      <c r="H1004" s="19">
        <v>4652.1584999999995</v>
      </c>
      <c r="I1004" s="19">
        <v>8970.9981000000007</v>
      </c>
      <c r="J1004" s="75">
        <v>10254</v>
      </c>
      <c r="K1004" s="75">
        <v>14007.75</v>
      </c>
      <c r="L1004" s="75">
        <v>-639.36</v>
      </c>
      <c r="M1004" s="75">
        <v>55122.42</v>
      </c>
      <c r="N1004" s="75">
        <v>5060.04</v>
      </c>
      <c r="O1004" s="75">
        <v>19778.849999999999</v>
      </c>
      <c r="P1004" s="75">
        <v>25357.350000000002</v>
      </c>
      <c r="Q1004" s="75">
        <v>112634.09999999999</v>
      </c>
      <c r="R1004" s="75">
        <v>241575.14999999997</v>
      </c>
    </row>
    <row r="1005" spans="1:18" x14ac:dyDescent="0.3">
      <c r="A1005">
        <v>988</v>
      </c>
      <c r="B1005" s="19">
        <v>49.116300000000003</v>
      </c>
      <c r="C1005" s="19">
        <v>33.648699999999998</v>
      </c>
      <c r="D1005" s="19">
        <v>11.688499999999999</v>
      </c>
      <c r="E1005" s="19">
        <v>275.58179999999999</v>
      </c>
      <c r="F1005" s="19">
        <v>15.446199999999999</v>
      </c>
      <c r="G1005" s="19">
        <v>368.47390000000001</v>
      </c>
      <c r="H1005" s="19">
        <v>4463.3024999999998</v>
      </c>
      <c r="I1005" s="19">
        <v>8484.2541000000001</v>
      </c>
      <c r="J1005" s="75">
        <v>-9274</v>
      </c>
      <c r="K1005" s="75">
        <v>24187.95</v>
      </c>
      <c r="L1005" s="75">
        <v>754.80000000000007</v>
      </c>
      <c r="M1005" s="75">
        <v>35650.840000000004</v>
      </c>
      <c r="N1005" s="75">
        <v>-8215.8599999999988</v>
      </c>
      <c r="O1005" s="75">
        <v>6768.65</v>
      </c>
      <c r="P1005" s="75">
        <v>-31299.45</v>
      </c>
      <c r="Q1005" s="75">
        <v>15285.300000000001</v>
      </c>
      <c r="R1005" s="75">
        <v>33858.230000000003</v>
      </c>
    </row>
    <row r="1006" spans="1:18" x14ac:dyDescent="0.3">
      <c r="A1006">
        <v>989</v>
      </c>
      <c r="B1006" s="19">
        <v>49.8765</v>
      </c>
      <c r="C1006" s="19">
        <v>33.084699999999998</v>
      </c>
      <c r="D1006" s="19">
        <v>11.457000000000001</v>
      </c>
      <c r="E1006" s="19">
        <v>265.35480000000001</v>
      </c>
      <c r="F1006" s="19">
        <v>15.5199</v>
      </c>
      <c r="G1006" s="19">
        <v>366.73230000000001</v>
      </c>
      <c r="H1006" s="19">
        <v>4710.2691000000004</v>
      </c>
      <c r="I1006" s="19">
        <v>8588.1548999999995</v>
      </c>
      <c r="J1006" s="75">
        <v>5930</v>
      </c>
      <c r="K1006" s="75">
        <v>8113.95</v>
      </c>
      <c r="L1006" s="75">
        <v>-19802.400000000001</v>
      </c>
      <c r="M1006" s="75">
        <v>-3211.7599999999998</v>
      </c>
      <c r="N1006" s="75">
        <v>-4921.47</v>
      </c>
      <c r="O1006" s="75">
        <v>673.05</v>
      </c>
      <c r="P1006" s="75">
        <v>42790.53</v>
      </c>
      <c r="Q1006" s="75">
        <v>36065.46</v>
      </c>
      <c r="R1006" s="75">
        <v>65637.36</v>
      </c>
    </row>
    <row r="1007" spans="1:18" x14ac:dyDescent="0.3">
      <c r="A1007">
        <v>990</v>
      </c>
      <c r="B1007" s="19">
        <v>49.738700000000001</v>
      </c>
      <c r="C1007" s="19">
        <v>32.018300000000004</v>
      </c>
      <c r="D1007" s="19">
        <v>12.0565</v>
      </c>
      <c r="E1007" s="19">
        <v>270.7081</v>
      </c>
      <c r="F1007" s="19">
        <v>15.641999999999999</v>
      </c>
      <c r="G1007" s="19">
        <v>376.08859999999999</v>
      </c>
      <c r="H1007" s="19">
        <v>4534.7758999999996</v>
      </c>
      <c r="I1007" s="19">
        <v>8244.8619999999992</v>
      </c>
      <c r="J1007" s="75">
        <v>3174</v>
      </c>
      <c r="K1007" s="75">
        <v>-22278.449999999997</v>
      </c>
      <c r="L1007" s="75">
        <v>33433.199999999997</v>
      </c>
      <c r="M1007" s="75">
        <v>17130.78</v>
      </c>
      <c r="N1007" s="75">
        <v>536.4</v>
      </c>
      <c r="O1007" s="75">
        <v>33420.1</v>
      </c>
      <c r="P1007" s="75">
        <v>-9857.43</v>
      </c>
      <c r="Q1007" s="75">
        <v>-32593.119999999999</v>
      </c>
      <c r="R1007" s="75">
        <v>22965.48</v>
      </c>
    </row>
    <row r="1008" spans="1:18" x14ac:dyDescent="0.3">
      <c r="A1008">
        <v>991</v>
      </c>
      <c r="B1008" s="19">
        <v>50.139899999999997</v>
      </c>
      <c r="C1008" s="19">
        <v>32.565600000000003</v>
      </c>
      <c r="D1008" s="19">
        <v>11.745100000000001</v>
      </c>
      <c r="E1008" s="19">
        <v>256.86180000000002</v>
      </c>
      <c r="F1008" s="19">
        <v>15.824</v>
      </c>
      <c r="G1008" s="19">
        <v>366.15370000000001</v>
      </c>
      <c r="H1008" s="19">
        <v>4597.8627999999999</v>
      </c>
      <c r="I1008" s="19">
        <v>8576.7610999999997</v>
      </c>
      <c r="J1008" s="75">
        <v>11197.999999999998</v>
      </c>
      <c r="K1008" s="75">
        <v>-6680.4</v>
      </c>
      <c r="L1008" s="75">
        <v>5780.88</v>
      </c>
      <c r="M1008" s="75">
        <v>-35485.160000000003</v>
      </c>
      <c r="N1008" s="75">
        <v>8671.8000000000011</v>
      </c>
      <c r="O1008" s="75">
        <v>-1352.05</v>
      </c>
      <c r="P1008" s="75">
        <v>9068.64</v>
      </c>
      <c r="Q1008" s="75">
        <v>33786.700000000004</v>
      </c>
      <c r="R1008" s="75">
        <v>24988.41</v>
      </c>
    </row>
    <row r="1009" spans="1:18" x14ac:dyDescent="0.3">
      <c r="A1009">
        <v>992</v>
      </c>
      <c r="B1009" s="19">
        <v>49.968899999999998</v>
      </c>
      <c r="C1009" s="19">
        <v>32.4236</v>
      </c>
      <c r="D1009" s="19">
        <v>11.370699999999999</v>
      </c>
      <c r="E1009" s="19">
        <v>272.5299</v>
      </c>
      <c r="F1009" s="19">
        <v>15.247199999999999</v>
      </c>
      <c r="G1009" s="19">
        <v>371.5994</v>
      </c>
      <c r="H1009" s="19">
        <v>4468.7642999999998</v>
      </c>
      <c r="I1009" s="19">
        <v>8124.0643</v>
      </c>
      <c r="J1009" s="75">
        <v>7778.0000000000009</v>
      </c>
      <c r="K1009" s="75">
        <v>-10727.4</v>
      </c>
      <c r="L1009" s="75">
        <v>-27465.84</v>
      </c>
      <c r="M1009" s="75">
        <v>24053.620000000003</v>
      </c>
      <c r="N1009" s="75">
        <v>-17111.16</v>
      </c>
      <c r="O1009" s="75">
        <v>17707.900000000001</v>
      </c>
      <c r="P1009" s="75">
        <v>-29660.91</v>
      </c>
      <c r="Q1009" s="75">
        <v>-56752.66</v>
      </c>
      <c r="R1009" s="75">
        <v>-92178.45</v>
      </c>
    </row>
    <row r="1010" spans="1:18" x14ac:dyDescent="0.3">
      <c r="A1010">
        <v>993</v>
      </c>
      <c r="B1010" s="19">
        <v>49.881599999999999</v>
      </c>
      <c r="C1010" s="19">
        <v>31.873799999999999</v>
      </c>
      <c r="D1010" s="19">
        <v>11.9552</v>
      </c>
      <c r="E1010" s="19">
        <v>271.79059999999998</v>
      </c>
      <c r="F1010" s="19">
        <v>15.7441</v>
      </c>
      <c r="G1010" s="19">
        <v>373.37169999999998</v>
      </c>
      <c r="H1010" s="19">
        <v>4485.5520999999999</v>
      </c>
      <c r="I1010" s="19">
        <v>8420.6283999999996</v>
      </c>
      <c r="J1010" s="75">
        <v>6032</v>
      </c>
      <c r="K1010" s="75">
        <v>-26396.7</v>
      </c>
      <c r="L1010" s="75">
        <v>24437.759999999998</v>
      </c>
      <c r="M1010" s="75">
        <v>21244.280000000002</v>
      </c>
      <c r="N1010" s="75">
        <v>5100.2699999999995</v>
      </c>
      <c r="O1010" s="75">
        <v>23910.949999999997</v>
      </c>
      <c r="P1010" s="75">
        <v>-24624.57</v>
      </c>
      <c r="Q1010" s="75">
        <v>2560.1600000000003</v>
      </c>
      <c r="R1010" s="75">
        <v>32264.149999999998</v>
      </c>
    </row>
    <row r="1011" spans="1:18" x14ac:dyDescent="0.3">
      <c r="A1011">
        <v>994</v>
      </c>
      <c r="B1011" s="19">
        <v>49.879899999999999</v>
      </c>
      <c r="C1011" s="19">
        <v>32.137099999999997</v>
      </c>
      <c r="D1011" s="19">
        <v>11.8528</v>
      </c>
      <c r="E1011" s="19">
        <v>253.7106</v>
      </c>
      <c r="F1011" s="19">
        <v>15.495699999999999</v>
      </c>
      <c r="G1011" s="19">
        <v>365.4212</v>
      </c>
      <c r="H1011" s="19">
        <v>4546.9198999999999</v>
      </c>
      <c r="I1011" s="19">
        <v>8654.9020999999993</v>
      </c>
      <c r="J1011" s="75">
        <v>5998</v>
      </c>
      <c r="K1011" s="75">
        <v>-18892.650000000001</v>
      </c>
      <c r="L1011" s="75">
        <v>15344.640000000001</v>
      </c>
      <c r="M1011" s="75">
        <v>-47459.72</v>
      </c>
      <c r="N1011" s="75">
        <v>-6003.21</v>
      </c>
      <c r="O1011" s="75">
        <v>-3915.8</v>
      </c>
      <c r="P1011" s="75">
        <v>-6214.23</v>
      </c>
      <c r="Q1011" s="75">
        <v>49414.9</v>
      </c>
      <c r="R1011" s="75">
        <v>-11728.07</v>
      </c>
    </row>
    <row r="1012" spans="1:18" x14ac:dyDescent="0.3">
      <c r="A1012">
        <v>995</v>
      </c>
      <c r="B1012" s="19">
        <v>49.5259</v>
      </c>
      <c r="C1012" s="19">
        <v>33.101799999999997</v>
      </c>
      <c r="D1012" s="19">
        <v>11.699400000000001</v>
      </c>
      <c r="E1012" s="19">
        <v>267.74869999999999</v>
      </c>
      <c r="F1012" s="19">
        <v>15.513400000000001</v>
      </c>
      <c r="G1012" s="19">
        <v>368.31209999999999</v>
      </c>
      <c r="H1012" s="19">
        <v>4671.0883999999996</v>
      </c>
      <c r="I1012" s="19">
        <v>9157.3822999999993</v>
      </c>
      <c r="J1012" s="75">
        <v>-1082</v>
      </c>
      <c r="K1012" s="75">
        <v>8601.3000000000011</v>
      </c>
      <c r="L1012" s="75">
        <v>1722.72</v>
      </c>
      <c r="M1012" s="75">
        <v>5885.0599999999995</v>
      </c>
      <c r="N1012" s="75">
        <v>-5212.0199999999995</v>
      </c>
      <c r="O1012" s="75">
        <v>6202.35</v>
      </c>
      <c r="P1012" s="75">
        <v>31036.320000000003</v>
      </c>
      <c r="Q1012" s="75">
        <v>149910.94</v>
      </c>
      <c r="R1012" s="75">
        <v>197064.67</v>
      </c>
    </row>
    <row r="1013" spans="1:18" x14ac:dyDescent="0.3">
      <c r="A1013">
        <v>996</v>
      </c>
      <c r="B1013" s="19">
        <v>49.826999999999998</v>
      </c>
      <c r="C1013" s="19">
        <v>32.994599999999998</v>
      </c>
      <c r="D1013" s="19">
        <v>11.5924</v>
      </c>
      <c r="E1013" s="19">
        <v>255.33099999999999</v>
      </c>
      <c r="F1013" s="19">
        <v>15.9468</v>
      </c>
      <c r="G1013" s="19">
        <v>377.0994</v>
      </c>
      <c r="H1013" s="19">
        <v>4510.1196</v>
      </c>
      <c r="I1013" s="19">
        <v>8709.2580999999991</v>
      </c>
      <c r="J1013" s="75">
        <v>4940</v>
      </c>
      <c r="K1013" s="75">
        <v>5546.0999999999995</v>
      </c>
      <c r="L1013" s="75">
        <v>-7778.88</v>
      </c>
      <c r="M1013" s="75">
        <v>-41302.199999999997</v>
      </c>
      <c r="N1013" s="75">
        <v>14160.960000000001</v>
      </c>
      <c r="O1013" s="75">
        <v>36957.9</v>
      </c>
      <c r="P1013" s="75">
        <v>-17254.32</v>
      </c>
      <c r="Q1013" s="75">
        <v>60286.1</v>
      </c>
      <c r="R1013" s="75">
        <v>55555.66</v>
      </c>
    </row>
    <row r="1014" spans="1:18" x14ac:dyDescent="0.3">
      <c r="A1014">
        <v>997</v>
      </c>
      <c r="B1014" s="19">
        <v>49.623800000000003</v>
      </c>
      <c r="C1014" s="19">
        <v>33.420299999999997</v>
      </c>
      <c r="D1014" s="19">
        <v>11.503399999999999</v>
      </c>
      <c r="E1014" s="19">
        <v>256.05079999999998</v>
      </c>
      <c r="F1014" s="19">
        <v>15.015599999999999</v>
      </c>
      <c r="G1014" s="19">
        <v>372.09589999999997</v>
      </c>
      <c r="H1014" s="19">
        <v>4514.0684000000001</v>
      </c>
      <c r="I1014" s="19">
        <v>8354.2811999999994</v>
      </c>
      <c r="J1014" s="75">
        <v>876</v>
      </c>
      <c r="K1014" s="75">
        <v>17678.55</v>
      </c>
      <c r="L1014" s="75">
        <v>-15682.08</v>
      </c>
      <c r="M1014" s="75">
        <v>-38566.959999999999</v>
      </c>
      <c r="N1014" s="75">
        <v>-27463.679999999997</v>
      </c>
      <c r="O1014" s="75">
        <v>19445.650000000001</v>
      </c>
      <c r="P1014" s="75">
        <v>-16069.68</v>
      </c>
      <c r="Q1014" s="75">
        <v>-10709.279999999999</v>
      </c>
      <c r="R1014" s="75">
        <v>-70491.48</v>
      </c>
    </row>
    <row r="1015" spans="1:18" x14ac:dyDescent="0.3">
      <c r="A1015">
        <v>998</v>
      </c>
      <c r="B1015" s="19">
        <v>49.1357</v>
      </c>
      <c r="C1015" s="19">
        <v>32.221699999999998</v>
      </c>
      <c r="D1015" s="19">
        <v>11.709300000000001</v>
      </c>
      <c r="E1015" s="19">
        <v>259.5634</v>
      </c>
      <c r="F1015" s="19">
        <v>15.385899999999999</v>
      </c>
      <c r="G1015" s="19">
        <v>365.09179999999998</v>
      </c>
      <c r="H1015" s="19">
        <v>4458.1495999999997</v>
      </c>
      <c r="I1015" s="19">
        <v>8266.4233999999997</v>
      </c>
      <c r="J1015" s="75">
        <v>-8886</v>
      </c>
      <c r="K1015" s="75">
        <v>-16481.55</v>
      </c>
      <c r="L1015" s="75">
        <v>2601.84</v>
      </c>
      <c r="M1015" s="75">
        <v>-25219.079999999998</v>
      </c>
      <c r="N1015" s="75">
        <v>-10911.27</v>
      </c>
      <c r="O1015" s="75">
        <v>-5068.7</v>
      </c>
      <c r="P1015" s="75">
        <v>-32845.32</v>
      </c>
      <c r="Q1015" s="75">
        <v>-28280.84</v>
      </c>
      <c r="R1015" s="75">
        <v>-125090.91999999998</v>
      </c>
    </row>
    <row r="1016" spans="1:18" x14ac:dyDescent="0.3">
      <c r="A1016">
        <v>999</v>
      </c>
      <c r="B1016" s="19">
        <v>49.343400000000003</v>
      </c>
      <c r="C1016" s="19">
        <v>33.430700000000002</v>
      </c>
      <c r="D1016" s="19">
        <v>12.0899</v>
      </c>
      <c r="E1016" s="19">
        <v>269.88580000000002</v>
      </c>
      <c r="F1016" s="19">
        <v>15.447800000000001</v>
      </c>
      <c r="G1016" s="19">
        <v>366.00549999999998</v>
      </c>
      <c r="H1016" s="19">
        <v>4355.1126999999997</v>
      </c>
      <c r="I1016" s="19">
        <v>8132.4669000000004</v>
      </c>
      <c r="J1016" s="75">
        <v>-4732</v>
      </c>
      <c r="K1016" s="75">
        <v>17974.95</v>
      </c>
      <c r="L1016" s="75">
        <v>36399.119999999995</v>
      </c>
      <c r="M1016" s="75">
        <v>14006.039999999999</v>
      </c>
      <c r="N1016" s="75">
        <v>-8144.34</v>
      </c>
      <c r="O1016" s="75">
        <v>-1870.75</v>
      </c>
      <c r="P1016" s="75">
        <v>-63756.39</v>
      </c>
      <c r="Q1016" s="75">
        <v>-55072.14</v>
      </c>
      <c r="R1016" s="75">
        <v>-65195.510000000009</v>
      </c>
    </row>
    <row r="1017" spans="1:18" x14ac:dyDescent="0.3">
      <c r="A1017">
        <v>1000</v>
      </c>
      <c r="B1017" s="19">
        <v>49.519500000000001</v>
      </c>
      <c r="C1017" s="19">
        <v>32.980499999999999</v>
      </c>
      <c r="D1017" s="19">
        <v>11.274900000000001</v>
      </c>
      <c r="E1017" s="19">
        <v>265.81189999999998</v>
      </c>
      <c r="F1017" s="19">
        <v>15.8408</v>
      </c>
      <c r="G1017" s="19">
        <v>363.13589999999999</v>
      </c>
      <c r="H1017" s="19">
        <v>4494.4643999999998</v>
      </c>
      <c r="I1017" s="19">
        <v>8018.5012999999999</v>
      </c>
      <c r="J1017" s="75">
        <v>-1210</v>
      </c>
      <c r="K1017" s="75">
        <v>5144.25</v>
      </c>
      <c r="L1017" s="75">
        <v>-35972.880000000005</v>
      </c>
      <c r="M1017" s="75">
        <v>-1474.78</v>
      </c>
      <c r="N1017" s="75">
        <v>9422.76</v>
      </c>
      <c r="O1017" s="75">
        <v>-11914.35</v>
      </c>
      <c r="P1017" s="75">
        <v>-21950.880000000001</v>
      </c>
      <c r="Q1017" s="75">
        <v>-77865.259999999995</v>
      </c>
      <c r="R1017" s="75">
        <v>-135821.14000000001</v>
      </c>
    </row>
  </sheetData>
  <mergeCells count="2">
    <mergeCell ref="B16:I16"/>
    <mergeCell ref="J16:Q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aR_Simulaciones">
                <anchor moveWithCells="1" sizeWithCells="1">
                  <from>
                    <xdr:col>13</xdr:col>
                    <xdr:colOff>784860</xdr:colOff>
                    <xdr:row>8</xdr:row>
                    <xdr:rowOff>0</xdr:rowOff>
                  </from>
                  <to>
                    <xdr:col>15</xdr:col>
                    <xdr:colOff>746760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Portafolio</vt:lpstr>
      <vt:lpstr>VaR Parmétrico</vt:lpstr>
      <vt:lpstr>VaR Histórico</vt:lpstr>
      <vt:lpstr>Var Simulación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Axel Christopher Hernandez Hernandez</cp:lastModifiedBy>
  <dcterms:created xsi:type="dcterms:W3CDTF">2013-04-03T15:49:21Z</dcterms:created>
  <dcterms:modified xsi:type="dcterms:W3CDTF">2026-03-09T03:31:12Z</dcterms:modified>
</cp:coreProperties>
</file>